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nikita\Project\"/>
    </mc:Choice>
  </mc:AlternateContent>
  <xr:revisionPtr revIDLastSave="0" documentId="13_ncr:9_{CE8FD98D-8DA4-434E-8070-F66C19EC5640}" xr6:coauthVersionLast="47" xr6:coauthVersionMax="47" xr10:uidLastSave="{00000000-0000-0000-0000-000000000000}"/>
  <bookViews>
    <workbookView xWindow="-110" yWindow="-110" windowWidth="19420" windowHeight="10300" activeTab="1" xr2:uid="{7A8C7335-3363-4BCA-9499-43C5751FAA5F}"/>
  </bookViews>
  <sheets>
    <sheet name="Raw Data" sheetId="1" r:id="rId1"/>
    <sheet name="Cleaned Data" sheetId="2" r:id="rId2"/>
    <sheet name="KPI Summary" sheetId="3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C9" i="3" l="1"/>
  <c r="C8" i="3"/>
  <c r="C7" i="3"/>
  <c r="C6" i="3"/>
  <c r="C5" i="3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2" i="2"/>
</calcChain>
</file>

<file path=xl/sharedStrings.xml><?xml version="1.0" encoding="utf-8"?>
<sst xmlns="http://schemas.openxmlformats.org/spreadsheetml/2006/main" count="18069" uniqueCount="1069">
  <si>
    <t>Employee_ID</t>
  </si>
  <si>
    <t>Age</t>
  </si>
  <si>
    <t>Gender</t>
  </si>
  <si>
    <t>Department</t>
  </si>
  <si>
    <t>Job_Role</t>
  </si>
  <si>
    <t>Education</t>
  </si>
  <si>
    <t>Monthly_Income</t>
  </si>
  <si>
    <t>Years_At_Company</t>
  </si>
  <si>
    <t>Total_Working_Years</t>
  </si>
  <si>
    <t>Job_Level</t>
  </si>
  <si>
    <t>Job_Satisfaction</t>
  </si>
  <si>
    <t>Environment_Satisfaction</t>
  </si>
  <si>
    <t>Work_Life_Balance</t>
  </si>
  <si>
    <t>OverTime</t>
  </si>
  <si>
    <t>Business_Travel</t>
  </si>
  <si>
    <t>Distance_From_Home</t>
  </si>
  <si>
    <t>Training_Hours</t>
  </si>
  <si>
    <t>Performance_Rating</t>
  </si>
  <si>
    <t>Promotion_Last_5_Years</t>
  </si>
  <si>
    <t>Absenteeism_Days</t>
  </si>
  <si>
    <t>Attrition</t>
  </si>
  <si>
    <t>Joining_Date</t>
  </si>
  <si>
    <t>Exit_Date</t>
  </si>
  <si>
    <t>Exit Date Cleaned</t>
  </si>
  <si>
    <t>Age Group</t>
  </si>
  <si>
    <t>Tenure_Group</t>
  </si>
  <si>
    <t>EMP0001</t>
  </si>
  <si>
    <t>Male</t>
  </si>
  <si>
    <t>Finance</t>
  </si>
  <si>
    <t>Financial Analyst</t>
  </si>
  <si>
    <t>MBA</t>
  </si>
  <si>
    <t>No</t>
  </si>
  <si>
    <t>Travel_Rarely</t>
  </si>
  <si>
    <t>Yes</t>
  </si>
  <si>
    <t>EMP0002</t>
  </si>
  <si>
    <t>Sales</t>
  </si>
  <si>
    <t>Sales Executive</t>
  </si>
  <si>
    <t>B.Com</t>
  </si>
  <si>
    <t>EMP0003</t>
  </si>
  <si>
    <t>IT</t>
  </si>
  <si>
    <t>IT Manager</t>
  </si>
  <si>
    <t>B.A</t>
  </si>
  <si>
    <t>Travel_Frequently</t>
  </si>
  <si>
    <t>EMP0004</t>
  </si>
  <si>
    <t>Female</t>
  </si>
  <si>
    <t>Operations</t>
  </si>
  <si>
    <t>Operations Executive</t>
  </si>
  <si>
    <t>Non-Travel</t>
  </si>
  <si>
    <t>EMP0005</t>
  </si>
  <si>
    <t>HR</t>
  </si>
  <si>
    <t>HR Executive</t>
  </si>
  <si>
    <t>EMP0006</t>
  </si>
  <si>
    <t>Marketing</t>
  </si>
  <si>
    <t>Marketing Analyst</t>
  </si>
  <si>
    <t>EMP0007</t>
  </si>
  <si>
    <t>Marketing Manager</t>
  </si>
  <si>
    <t>BBA</t>
  </si>
  <si>
    <t>EMP0008</t>
  </si>
  <si>
    <t>EMP0009</t>
  </si>
  <si>
    <t>Data Analyst</t>
  </si>
  <si>
    <t>EMP0010</t>
  </si>
  <si>
    <t>B.Tech</t>
  </si>
  <si>
    <t>EMP0011</t>
  </si>
  <si>
    <t>Operations Manager</t>
  </si>
  <si>
    <t>EMP0012</t>
  </si>
  <si>
    <t>EMP0013</t>
  </si>
  <si>
    <t>Finance Manager</t>
  </si>
  <si>
    <t>EMP0014</t>
  </si>
  <si>
    <t>HR Manager</t>
  </si>
  <si>
    <t>EMP0015</t>
  </si>
  <si>
    <t>EMP0016</t>
  </si>
  <si>
    <t>EMP0017</t>
  </si>
  <si>
    <t>EMP0018</t>
  </si>
  <si>
    <t>EMP0019</t>
  </si>
  <si>
    <t>Software Engineer</t>
  </si>
  <si>
    <t>EMP0020</t>
  </si>
  <si>
    <t>EMP0021</t>
  </si>
  <si>
    <t>EMP0022</t>
  </si>
  <si>
    <t>M.Tech</t>
  </si>
  <si>
    <t>EMP0023</t>
  </si>
  <si>
    <t>EMP0024</t>
  </si>
  <si>
    <t>EMP0025</t>
  </si>
  <si>
    <t>EMP0026</t>
  </si>
  <si>
    <t>EMP0027</t>
  </si>
  <si>
    <t>EMP0028</t>
  </si>
  <si>
    <t>Sales Manager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</si>
  <si>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</si>
  <si>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</si>
  <si>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</si>
  <si>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</si>
  <si>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</si>
  <si>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</si>
  <si>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</si>
  <si>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</si>
  <si>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</si>
  <si>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</si>
  <si>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</si>
  <si>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</si>
  <si>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</si>
  <si>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</si>
  <si>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</si>
  <si>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</si>
  <si>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</si>
  <si>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</si>
  <si>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</si>
  <si>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</si>
  <si>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</si>
  <si>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</si>
  <si>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</si>
  <si>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</si>
  <si>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</si>
  <si>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</si>
  <si>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</si>
  <si>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</si>
  <si>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</si>
  <si>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</si>
  <si>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</si>
  <si>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</si>
  <si>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</si>
  <si>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</si>
  <si>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</si>
  <si>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</si>
  <si>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</si>
  <si>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</si>
  <si>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</si>
  <si>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</si>
  <si>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</si>
  <si>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</si>
  <si>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</si>
  <si>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</si>
  <si>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</si>
  <si>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</si>
  <si>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</si>
  <si>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</si>
  <si>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</si>
  <si>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</si>
  <si>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</si>
  <si>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</si>
  <si>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</si>
  <si>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</si>
  <si>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</si>
  <si>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</si>
  <si>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</si>
  <si>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</si>
  <si>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</si>
  <si>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</si>
  <si>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</si>
  <si>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</si>
  <si>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</si>
  <si>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</si>
  <si>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</si>
  <si>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</si>
  <si>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</si>
  <si>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</si>
  <si>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</si>
  <si>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</si>
  <si>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</si>
  <si>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</si>
  <si>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</si>
  <si>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</si>
  <si>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</si>
  <si>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</si>
  <si>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</si>
  <si>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</si>
  <si>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</si>
  <si>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</si>
  <si>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</si>
  <si>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</si>
  <si>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</si>
  <si>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</si>
  <si>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</si>
  <si>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</si>
  <si>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</si>
  <si>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</si>
  <si>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</si>
  <si>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</si>
  <si>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</si>
  <si>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</si>
  <si>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</si>
  <si>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</si>
  <si>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</si>
  <si>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</si>
  <si>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</si>
  <si>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</si>
  <si>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</si>
  <si>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</si>
  <si>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</si>
  <si>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</si>
  <si>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</si>
  <si>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</si>
  <si>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</si>
  <si>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</si>
  <si>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</si>
  <si>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</si>
  <si>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</si>
  <si>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</si>
  <si>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</si>
  <si>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</si>
  <si>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</si>
  <si>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</si>
  <si>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</si>
  <si>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</si>
  <si>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</si>
  <si>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</si>
  <si>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</si>
  <si>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</si>
  <si>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</si>
  <si>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</si>
  <si>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</si>
  <si>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</si>
  <si>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</si>
  <si>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</si>
  <si>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</si>
  <si>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</si>
  <si>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</si>
  <si>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</si>
  <si>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</si>
  <si>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</si>
  <si>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</si>
  <si>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</si>
  <si>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</si>
  <si>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</si>
  <si>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</si>
  <si>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</si>
  <si>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</si>
  <si>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</si>
  <si>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</si>
  <si>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</si>
  <si>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</si>
  <si>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</si>
  <si>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</si>
  <si>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</si>
  <si>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</si>
  <si>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</si>
  <si>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</si>
  <si>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</si>
  <si>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</si>
  <si>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</si>
  <si>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</si>
  <si>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</si>
  <si>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</si>
  <si>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</si>
  <si>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</si>
  <si>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</si>
  <si>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</si>
  <si>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</si>
  <si>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</si>
  <si>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</si>
  <si>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</si>
  <si>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</si>
  <si>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</si>
  <si>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</si>
  <si>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</si>
  <si>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</si>
  <si>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</si>
  <si>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</si>
  <si>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</si>
  <si>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</si>
  <si>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</si>
  <si>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</si>
  <si>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</si>
  <si>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</si>
  <si>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</si>
  <si>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</si>
  <si>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</si>
  <si>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</si>
  <si>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</si>
  <si>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</si>
  <si>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</si>
  <si>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</si>
  <si>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</si>
  <si>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</si>
  <si>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</si>
  <si>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</si>
  <si>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</si>
  <si>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</si>
  <si>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</si>
  <si>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</si>
  <si>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</si>
  <si>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</si>
  <si>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</si>
  <si>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</si>
  <si>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</si>
  <si>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</si>
  <si>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</si>
  <si>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</si>
  <si>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</si>
  <si>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</si>
  <si>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</si>
  <si>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</si>
  <si>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</si>
  <si>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</si>
  <si>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</si>
  <si>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</si>
  <si>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</si>
  <si>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</si>
  <si>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</si>
  <si>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</si>
  <si>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</si>
  <si>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</si>
  <si>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</si>
  <si>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</si>
  <si>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</si>
  <si>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</si>
  <si>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</si>
  <si>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</si>
  <si>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</si>
  <si>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</si>
  <si>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</si>
  <si>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</si>
  <si>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</si>
  <si>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</si>
  <si>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</si>
  <si>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</si>
  <si>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</si>
  <si>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</si>
  <si>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</si>
  <si>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</si>
  <si>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</si>
  <si>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</si>
  <si>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</si>
  <si>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</si>
  <si>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</si>
  <si>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</si>
  <si>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</si>
  <si>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</si>
  <si>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</si>
  <si>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</si>
  <si>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</si>
  <si>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</si>
  <si>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</si>
  <si>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</si>
  <si>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</si>
  <si>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</si>
  <si>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</si>
  <si>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</si>
  <si>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</si>
  <si>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</si>
  <si>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</si>
  <si>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</si>
  <si>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</si>
  <si>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</si>
  <si>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</si>
  <si>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</si>
  <si>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</si>
  <si>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</si>
  <si>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</si>
  <si>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</si>
  <si>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</si>
  <si>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</si>
  <si>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</si>
  <si>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</si>
  <si>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</si>
  <si>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</si>
  <si>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</si>
  <si>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</si>
  <si>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</si>
  <si>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</si>
  <si>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</si>
  <si>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</si>
  <si>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</si>
  <si>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</si>
  <si>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</si>
  <si>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</si>
  <si>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</si>
  <si>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</si>
  <si>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</si>
  <si>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</si>
  <si>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</si>
  <si>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</si>
  <si>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</si>
  <si>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</si>
  <si>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</si>
  <si>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</si>
  <si>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</si>
  <si>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</si>
  <si>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</si>
  <si>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</si>
  <si>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</si>
  <si>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</si>
  <si>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</si>
  <si>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</si>
  <si>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</si>
  <si>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</si>
  <si>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</si>
  <si>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</si>
  <si>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</si>
  <si>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</si>
  <si>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</si>
  <si>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</si>
  <si>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</si>
  <si>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</si>
  <si>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</si>
  <si>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</si>
  <si>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</si>
  <si>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</si>
  <si>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</si>
  <si>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</si>
  <si>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</si>
  <si>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</si>
  <si>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</si>
  <si>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</si>
  <si>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</si>
  <si>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</si>
  <si>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</si>
  <si>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</si>
  <si>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</si>
  <si>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</si>
  <si>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</si>
  <si>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</si>
  <si>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</si>
  <si>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</si>
  <si>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</si>
  <si>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</si>
  <si>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</si>
  <si>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</si>
  <si>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</si>
  <si>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</si>
  <si>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</si>
  <si>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</si>
  <si>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</si>
  <si>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</si>
  <si>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</si>
  <si>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</si>
  <si>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</si>
  <si>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</si>
  <si>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</si>
  <si>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</si>
  <si>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</si>
  <si>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</si>
  <si>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</si>
  <si>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</si>
  <si>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</si>
  <si>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</si>
  <si>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</si>
  <si>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</si>
  <si>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</si>
  <si>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</si>
  <si>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</si>
  <si>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</si>
  <si>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</si>
  <si>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</si>
  <si>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</si>
  <si>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</si>
  <si>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</si>
  <si>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</si>
  <si>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</si>
  <si>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</si>
  <si>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</si>
  <si>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</si>
  <si>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</si>
  <si>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</si>
  <si>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</si>
  <si>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</si>
  <si>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</si>
  <si>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</si>
  <si>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</si>
  <si>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</si>
  <si>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</si>
  <si>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</si>
  <si>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</si>
  <si>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</si>
  <si>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</si>
  <si>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</si>
  <si>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</si>
  <si>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</si>
  <si>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</si>
  <si>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</si>
  <si>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</si>
  <si>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</si>
  <si>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</si>
  <si>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</si>
  <si>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</si>
  <si>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</si>
  <si>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</si>
  <si>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</si>
  <si>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</si>
  <si>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</si>
  <si>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</si>
  <si>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</si>
  <si>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</si>
  <si>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</si>
  <si>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</si>
  <si>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</si>
  <si>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</si>
  <si>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</si>
  <si>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</si>
  <si>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</si>
  <si>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</si>
  <si>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</si>
  <si>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</si>
  <si>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</si>
  <si>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</si>
  <si>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</si>
  <si>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</si>
  <si>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</si>
  <si>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</si>
  <si>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</si>
  <si>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</si>
  <si>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</si>
  <si>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</si>
  <si>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</si>
  <si>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</si>
  <si>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</si>
  <si>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</si>
  <si>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</si>
  <si>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</si>
  <si>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</si>
  <si>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</si>
  <si>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</si>
  <si>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</si>
  <si>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</si>
  <si>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</si>
  <si>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</si>
  <si>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</si>
  <si>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</si>
  <si>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</si>
  <si>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</si>
  <si>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</si>
  <si>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</si>
  <si>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</si>
  <si>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</si>
  <si>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</si>
  <si>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</si>
  <si>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</si>
  <si>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</si>
  <si>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</si>
  <si>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</si>
  <si>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</si>
  <si>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</si>
  <si>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</si>
  <si>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</si>
  <si>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</si>
  <si>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</si>
  <si>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</si>
  <si>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</si>
  <si>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</si>
  <si>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</si>
  <si>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</si>
  <si>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</si>
  <si>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</si>
  <si>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</si>
  <si>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</si>
  <si>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</si>
  <si>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</si>
  <si>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</si>
  <si>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</si>
  <si>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</si>
  <si>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</si>
  <si>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</si>
  <si>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</si>
  <si>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</si>
  <si>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</si>
  <si>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</si>
  <si>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</si>
  <si>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</si>
  <si>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</si>
  <si>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</si>
  <si>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</si>
  <si>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</si>
  <si>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</si>
  <si>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</si>
  <si>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</si>
  <si>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</si>
  <si>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</si>
  <si>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</si>
  <si>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</si>
  <si>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</si>
  <si>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</si>
  <si>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</si>
  <si>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</si>
  <si>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</si>
  <si>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</si>
  <si>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</si>
  <si>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</si>
  <si>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</si>
  <si>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</si>
  <si>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</si>
  <si>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</si>
  <si>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</si>
  <si>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</si>
  <si>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</si>
  <si>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</si>
  <si>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</si>
  <si>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</si>
  <si>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</si>
  <si>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</si>
  <si>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</si>
  <si>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</si>
  <si>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</si>
  <si>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</si>
  <si>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</si>
  <si>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</si>
  <si>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</si>
  <si>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</si>
  <si>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</si>
  <si>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</si>
  <si>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</si>
  <si>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</si>
  <si>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</si>
  <si>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</si>
  <si>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</si>
  <si>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</si>
  <si>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</si>
  <si>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</si>
  <si>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</si>
  <si>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</si>
  <si>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</si>
  <si>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</si>
  <si>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</si>
  <si>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</si>
  <si>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</si>
  <si>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</si>
  <si>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</si>
  <si>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</si>
  <si>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</si>
  <si>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</si>
  <si>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</si>
  <si>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</si>
  <si>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</si>
  <si>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</si>
  <si>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</si>
  <si>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</si>
  <si>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</si>
  <si>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</si>
  <si>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</si>
  <si>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</si>
  <si>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</si>
  <si>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</si>
  <si>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</si>
  <si>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</si>
  <si>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</si>
  <si>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</si>
  <si>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</si>
  <si>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</si>
  <si>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</si>
  <si>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</si>
  <si>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</si>
  <si>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</si>
  <si>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</si>
  <si>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</si>
  <si>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</si>
  <si>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</si>
  <si>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</si>
  <si>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</si>
  <si>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</si>
  <si>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</si>
  <si>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</si>
  <si>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</si>
  <si>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</si>
  <si>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</si>
  <si>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</si>
  <si>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</si>
  <si>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</si>
  <si>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</si>
  <si>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</si>
  <si>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</si>
  <si>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</si>
  <si>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</si>
  <si>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</si>
  <si>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</si>
  <si>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</si>
  <si>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</si>
  <si>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</si>
  <si>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</si>
  <si>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</si>
  <si>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</si>
  <si>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</si>
  <si>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</si>
  <si>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</si>
  <si>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</si>
  <si>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</si>
  <si>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</si>
  <si>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</si>
  <si>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</si>
  <si>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</si>
  <si>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</si>
  <si>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</si>
  <si>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</si>
  <si>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</si>
  <si>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</si>
  <si>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</si>
  <si>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</si>
  <si>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</si>
  <si>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</si>
  <si>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</si>
  <si>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</si>
  <si>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</si>
  <si>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</si>
  <si>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</si>
  <si>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</si>
  <si>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</si>
  <si>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</si>
  <si>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</si>
  <si>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</si>
  <si>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</si>
  <si>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</si>
  <si>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</si>
  <si>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</si>
  <si>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</si>
  <si>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</si>
  <si>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</si>
  <si>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</si>
  <si>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</si>
  <si>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</si>
  <si>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</si>
  <si>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</si>
  <si>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</si>
  <si>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</si>
  <si>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</si>
  <si>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</si>
  <si>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</si>
  <si>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</si>
  <si>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</si>
  <si>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</si>
  <si>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</si>
  <si>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</si>
  <si>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</si>
  <si>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</si>
  <si>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</si>
  <si>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</si>
  <si>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</si>
  <si>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</si>
  <si>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</si>
  <si>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</si>
  <si>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</si>
  <si>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</si>
  <si>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</si>
  <si>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</si>
  <si>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</si>
  <si>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</si>
  <si>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</si>
  <si>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</si>
  <si>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</si>
  <si>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</si>
  <si>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</si>
  <si>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</si>
  <si>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</si>
  <si>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</si>
  <si>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</si>
  <si>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</si>
  <si>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</si>
  <si>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</si>
  <si>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</si>
  <si>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</si>
  <si>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</si>
  <si>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</si>
  <si>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</si>
  <si>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</si>
  <si>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</si>
  <si>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</si>
  <si>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</si>
  <si>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</si>
  <si>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</si>
  <si>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</si>
  <si>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</si>
  <si>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</si>
  <si>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</si>
  <si>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</si>
  <si>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</si>
  <si>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</si>
  <si>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</si>
  <si>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</si>
  <si>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</si>
  <si>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</si>
  <si>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</si>
  <si>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</si>
  <si>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</si>
  <si>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</si>
  <si>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</si>
  <si>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</si>
  <si>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</si>
  <si>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</si>
  <si>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</si>
  <si>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</si>
  <si>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</si>
  <si>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</si>
  <si>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</si>
  <si>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</si>
  <si>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</si>
  <si>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</si>
  <si>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</si>
  <si>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</si>
  <si>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</si>
  <si>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</si>
  <si>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</si>
  <si>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</si>
  <si>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</si>
  <si>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</si>
  <si>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</si>
  <si>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</si>
  <si>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</si>
  <si>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</si>
  <si>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</si>
  <si>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</si>
  <si>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</si>
  <si>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</si>
  <si>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</si>
  <si>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</si>
  <si>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</si>
  <si>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</si>
  <si>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</si>
  <si>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</si>
  <si>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</si>
  <si>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</si>
  <si>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</si>
  <si>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</si>
  <si>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</si>
  <si>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</si>
  <si>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</si>
  <si>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</si>
  <si>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</si>
  <si>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</si>
  <si>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</si>
  <si>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</si>
  <si>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</si>
  <si>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</si>
  <si>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</si>
  <si>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</si>
  <si>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</si>
  <si>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</si>
  <si>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</si>
  <si>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</si>
  <si>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</si>
  <si>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</si>
  <si>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</si>
  <si>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</si>
  <si>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</si>
  <si>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</si>
  <si>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</si>
  <si>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</si>
  <si>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</si>
  <si>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</si>
  <si>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</si>
  <si>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</si>
  <si>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</si>
  <si>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</si>
  <si>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</si>
  <si>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</si>
  <si>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</si>
  <si>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</si>
  <si>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</si>
  <si>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</si>
  <si>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</si>
  <si>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</si>
  <si>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</si>
  <si>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</si>
  <si>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</si>
  <si>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</si>
  <si>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</si>
  <si>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</si>
  <si>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</si>
  <si>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</si>
  <si>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</si>
  <si>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</si>
  <si>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</si>
  <si>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</si>
  <si>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</si>
  <si>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</si>
  <si>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</si>
  <si>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</si>
  <si>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</si>
  <si>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</si>
  <si>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</si>
  <si>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</si>
  <si>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</si>
  <si>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</si>
  <si>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</si>
  <si>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</si>
  <si>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</si>
  <si>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</si>
  <si>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</si>
  <si>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</si>
  <si>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</si>
  <si>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</si>
  <si>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</si>
  <si>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</si>
  <si>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</si>
  <si>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</si>
  <si>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</si>
  <si>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</si>
  <si>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</si>
  <si>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</si>
  <si>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</si>
  <si>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</si>
  <si>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</si>
  <si>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</si>
  <si>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</si>
  <si>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</si>
  <si>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</si>
  <si>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</si>
  <si>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</si>
  <si>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</si>
  <si>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</si>
  <si>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</si>
  <si>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</si>
  <si>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</si>
  <si>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</si>
  <si>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</si>
  <si>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</si>
  <si>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</si>
  <si>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</si>
  <si>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</si>
  <si>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</si>
  <si>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</si>
  <si>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</si>
  <si>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</si>
  <si>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</si>
  <si>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</si>
  <si>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</si>
  <si>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</si>
  <si>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</si>
  <si>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</si>
  <si>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</si>
  <si>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</si>
  <si>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</si>
  <si>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</si>
  <si>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</si>
  <si>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</si>
  <si>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</si>
  <si>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</si>
  <si>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</si>
  <si>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</si>
  <si>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</si>
  <si>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</si>
  <si>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</si>
  <si>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</si>
  <si>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</si>
  <si>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</si>
  <si>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</si>
  <si>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</si>
  <si>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</si>
  <si>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</si>
  <si>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</si>
  <si>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</si>
  <si>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</si>
  <si>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</si>
  <si>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</si>
  <si>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</si>
  <si>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</si>
  <si>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</si>
  <si>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</si>
  <si>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</si>
  <si>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</si>
  <si>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</si>
  <si>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</si>
  <si>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</si>
  <si>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</si>
  <si>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</si>
  <si>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</si>
  <si>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</si>
  <si>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</si>
  <si>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</si>
  <si>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</si>
  <si>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</si>
  <si>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</si>
  <si>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</si>
  <si>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</si>
  <si>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</si>
  <si>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</si>
  <si>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</si>
  <si>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</si>
  <si>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</si>
  <si>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</si>
  <si>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</si>
  <si>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</si>
  <si>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</si>
  <si>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</si>
  <si>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</si>
  <si>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</si>
  <si>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</si>
  <si>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</si>
  <si>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</si>
  <si>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</si>
  <si>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</si>
  <si>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</si>
  <si>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</si>
  <si>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</si>
  <si>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</si>
  <si>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</si>
  <si>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</si>
  <si>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</si>
  <si>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</si>
  <si>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</si>
  <si>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</si>
  <si>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</si>
  <si>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</si>
  <si>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</si>
  <si>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</si>
  <si>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</si>
  <si>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</si>
  <si>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</si>
  <si>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</si>
  <si>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</si>
  <si>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</si>
  <si>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</si>
  <si>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</si>
  <si>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</si>
  <si>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</si>
  <si>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</si>
  <si>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</si>
  <si>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</si>
  <si>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</si>
  <si>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</si>
  <si>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</si>
  <si>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</si>
  <si>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</si>
  <si>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</si>
  <si>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</si>
  <si>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</si>
  <si>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</si>
  <si>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</si>
  <si>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</si>
  <si>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</si>
  <si>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</si>
  <si>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</si>
  <si>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</si>
  <si>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</si>
  <si>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</si>
  <si>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</si>
  <si>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</si>
  <si>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</si>
  <si>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</si>
  <si>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</si>
  <si>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</si>
  <si>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</si>
  <si>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</si>
  <si>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</si>
  <si>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</si>
  <si>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</si>
  <si>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</si>
  <si>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</si>
  <si>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</si>
  <si>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</si>
  <si>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</si>
  <si>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</si>
  <si>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</si>
  <si>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</si>
  <si>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</si>
  <si>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</si>
  <si>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</si>
  <si>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</si>
  <si>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</si>
  <si>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</si>
  <si>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</si>
  <si>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</si>
  <si>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</si>
  <si>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</si>
  <si>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</si>
  <si>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</si>
  <si>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</si>
  <si>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</si>
  <si>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</si>
  <si>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</si>
  <si>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</si>
  <si>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</si>
  <si>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</si>
  <si>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</si>
  <si>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Total Headcount</t>
  </si>
  <si>
    <t>Total Attrition Count</t>
  </si>
  <si>
    <t>Overall Attrition Rate %</t>
  </si>
  <si>
    <t>Finance Dept Attrition</t>
  </si>
  <si>
    <t>IT Dept Avg Income</t>
  </si>
  <si>
    <t>Employee Lookup</t>
  </si>
  <si>
    <t>1000</t>
  </si>
  <si>
    <t>Row Labels</t>
  </si>
  <si>
    <t>Grand Total</t>
  </si>
  <si>
    <t>Column Labels</t>
  </si>
  <si>
    <t>Count of 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</si>
</sst>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[Employee_1000_Dataset.xlsx]KPI Summary!PivotTable1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Summary'!$C$13:$C$14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Summary'!$B$15:$B$21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'KPI Summary'!$C$15:$C$21</c:f>
              <c:numCache>
                <c:formatCode>0.00%</c:formatCode>
                <c:ptCount val="6"/>
                <c:pt idx="0">
                  <c:v>0.797752808988764</c:v>
                </c:pt>
                <c:pt idx="1">
                  <c:v>0.82634730538922152</c:v>
                </c:pt>
                <c:pt idx="2">
                  <c:v>0.84302325581395354</c:v>
                </c:pt>
                <c:pt idx="3">
                  <c:v>0.84810126582278478</c:v>
                </c:pt>
                <c:pt idx="4">
                  <c:v>0.83870967741935487</c:v>
                </c:pt>
                <c:pt idx="5">
                  <c:v>0.85882352941176465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3-4283-8853-D591292F9C34}"/>
            </c:ext>
          </c:extLst>
        </c:ser>
        <c:ser>
          <c:idx val="1"/>
          <c:order val="1"/>
          <c:tx>
            <c:strRef>
              <c:f>'KPI Summary'!$D$13:$D$14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 Summary'!$B$15:$B$21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'KPI Summary'!$D$15:$D$21</c:f>
              <c:numCache>
                <c:formatCode>0.00%</c:formatCode>
                <c:ptCount val="6"/>
                <c:pt idx="0">
                  <c:v>0.20224719101123595</c:v>
                </c:pt>
                <c:pt idx="1">
                  <c:v>0.17365269461077845</c:v>
                </c:pt>
                <c:pt idx="2">
                  <c:v>0.15697674418604651</c:v>
                </c:pt>
                <c:pt idx="3">
                  <c:v>0.15189873417721519</c:v>
                </c:pt>
                <c:pt idx="4">
                  <c:v>0.16129032258064516</c:v>
                </c:pt>
                <c:pt idx="5">
                  <c:v>0.14117647058823529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C3-4283-8853-D591292F9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058720"/>
        <c:axId val="808038560"/>
      </c:barChart>
      <c:catAx>
        <c:axId val="80805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038560"/>
        <c:crosses val="autoZero"/>
        <c:auto val="1"/>
        <c:lblAlgn val="ctr"/>
        <c:lblOffset val="100"/>
        <c:noMultiLvlLbl val="0"/>
      </c:catAx>
      <c:valAx>
        <c:axId val="80803856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05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349250</xdr:colOff>
      <xdr:row>1</xdr:row>
      <xdr:rowOff>165100</xdr:rowOff>
    </xdr:from>
    <xdr:to>
      <xdr:col>13</xdr:col>
      <xdr:colOff>69850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1B6F27-916E-2CCE-8B86-C2FF79B92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rsh Yadav" refreshedDate="46287.525461689816" createdVersion="8" refreshedVersion="8" minRefreshableVersion="3" recordCount="1000" xr:uid="{E5668A10-7298-4CE3-A8C8-8D1F42750E7C}">
  <cacheSource type="worksheet">
    <worksheetSource name="Table1"/>
  </cacheSource>
  <cacheFields count="26">
    <cacheField name="Employee_ID" numFmtId="0">
      <sharedItems/>
    </cacheField>
    <cacheField name="Age" numFmtId="0">
      <sharedItems containsSemiMixedTypes="0" containsString="0" containsNumber="1" containsInteger="1" minValue="22" maxValue="59"/>
    </cacheField>
    <cacheField name="Gender" numFmtId="0">
      <sharedItems/>
    </cacheField>
    <cacheField name="Department" numFmtId="0">
      <sharedItems count="6">
        <s v="Finance"/>
        <s v="Sales"/>
        <s v="IT"/>
        <s v="Operations"/>
        <s v="HR"/>
        <s v="Marketing"/>
      </sharedItems>
    </cacheField>
    <cacheField name="Job_Role" numFmtId="0">
      <sharedItems/>
    </cacheField>
    <cacheField name="Education" numFmtId="0">
      <sharedItems/>
    </cacheField>
    <cacheField name="Monthly_Income" numFmtId="0">
      <sharedItems containsSemiMixedTypes="0" containsString="0" containsNumber="1" containsInteger="1" minValue="37123" maxValue="174178"/>
    </cacheField>
    <cacheField name="Years_At_Company" numFmtId="0">
      <sharedItems containsSemiMixedTypes="0" containsString="0" containsNumber="1" containsInteger="1" minValue="0" maxValue="38"/>
    </cacheField>
    <cacheField name="Total_Working_Years" numFmtId="0">
      <sharedItems containsSemiMixedTypes="0" containsString="0" containsNumber="1" containsInteger="1" minValue="1" maxValue="38"/>
    </cacheField>
    <cacheField name="Job_Level" numFmtId="0">
      <sharedItems containsSemiMixedTypes="0" containsString="0" containsNumber="1" containsInteger="1" minValue="1" maxValue="5"/>
    </cacheField>
    <cacheField name="Job_Satisfaction" numFmtId="0">
      <sharedItems containsSemiMixedTypes="0" containsString="0" containsNumber="1" containsInteger="1" minValue="1" maxValue="4"/>
    </cacheField>
    <cacheField name="Environment_Satisfaction" numFmtId="0">
      <sharedItems containsSemiMixedTypes="0" containsString="0" containsNumber="1" containsInteger="1" minValue="1" maxValue="4"/>
    </cacheField>
    <cacheField name="Work_Life_Balance" numFmtId="0">
      <sharedItems containsSemiMixedTypes="0" containsString="0" containsNumber="1" containsInteger="1" minValue="1" maxValue="4"/>
    </cacheField>
    <cacheField name="OverTime" numFmtId="0">
      <sharedItems/>
    </cacheField>
    <cacheField name="Business_Travel" numFmtId="0">
      <sharedItems/>
    </cacheField>
    <cacheField name="Distance_From_Home" numFmtId="0">
      <sharedItems containsSemiMixedTypes="0" containsString="0" containsNumber="1" containsInteger="1" minValue="1" maxValue="29"/>
    </cacheField>
    <cacheField name="Training_Hours" numFmtId="0">
      <sharedItems containsSemiMixedTypes="0" containsString="0" containsNumber="1" containsInteger="1" minValue="10" maxValue="59"/>
    </cacheField>
    <cacheField name="Performance_Rating" numFmtId="0">
      <sharedItems containsSemiMixedTypes="0" containsString="0" containsNumber="1" containsInteger="1" minValue="2" maxValue="4"/>
    </cacheField>
    <cacheField name="Promotion_Last_5_Years" numFmtId="0">
      <sharedItems/>
    </cacheField>
    <cacheField name="Absenteeism_Days" numFmtId="0">
      <sharedItems containsSemiMixedTypes="0" containsString="0" containsNumber="1" containsInteger="1" minValue="0" maxValue="14"/>
    </cacheField>
    <cacheField name="Attrition" numFmtId="0">
      <sharedItems count="2">
        <s v="Yes"/>
        <s v="No"/>
      </sharedItems>
    </cacheField>
    <cacheField name="Joining_Date" numFmtId="14">
      <sharedItems containsSemiMixedTypes="0" containsNonDate="0" containsDate="1" containsString="0" minDate="2012-01-04T00:00:00" maxDate="2023-12-22T00:00:00"/>
    </cacheField>
    <cacheField name="Exit_Date" numFmtId="0">
      <sharedItems containsNonDate="0" containsDate="1" containsString="0" containsBlank="1" minDate="2013-02-08T00:00:00" maxDate="2025-10-09T00:00:00"/>
    </cacheField>
    <cacheField name="Exit Date Cleaned" numFmtId="14">
      <sharedItems/>
    </cacheField>
    <cacheField name="Age Group" numFmtId="0">
      <sharedItems/>
    </cacheField>
    <cacheField name="Tenur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0001"/>
    <n v="50"/>
    <s v="Male"/>
    <x v="0"/>
    <s v="Financial Analyst"/>
    <s v="MBA"/>
    <n v="146578"/>
    <n v="22"/>
    <n v="27"/>
    <n v="5"/>
    <n v="4"/>
    <n v="1"/>
    <n v="4"/>
    <s v="No"/>
    <s v="Travel_Rarely"/>
    <n v="24"/>
    <n v="53"/>
    <n v="2"/>
    <s v="Yes"/>
    <n v="0"/>
    <x v="0"/>
    <d v="2015-03-30T00:00:00"/>
    <d v="2016-10-09T00:00:00"/>
    <s v="2016-10-09"/>
    <s v="46-55"/>
    <s v="10+ Years"/>
  </r>
  <r>
    <s v="EMP0002"/>
    <n v="43"/>
    <s v="Male"/>
    <x v="1"/>
    <s v="Sales Executive"/>
    <s v="B.Com"/>
    <n v="122643"/>
    <n v="9"/>
    <n v="20"/>
    <n v="5"/>
    <n v="4"/>
    <n v="4"/>
    <n v="3"/>
    <s v="No"/>
    <s v="Travel_Rarely"/>
    <n v="23"/>
    <n v="12"/>
    <n v="3"/>
    <s v="Yes"/>
    <n v="2"/>
    <x v="0"/>
    <d v="2017-08-23T00:00:00"/>
    <d v="2018-07-30T00:00:00"/>
    <s v="2018-07-30"/>
    <s v="36-45"/>
    <s v="6-10 Years"/>
  </r>
  <r>
    <s v="EMP0003"/>
    <n v="30"/>
    <s v="Male"/>
    <x v="2"/>
    <s v="IT Manager"/>
    <s v="B.A"/>
    <n v="58775"/>
    <n v="3"/>
    <n v="7"/>
    <n v="2"/>
    <n v="3"/>
    <n v="3"/>
    <n v="2"/>
    <s v="Yes"/>
    <s v="Travel_Frequently"/>
    <n v="6"/>
    <n v="51"/>
    <n v="3"/>
    <s v="No"/>
    <n v="3"/>
    <x v="1"/>
    <d v="2014-09-22T00:00:00"/>
    <m/>
    <s v="Active"/>
    <s v="26-35"/>
    <s v="2-3 Years"/>
  </r>
  <r>
    <s v="EMP0004"/>
    <n v="35"/>
    <s v="Female"/>
    <x v="3"/>
    <s v="Operations Executive"/>
    <s v="B.A"/>
    <n v="130892"/>
    <n v="13"/>
    <n v="14"/>
    <n v="5"/>
    <n v="4"/>
    <n v="1"/>
    <n v="2"/>
    <s v="No"/>
    <s v="Non-Travel"/>
    <n v="28"/>
    <n v="54"/>
    <n v="3"/>
    <s v="No"/>
    <n v="5"/>
    <x v="1"/>
    <d v="2013-01-26T00:00:00"/>
    <m/>
    <s v="Active"/>
    <s v="26-35"/>
    <s v="10+ Years"/>
  </r>
  <r>
    <s v="EMP0005"/>
    <n v="56"/>
    <s v="Female"/>
    <x v="4"/>
    <s v="HR Executive"/>
    <s v="MBA"/>
    <n v="151200"/>
    <n v="27"/>
    <n v="33"/>
    <n v="5"/>
    <n v="4"/>
    <n v="4"/>
    <n v="2"/>
    <s v="No"/>
    <s v="Travel_Rarely"/>
    <n v="5"/>
    <n v="44"/>
    <n v="2"/>
    <s v="No"/>
    <n v="7"/>
    <x v="1"/>
    <d v="2012-07-25T00:00:00"/>
    <m/>
    <s v="Active"/>
    <s v="56+"/>
    <s v="10+ Years"/>
  </r>
  <r>
    <s v="EMP0006"/>
    <n v="36"/>
    <s v="Male"/>
    <x v="5"/>
    <s v="Marketing Analyst"/>
    <s v="B.Com"/>
    <n v="79563"/>
    <n v="6"/>
    <n v="13"/>
    <n v="3"/>
    <n v="1"/>
    <n v="4"/>
    <n v="4"/>
    <s v="Yes"/>
    <s v="Travel_Rarely"/>
    <n v="11"/>
    <n v="38"/>
    <n v="4"/>
    <s v="No"/>
    <n v="2"/>
    <x v="0"/>
    <d v="2016-05-16T00:00:00"/>
    <d v="2018-05-31T00:00:00"/>
    <s v="2018-05-31"/>
    <s v="36-45"/>
    <s v="6-10 Years"/>
  </r>
  <r>
    <s v="EMP0007"/>
    <n v="49"/>
    <s v="Female"/>
    <x v="5"/>
    <s v="Marketing Manager"/>
    <s v="BBA"/>
    <n v="118529"/>
    <n v="10"/>
    <n v="27"/>
    <n v="5"/>
    <n v="3"/>
    <n v="4"/>
    <n v="1"/>
    <s v="Yes"/>
    <s v="Travel_Rarely"/>
    <n v="25"/>
    <n v="22"/>
    <n v="3"/>
    <s v="Yes"/>
    <n v="1"/>
    <x v="1"/>
    <d v="2022-04-06T00:00:00"/>
    <m/>
    <s v="Active"/>
    <s v="46-55"/>
    <s v="6-10 Years"/>
  </r>
  <r>
    <s v="EMP0008"/>
    <n v="54"/>
    <s v="Male"/>
    <x v="5"/>
    <s v="Marketing Manager"/>
    <s v="B.Com"/>
    <n v="160495"/>
    <n v="31"/>
    <n v="32"/>
    <n v="5"/>
    <n v="1"/>
    <n v="4"/>
    <n v="1"/>
    <s v="Yes"/>
    <s v="Travel_Rarely"/>
    <n v="7"/>
    <n v="11"/>
    <n v="2"/>
    <s v="Yes"/>
    <n v="5"/>
    <x v="1"/>
    <d v="2021-07-06T00:00:00"/>
    <m/>
    <s v="Active"/>
    <s v="46-55"/>
    <s v="10+ Years"/>
  </r>
  <r>
    <s v="EMP0009"/>
    <n v="23"/>
    <s v="Male"/>
    <x v="2"/>
    <s v="Data Analyst"/>
    <s v="B.A"/>
    <n v="56218"/>
    <n v="0"/>
    <n v="1"/>
    <n v="2"/>
    <n v="1"/>
    <n v="3"/>
    <n v="2"/>
    <s v="No"/>
    <s v="Travel_Rarely"/>
    <n v="11"/>
    <n v="57"/>
    <n v="3"/>
    <s v="No"/>
    <n v="6"/>
    <x v="1"/>
    <d v="2012-05-26T00:00:00"/>
    <m/>
    <s v="Active"/>
    <s v="18-25"/>
    <s v="0-1 Year"/>
  </r>
  <r>
    <s v="EMP0010"/>
    <n v="41"/>
    <s v="Female"/>
    <x v="5"/>
    <s v="Marketing Analyst"/>
    <s v="B.Tech"/>
    <n v="96919"/>
    <n v="6"/>
    <n v="17"/>
    <n v="4"/>
    <n v="1"/>
    <n v="3"/>
    <n v="4"/>
    <s v="Yes"/>
    <s v="Travel_Rarely"/>
    <n v="10"/>
    <n v="44"/>
    <n v="3"/>
    <s v="No"/>
    <n v="8"/>
    <x v="1"/>
    <d v="2016-08-09T00:00:00"/>
    <m/>
    <s v="Active"/>
    <s v="36-45"/>
    <s v="6-10 Years"/>
  </r>
  <r>
    <s v="EMP0011"/>
    <n v="37"/>
    <s v="Female"/>
    <x v="3"/>
    <s v="Operations Manager"/>
    <s v="B.Tech"/>
    <n v="59648"/>
    <n v="3"/>
    <n v="13"/>
    <n v="2"/>
    <n v="4"/>
    <n v="4"/>
    <n v="2"/>
    <s v="No"/>
    <s v="Travel_Rarely"/>
    <n v="25"/>
    <n v="44"/>
    <n v="3"/>
    <s v="No"/>
    <n v="6"/>
    <x v="1"/>
    <d v="2015-07-24T00:00:00"/>
    <m/>
    <s v="Active"/>
    <s v="36-45"/>
    <s v="2-3 Years"/>
  </r>
  <r>
    <s v="EMP0012"/>
    <n v="41"/>
    <s v="Male"/>
    <x v="4"/>
    <s v="HR Executive"/>
    <s v="B.Tech"/>
    <n v="108565"/>
    <n v="11"/>
    <n v="17"/>
    <n v="4"/>
    <n v="3"/>
    <n v="2"/>
    <n v="2"/>
    <s v="No"/>
    <s v="Travel_Rarely"/>
    <n v="8"/>
    <n v="36"/>
    <n v="3"/>
    <s v="No"/>
    <n v="7"/>
    <x v="1"/>
    <d v="2015-05-28T00:00:00"/>
    <m/>
    <s v="Active"/>
    <s v="36-45"/>
    <s v="10+ Years"/>
  </r>
  <r>
    <s v="EMP0013"/>
    <n v="51"/>
    <s v="Female"/>
    <x v="0"/>
    <s v="Finance Manager"/>
    <s v="B.Com"/>
    <n v="85327"/>
    <n v="8"/>
    <n v="27"/>
    <n v="3"/>
    <n v="1"/>
    <n v="1"/>
    <n v="2"/>
    <s v="No"/>
    <s v="Travel_Frequently"/>
    <n v="29"/>
    <n v="30"/>
    <n v="4"/>
    <s v="No"/>
    <n v="6"/>
    <x v="1"/>
    <d v="2022-12-28T00:00:00"/>
    <m/>
    <s v="Active"/>
    <s v="46-55"/>
    <s v="6-10 Years"/>
  </r>
  <r>
    <s v="EMP0014"/>
    <n v="43"/>
    <s v="Male"/>
    <x v="4"/>
    <s v="HR Manager"/>
    <s v="MBA"/>
    <n v="136560"/>
    <n v="16"/>
    <n v="21"/>
    <n v="5"/>
    <n v="3"/>
    <n v="2"/>
    <n v="4"/>
    <s v="Yes"/>
    <s v="Travel_Rarely"/>
    <n v="18"/>
    <n v="34"/>
    <n v="3"/>
    <s v="Yes"/>
    <n v="1"/>
    <x v="1"/>
    <d v="2023-04-08T00:00:00"/>
    <m/>
    <s v="Active"/>
    <s v="36-45"/>
    <s v="10+ Years"/>
  </r>
  <r>
    <s v="EMP0015"/>
    <n v="22"/>
    <s v="Male"/>
    <x v="3"/>
    <s v="Operations Manager"/>
    <s v="BBA"/>
    <n v="38166"/>
    <n v="0"/>
    <n v="1"/>
    <n v="1"/>
    <n v="4"/>
    <n v="2"/>
    <n v="2"/>
    <s v="No"/>
    <s v="Travel_Rarely"/>
    <n v="26"/>
    <n v="31"/>
    <n v="3"/>
    <s v="No"/>
    <n v="2"/>
    <x v="1"/>
    <d v="2018-10-27T00:00:00"/>
    <m/>
    <s v="Active"/>
    <s v="18-25"/>
    <s v="0-1 Year"/>
  </r>
  <r>
    <s v="EMP0016"/>
    <n v="58"/>
    <s v="Male"/>
    <x v="0"/>
    <s v="Finance Manager"/>
    <s v="B.A"/>
    <n v="65315"/>
    <n v="4"/>
    <n v="34"/>
    <n v="2"/>
    <n v="2"/>
    <n v="1"/>
    <n v="4"/>
    <s v="No"/>
    <s v="Travel_Rarely"/>
    <n v="20"/>
    <n v="25"/>
    <n v="3"/>
    <s v="No"/>
    <n v="6"/>
    <x v="1"/>
    <d v="2012-04-26T00:00:00"/>
    <m/>
    <s v="Active"/>
    <s v="56+"/>
    <s v="4-5 Years"/>
  </r>
  <r>
    <s v="EMP0017"/>
    <n v="44"/>
    <s v="Male"/>
    <x v="5"/>
    <s v="Marketing Analyst"/>
    <s v="B.Tech"/>
    <n v="39849"/>
    <n v="0"/>
    <n v="22"/>
    <n v="1"/>
    <n v="4"/>
    <n v="2"/>
    <n v="2"/>
    <s v="No"/>
    <s v="Travel_Rarely"/>
    <n v="16"/>
    <n v="48"/>
    <n v="3"/>
    <s v="No"/>
    <n v="4"/>
    <x v="1"/>
    <d v="2019-07-07T00:00:00"/>
    <m/>
    <s v="Active"/>
    <s v="36-45"/>
    <s v="0-1 Year"/>
  </r>
  <r>
    <s v="EMP0018"/>
    <n v="50"/>
    <s v="Male"/>
    <x v="0"/>
    <s v="Financial Analyst"/>
    <s v="B.Tech"/>
    <n v="126059"/>
    <n v="13"/>
    <n v="28"/>
    <n v="5"/>
    <n v="1"/>
    <n v="4"/>
    <n v="4"/>
    <s v="No"/>
    <s v="Travel_Rarely"/>
    <n v="1"/>
    <n v="39"/>
    <n v="2"/>
    <s v="Yes"/>
    <n v="4"/>
    <x v="0"/>
    <d v="2016-06-19T00:00:00"/>
    <d v="2018-11-04T00:00:00"/>
    <s v="2018-11-04"/>
    <s v="46-55"/>
    <s v="10+ Years"/>
  </r>
  <r>
    <s v="EMP0019"/>
    <n v="26"/>
    <s v="Female"/>
    <x v="2"/>
    <s v="Software Engineer"/>
    <s v="B.A"/>
    <n v="57687"/>
    <n v="2"/>
    <n v="2"/>
    <n v="2"/>
    <n v="4"/>
    <n v="2"/>
    <n v="3"/>
    <s v="No"/>
    <s v="Travel_Rarely"/>
    <n v="5"/>
    <n v="21"/>
    <n v="3"/>
    <s v="No"/>
    <n v="4"/>
    <x v="1"/>
    <d v="2022-11-13T00:00:00"/>
    <m/>
    <s v="Active"/>
    <s v="26-35"/>
    <s v="2-3 Years"/>
  </r>
  <r>
    <s v="EMP0020"/>
    <n v="56"/>
    <s v="Male"/>
    <x v="2"/>
    <s v="Software Engineer"/>
    <s v="MBA"/>
    <n v="147417"/>
    <n v="25"/>
    <n v="34"/>
    <n v="5"/>
    <n v="3"/>
    <n v="1"/>
    <n v="3"/>
    <s v="No"/>
    <s v="Travel_Rarely"/>
    <n v="29"/>
    <n v="45"/>
    <n v="2"/>
    <s v="No"/>
    <n v="7"/>
    <x v="1"/>
    <d v="2023-04-25T00:00:00"/>
    <m/>
    <s v="Active"/>
    <s v="56+"/>
    <s v="10+ Years"/>
  </r>
  <r>
    <s v="EMP0021"/>
    <n v="33"/>
    <s v="Male"/>
    <x v="0"/>
    <s v="Financial Analyst"/>
    <s v="B.Tech"/>
    <n v="103392"/>
    <n v="8"/>
    <n v="10"/>
    <n v="4"/>
    <n v="1"/>
    <n v="2"/>
    <n v="4"/>
    <s v="No"/>
    <s v="Travel_Frequently"/>
    <n v="17"/>
    <n v="45"/>
    <n v="3"/>
    <s v="No"/>
    <n v="7"/>
    <x v="1"/>
    <d v="2020-01-17T00:00:00"/>
    <m/>
    <s v="Active"/>
    <s v="26-35"/>
    <s v="6-10 Years"/>
  </r>
  <r>
    <s v="EMP0022"/>
    <n v="42"/>
    <s v="Female"/>
    <x v="1"/>
    <s v="Sales Executive"/>
    <s v="M.Tech"/>
    <n v="117982"/>
    <n v="9"/>
    <n v="21"/>
    <n v="5"/>
    <n v="2"/>
    <n v="3"/>
    <n v="2"/>
    <s v="No"/>
    <s v="Travel_Rarely"/>
    <n v="18"/>
    <n v="56"/>
    <n v="3"/>
    <s v="No"/>
    <n v="3"/>
    <x v="1"/>
    <d v="2020-03-12T00:00:00"/>
    <m/>
    <s v="Active"/>
    <s v="36-45"/>
    <s v="6-10 Years"/>
  </r>
  <r>
    <s v="EMP0023"/>
    <n v="48"/>
    <s v="Female"/>
    <x v="0"/>
    <s v="Financial Analyst"/>
    <s v="M.Tech"/>
    <n v="138615"/>
    <n v="18"/>
    <n v="26"/>
    <n v="5"/>
    <n v="1"/>
    <n v="1"/>
    <n v="2"/>
    <s v="No"/>
    <s v="Non-Travel"/>
    <n v="4"/>
    <n v="45"/>
    <n v="3"/>
    <s v="No"/>
    <n v="5"/>
    <x v="1"/>
    <d v="2015-05-28T00:00:00"/>
    <m/>
    <s v="Active"/>
    <s v="46-55"/>
    <s v="10+ Years"/>
  </r>
  <r>
    <s v="EMP0024"/>
    <n v="41"/>
    <s v="Male"/>
    <x v="0"/>
    <s v="Financial Analyst"/>
    <s v="B.Tech"/>
    <n v="38996"/>
    <n v="0"/>
    <n v="18"/>
    <n v="1"/>
    <n v="4"/>
    <n v="2"/>
    <n v="1"/>
    <s v="Yes"/>
    <s v="Travel_Frequently"/>
    <n v="6"/>
    <n v="15"/>
    <n v="3"/>
    <s v="No"/>
    <n v="4"/>
    <x v="0"/>
    <d v="2019-09-12T00:00:00"/>
    <d v="2020-08-05T00:00:00"/>
    <s v="2020-08-05"/>
    <s v="36-45"/>
    <s v="0-1 Year"/>
  </r>
  <r>
    <s v="EMP0025"/>
    <n v="57"/>
    <s v="Female"/>
    <x v="5"/>
    <s v="Marketing Analyst"/>
    <s v="MBA"/>
    <n v="126486"/>
    <n v="13"/>
    <n v="34"/>
    <n v="5"/>
    <n v="1"/>
    <n v="1"/>
    <n v="2"/>
    <s v="No"/>
    <s v="Travel_Rarely"/>
    <n v="12"/>
    <n v="19"/>
    <n v="3"/>
    <s v="Yes"/>
    <n v="5"/>
    <x v="1"/>
    <d v="2013-06-23T00:00:00"/>
    <m/>
    <s v="Active"/>
    <s v="56+"/>
    <s v="10+ Years"/>
  </r>
  <r>
    <s v="EMP0026"/>
    <n v="49"/>
    <s v="Male"/>
    <x v="5"/>
    <s v="Marketing Manager"/>
    <s v="B.Com"/>
    <n v="134024"/>
    <n v="16"/>
    <n v="27"/>
    <n v="5"/>
    <n v="1"/>
    <n v="4"/>
    <n v="1"/>
    <s v="Yes"/>
    <s v="Non-Travel"/>
    <n v="29"/>
    <n v="15"/>
    <n v="3"/>
    <s v="Yes"/>
    <n v="6"/>
    <x v="1"/>
    <d v="2020-08-02T00:00:00"/>
    <m/>
    <s v="Active"/>
    <s v="46-55"/>
    <s v="10+ Years"/>
  </r>
  <r>
    <s v="EMP0027"/>
    <n v="39"/>
    <s v="Female"/>
    <x v="1"/>
    <s v="Sales Executive"/>
    <s v="M.Tech"/>
    <n v="133000"/>
    <n v="16"/>
    <n v="17"/>
    <n v="5"/>
    <n v="2"/>
    <n v="1"/>
    <n v="3"/>
    <s v="Yes"/>
    <s v="Travel_Rarely"/>
    <n v="28"/>
    <n v="26"/>
    <n v="2"/>
    <s v="No"/>
    <n v="7"/>
    <x v="1"/>
    <d v="2013-12-17T00:00:00"/>
    <m/>
    <s v="Active"/>
    <s v="36-45"/>
    <s v="10+ Years"/>
  </r>
  <r>
    <s v="EMP0028"/>
    <n v="25"/>
    <s v="Male"/>
    <x v="1"/>
    <s v="Sales Manager"/>
    <s v="MBA"/>
    <n v="53574"/>
    <n v="0"/>
    <n v="1"/>
    <n v="2"/>
    <n v="2"/>
    <n v="2"/>
    <n v="2"/>
    <s v="No"/>
    <s v="Travel_Rarely"/>
    <n v="1"/>
    <n v="53"/>
    <n v="3"/>
    <s v="No"/>
    <n v="4"/>
    <x v="1"/>
    <d v="2022-11-25T00:00:00"/>
    <m/>
    <s v="Active"/>
    <s v="18-25"/>
    <s v="0-1 Year"/>
  </r>
  <r>
    <s v="EMP0029"/>
    <n v="23"/>
    <s v="Female"/>
    <x v="3"/>
    <s v="Operations Manager"/>
    <s v="B.A"/>
    <n v="60241"/>
    <n v="1"/>
    <n v="1"/>
    <n v="2"/>
    <n v="2"/>
    <n v="2"/>
    <n v="3"/>
    <s v="No"/>
    <s v="Travel_Rarely"/>
    <n v="6"/>
    <n v="42"/>
    <n v="3"/>
    <s v="No"/>
    <n v="8"/>
    <x v="1"/>
    <d v="2019-02-06T00:00:00"/>
    <m/>
    <s v="Active"/>
    <s v="18-25"/>
    <s v="0-1 Year"/>
  </r>
  <r>
    <s v="EMP0030"/>
    <n v="27"/>
    <s v="Male"/>
    <x v="0"/>
    <s v="Finance Manager"/>
    <s v="B.Com"/>
    <n v="47254"/>
    <n v="2"/>
    <n v="4"/>
    <n v="1"/>
    <n v="1"/>
    <n v="3"/>
    <n v="3"/>
    <s v="No"/>
    <s v="Travel_Rarely"/>
    <n v="4"/>
    <n v="49"/>
    <n v="3"/>
    <s v="No"/>
    <n v="8"/>
    <x v="1"/>
    <d v="2013-06-07T00:00:00"/>
    <m/>
    <s v="Active"/>
    <s v="26-35"/>
    <s v="2-3 Years"/>
  </r>
  <r>
    <s v="EMP0031"/>
    <n v="47"/>
    <s v="Female"/>
    <x v="1"/>
    <s v="Sales Manager"/>
    <s v="MBA"/>
    <n v="155937"/>
    <n v="26"/>
    <n v="26"/>
    <n v="5"/>
    <n v="1"/>
    <n v="3"/>
    <n v="1"/>
    <s v="No"/>
    <s v="Travel_Rarely"/>
    <n v="16"/>
    <n v="26"/>
    <n v="3"/>
    <s v="No"/>
    <n v="5"/>
    <x v="1"/>
    <d v="2017-10-26T00:00:00"/>
    <m/>
    <s v="Active"/>
    <s v="46-55"/>
    <s v="10+ Years"/>
  </r>
  <r>
    <s v="EMP0032"/>
    <n v="45"/>
    <s v="Female"/>
    <x v="2"/>
    <s v="Data Analyst"/>
    <s v="B.Com"/>
    <n v="138122"/>
    <n v="18"/>
    <n v="21"/>
    <n v="5"/>
    <n v="3"/>
    <n v="3"/>
    <n v="2"/>
    <s v="Yes"/>
    <s v="Travel_Frequently"/>
    <n v="6"/>
    <n v="44"/>
    <n v="3"/>
    <s v="No"/>
    <n v="4"/>
    <x v="1"/>
    <d v="2012-05-05T00:00:00"/>
    <m/>
    <s v="Active"/>
    <s v="36-45"/>
    <s v="10+ Years"/>
  </r>
  <r>
    <s v="EMP0033"/>
    <n v="46"/>
    <s v="Female"/>
    <x v="5"/>
    <s v="Marketing Analyst"/>
    <s v="B.A"/>
    <n v="43156"/>
    <n v="2"/>
    <n v="24"/>
    <n v="1"/>
    <n v="2"/>
    <n v="3"/>
    <n v="4"/>
    <s v="No"/>
    <s v="Travel_Frequently"/>
    <n v="17"/>
    <n v="53"/>
    <n v="3"/>
    <s v="No"/>
    <n v="4"/>
    <x v="1"/>
    <d v="2014-05-26T00:00:00"/>
    <m/>
    <s v="Active"/>
    <s v="46-55"/>
    <s v="2-3 Years"/>
  </r>
  <r>
    <s v="EMP0034"/>
    <n v="27"/>
    <s v="Female"/>
    <x v="1"/>
    <s v="Sales Executive"/>
    <s v="BBA"/>
    <n v="82622"/>
    <n v="5"/>
    <n v="6"/>
    <n v="3"/>
    <n v="4"/>
    <n v="4"/>
    <n v="2"/>
    <s v="Yes"/>
    <s v="Travel_Rarely"/>
    <n v="23"/>
    <n v="18"/>
    <n v="3"/>
    <s v="No"/>
    <n v="7"/>
    <x v="1"/>
    <d v="2018-12-26T00:00:00"/>
    <m/>
    <s v="Active"/>
    <s v="26-35"/>
    <s v="4-5 Years"/>
  </r>
  <r>
    <s v="EMP0035"/>
    <n v="59"/>
    <s v="Female"/>
    <x v="1"/>
    <s v="Sales Manager"/>
    <s v="B.Com"/>
    <n v="153316"/>
    <n v="25"/>
    <n v="35"/>
    <n v="5"/>
    <n v="4"/>
    <n v="1"/>
    <n v="2"/>
    <s v="No"/>
    <s v="Travel_Rarely"/>
    <n v="20"/>
    <n v="58"/>
    <n v="4"/>
    <s v="No"/>
    <n v="6"/>
    <x v="1"/>
    <d v="2017-08-01T00:00:00"/>
    <m/>
    <s v="Active"/>
    <s v="56+"/>
    <s v="10+ Years"/>
  </r>
  <r>
    <s v="EMP0036"/>
    <n v="31"/>
    <s v="Male"/>
    <x v="2"/>
    <s v="Data Analyst"/>
    <s v="M.Tech"/>
    <n v="54320"/>
    <n v="1"/>
    <n v="7"/>
    <n v="2"/>
    <n v="3"/>
    <n v="1"/>
    <n v="1"/>
    <s v="No"/>
    <s v="Travel_Rarely"/>
    <n v="23"/>
    <n v="44"/>
    <n v="3"/>
    <s v="No"/>
    <n v="7"/>
    <x v="1"/>
    <d v="2021-04-14T00:00:00"/>
    <m/>
    <s v="Active"/>
    <s v="26-35"/>
    <s v="0-1 Year"/>
  </r>
  <r>
    <s v="EMP0037"/>
    <n v="43"/>
    <s v="Male"/>
    <x v="0"/>
    <s v="Finance Manager"/>
    <s v="B.Com"/>
    <n v="80947"/>
    <n v="4"/>
    <n v="22"/>
    <n v="3"/>
    <n v="2"/>
    <n v="3"/>
    <n v="1"/>
    <s v="Yes"/>
    <s v="Travel_Rarely"/>
    <n v="4"/>
    <n v="34"/>
    <n v="3"/>
    <s v="No"/>
    <n v="6"/>
    <x v="1"/>
    <d v="2017-12-30T00:00:00"/>
    <m/>
    <s v="Active"/>
    <s v="36-45"/>
    <s v="4-5 Years"/>
  </r>
  <r>
    <s v="EMP0038"/>
    <n v="54"/>
    <s v="Male"/>
    <x v="1"/>
    <s v="Sales Executive"/>
    <s v="MBA"/>
    <n v="79626"/>
    <n v="5"/>
    <n v="32"/>
    <n v="3"/>
    <n v="3"/>
    <n v="3"/>
    <n v="4"/>
    <s v="Yes"/>
    <s v="Travel_Frequently"/>
    <n v="1"/>
    <n v="39"/>
    <n v="3"/>
    <s v="Yes"/>
    <n v="5"/>
    <x v="1"/>
    <d v="2017-02-08T00:00:00"/>
    <m/>
    <s v="Active"/>
    <s v="46-55"/>
    <s v="4-5 Years"/>
  </r>
  <r>
    <s v="EMP0039"/>
    <n v="54"/>
    <s v="Male"/>
    <x v="0"/>
    <s v="Financial Analyst"/>
    <s v="B.A"/>
    <n v="150863"/>
    <n v="23"/>
    <n v="33"/>
    <n v="5"/>
    <n v="3"/>
    <n v="1"/>
    <n v="4"/>
    <s v="Yes"/>
    <s v="Travel_Frequently"/>
    <n v="2"/>
    <n v="36"/>
    <n v="2"/>
    <s v="Yes"/>
    <n v="4"/>
    <x v="0"/>
    <d v="2019-02-10T00:00:00"/>
    <d v="2019-10-01T00:00:00"/>
    <s v="2019-10-01"/>
    <s v="46-55"/>
    <s v="10+ Years"/>
  </r>
  <r>
    <s v="EMP0040"/>
    <n v="29"/>
    <s v="Male"/>
    <x v="2"/>
    <s v="Data Analyst"/>
    <s v="B.Com"/>
    <n v="46783"/>
    <n v="1"/>
    <n v="5"/>
    <n v="1"/>
    <n v="2"/>
    <n v="2"/>
    <n v="1"/>
    <s v="No"/>
    <s v="Travel_Rarely"/>
    <n v="12"/>
    <n v="45"/>
    <n v="3"/>
    <s v="No"/>
    <n v="5"/>
    <x v="1"/>
    <d v="2023-05-09T00:00:00"/>
    <m/>
    <s v="Active"/>
    <s v="26-35"/>
    <s v="0-1 Year"/>
  </r>
  <r>
    <s v="EMP0041"/>
    <n v="50"/>
    <s v="Male"/>
    <x v="1"/>
    <s v="Sales Manager"/>
    <s v="B.Com"/>
    <n v="57732"/>
    <n v="0"/>
    <n v="27"/>
    <n v="2"/>
    <n v="1"/>
    <n v="2"/>
    <n v="2"/>
    <s v="No"/>
    <s v="Travel_Rarely"/>
    <n v="22"/>
    <n v="49"/>
    <n v="3"/>
    <s v="No"/>
    <n v="6"/>
    <x v="1"/>
    <d v="2016-06-13T00:00:00"/>
    <m/>
    <s v="Active"/>
    <s v="46-55"/>
    <s v="0-1 Year"/>
  </r>
  <r>
    <s v="EMP0042"/>
    <n v="32"/>
    <s v="Female"/>
    <x v="2"/>
    <s v="IT Manager"/>
    <s v="MBA"/>
    <n v="57034"/>
    <n v="0"/>
    <n v="9"/>
    <n v="2"/>
    <n v="3"/>
    <n v="4"/>
    <n v="3"/>
    <s v="Yes"/>
    <s v="Travel_Rarely"/>
    <n v="6"/>
    <n v="33"/>
    <n v="2"/>
    <s v="No"/>
    <n v="4"/>
    <x v="1"/>
    <d v="2021-05-25T00:00:00"/>
    <m/>
    <s v="Active"/>
    <s v="26-35"/>
    <s v="0-1 Year"/>
  </r>
  <r>
    <s v="EMP0043"/>
    <n v="41"/>
    <s v="Male"/>
    <x v="5"/>
    <s v="Marketing Analyst"/>
    <s v="M.Tech"/>
    <n v="130792"/>
    <n v="16"/>
    <n v="17"/>
    <n v="5"/>
    <n v="4"/>
    <n v="1"/>
    <n v="2"/>
    <s v="Yes"/>
    <s v="Travel_Frequently"/>
    <n v="29"/>
    <n v="58"/>
    <n v="3"/>
    <s v="No"/>
    <n v="4"/>
    <x v="1"/>
    <d v="2017-12-01T00:00:00"/>
    <m/>
    <s v="Active"/>
    <s v="36-45"/>
    <s v="10+ Years"/>
  </r>
  <r>
    <s v="EMP0044"/>
    <n v="51"/>
    <s v="Female"/>
    <x v="5"/>
    <s v="Marketing Analyst"/>
    <s v="M.Tech"/>
    <n v="83895"/>
    <n v="6"/>
    <n v="28"/>
    <n v="3"/>
    <n v="2"/>
    <n v="2"/>
    <n v="3"/>
    <s v="No"/>
    <s v="Travel_Rarely"/>
    <n v="28"/>
    <n v="41"/>
    <n v="3"/>
    <s v="Yes"/>
    <n v="2"/>
    <x v="1"/>
    <d v="2018-10-26T00:00:00"/>
    <m/>
    <s v="Active"/>
    <s v="46-55"/>
    <s v="6-10 Years"/>
  </r>
  <r>
    <s v="EMP0045"/>
    <n v="29"/>
    <s v="Male"/>
    <x v="0"/>
    <s v="Financial Analyst"/>
    <s v="B.Com"/>
    <n v="103970"/>
    <n v="7"/>
    <n v="8"/>
    <n v="4"/>
    <n v="4"/>
    <n v="4"/>
    <n v="2"/>
    <s v="No"/>
    <s v="Non-Travel"/>
    <n v="20"/>
    <n v="46"/>
    <n v="3"/>
    <s v="No"/>
    <n v="4"/>
    <x v="0"/>
    <d v="2022-02-12T00:00:00"/>
    <d v="2023-06-07T00:00:00"/>
    <s v="2023-06-07"/>
    <s v="26-35"/>
    <s v="6-10 Years"/>
  </r>
  <r>
    <s v="EMP0046"/>
    <n v="40"/>
    <s v="Female"/>
    <x v="5"/>
    <s v="Marketing Manager"/>
    <s v="MBA"/>
    <n v="131035"/>
    <n v="14"/>
    <n v="19"/>
    <n v="5"/>
    <n v="3"/>
    <n v="2"/>
    <n v="3"/>
    <s v="No"/>
    <s v="Travel_Rarely"/>
    <n v="5"/>
    <n v="46"/>
    <n v="3"/>
    <s v="No"/>
    <n v="6"/>
    <x v="1"/>
    <d v="2023-07-25T00:00:00"/>
    <m/>
    <s v="Active"/>
    <s v="36-45"/>
    <s v="10+ Years"/>
  </r>
  <r>
    <s v="EMP0047"/>
    <n v="53"/>
    <s v="Male"/>
    <x v="4"/>
    <s v="HR Executive"/>
    <s v="BBA"/>
    <n v="40304"/>
    <n v="1"/>
    <n v="32"/>
    <n v="1"/>
    <n v="3"/>
    <n v="1"/>
    <n v="2"/>
    <s v="No"/>
    <s v="Travel_Rarely"/>
    <n v="29"/>
    <n v="54"/>
    <n v="3"/>
    <s v="No"/>
    <n v="6"/>
    <x v="1"/>
    <d v="2016-06-10T00:00:00"/>
    <m/>
    <s v="Active"/>
    <s v="46-55"/>
    <s v="0-1 Year"/>
  </r>
  <r>
    <s v="EMP0048"/>
    <n v="43"/>
    <s v="Male"/>
    <x v="1"/>
    <s v="Sales Executive"/>
    <s v="BBA"/>
    <n v="102411"/>
    <n v="7"/>
    <n v="20"/>
    <n v="4"/>
    <n v="1"/>
    <n v="1"/>
    <n v="1"/>
    <s v="No"/>
    <s v="Travel_Rarely"/>
    <n v="28"/>
    <n v="55"/>
    <n v="3"/>
    <s v="No"/>
    <n v="3"/>
    <x v="1"/>
    <d v="2012-05-28T00:00:00"/>
    <m/>
    <s v="Active"/>
    <s v="36-45"/>
    <s v="6-10 Years"/>
  </r>
  <r>
    <s v="EMP0049"/>
    <n v="32"/>
    <s v="Male"/>
    <x v="5"/>
    <s v="Marketing Analyst"/>
    <s v="B.Com"/>
    <n v="82333"/>
    <n v="7"/>
    <n v="9"/>
    <n v="3"/>
    <n v="2"/>
    <n v="3"/>
    <n v="3"/>
    <s v="Yes"/>
    <s v="Travel_Rarely"/>
    <n v="26"/>
    <n v="45"/>
    <n v="4"/>
    <s v="No"/>
    <n v="6"/>
    <x v="1"/>
    <d v="2018-06-01T00:00:00"/>
    <m/>
    <s v="Active"/>
    <s v="26-35"/>
    <s v="6-10 Years"/>
  </r>
  <r>
    <s v="EMP0050"/>
    <n v="38"/>
    <s v="Male"/>
    <x v="0"/>
    <s v="Financial Analyst"/>
    <s v="MBA"/>
    <n v="83226"/>
    <n v="6"/>
    <n v="17"/>
    <n v="3"/>
    <n v="2"/>
    <n v="1"/>
    <n v="4"/>
    <s v="Yes"/>
    <s v="Travel_Rarely"/>
    <n v="19"/>
    <n v="46"/>
    <n v="3"/>
    <s v="No"/>
    <n v="5"/>
    <x v="0"/>
    <d v="2023-02-14T00:00:00"/>
    <d v="2025-03-15T00:00:00"/>
    <s v="2025-03-15"/>
    <s v="36-45"/>
    <s v="6-10 Years"/>
  </r>
  <r>
    <s v="EMP0051"/>
    <n v="38"/>
    <s v="Female"/>
    <x v="3"/>
    <s v="Operations Manager"/>
    <s v="BBA"/>
    <n v="103208"/>
    <n v="8"/>
    <n v="14"/>
    <n v="4"/>
    <n v="4"/>
    <n v="3"/>
    <n v="3"/>
    <s v="No"/>
    <s v="Travel_Rarely"/>
    <n v="10"/>
    <n v="25"/>
    <n v="4"/>
    <s v="Yes"/>
    <n v="3"/>
    <x v="1"/>
    <d v="2023-08-03T00:00:00"/>
    <m/>
    <s v="Active"/>
    <s v="36-45"/>
    <s v="6-10 Years"/>
  </r>
  <r>
    <s v="EMP0052"/>
    <n v="29"/>
    <s v="Female"/>
    <x v="0"/>
    <s v="Finance Manager"/>
    <s v="BBA"/>
    <n v="57466"/>
    <n v="2"/>
    <n v="5"/>
    <n v="2"/>
    <n v="2"/>
    <n v="3"/>
    <n v="1"/>
    <s v="No"/>
    <s v="Travel_Rarely"/>
    <n v="13"/>
    <n v="43"/>
    <n v="3"/>
    <s v="No"/>
    <n v="9"/>
    <x v="1"/>
    <d v="2015-02-05T00:00:00"/>
    <m/>
    <s v="Active"/>
    <s v="26-35"/>
    <s v="2-3 Years"/>
  </r>
  <r>
    <s v="EMP0053"/>
    <n v="23"/>
    <s v="Male"/>
    <x v="2"/>
    <s v="Data Analyst"/>
    <s v="BBA"/>
    <n v="40212"/>
    <n v="0"/>
    <n v="1"/>
    <n v="1"/>
    <n v="2"/>
    <n v="4"/>
    <n v="4"/>
    <s v="No"/>
    <s v="Travel_Rarely"/>
    <n v="17"/>
    <n v="38"/>
    <n v="3"/>
    <s v="No"/>
    <n v="3"/>
    <x v="1"/>
    <d v="2014-07-09T00:00:00"/>
    <m/>
    <s v="Active"/>
    <s v="18-25"/>
    <s v="0-1 Year"/>
  </r>
  <r>
    <s v="EMP0054"/>
    <n v="41"/>
    <s v="Female"/>
    <x v="3"/>
    <s v="Operations Executive"/>
    <s v="B.Com"/>
    <n v="130837"/>
    <n v="13"/>
    <n v="20"/>
    <n v="5"/>
    <n v="2"/>
    <n v="4"/>
    <n v="2"/>
    <s v="Yes"/>
    <s v="Travel_Rarely"/>
    <n v="14"/>
    <n v="24"/>
    <n v="3"/>
    <s v="No"/>
    <n v="5"/>
    <x v="1"/>
    <d v="2016-01-03T00:00:00"/>
    <m/>
    <s v="Active"/>
    <s v="36-45"/>
    <s v="10+ Years"/>
  </r>
  <r>
    <s v="EMP0055"/>
    <n v="45"/>
    <s v="Male"/>
    <x v="0"/>
    <s v="Finance Manager"/>
    <s v="B.Tech"/>
    <n v="140690"/>
    <n v="19"/>
    <n v="22"/>
    <n v="5"/>
    <n v="4"/>
    <n v="4"/>
    <n v="1"/>
    <s v="No"/>
    <s v="Travel_Rarely"/>
    <n v="10"/>
    <n v="52"/>
    <n v="3"/>
    <s v="No"/>
    <n v="4"/>
    <x v="0"/>
    <d v="2019-06-29T00:00:00"/>
    <d v="2021-03-10T00:00:00"/>
    <s v="2021-03-10"/>
    <s v="36-45"/>
    <s v="10+ Years"/>
  </r>
  <r>
    <s v="EMP0056"/>
    <n v="56"/>
    <s v="Female"/>
    <x v="1"/>
    <s v="Sales Executive"/>
    <s v="B.Com"/>
    <n v="165849"/>
    <n v="34"/>
    <n v="34"/>
    <n v="5"/>
    <n v="2"/>
    <n v="1"/>
    <n v="4"/>
    <s v="No"/>
    <s v="Travel_Rarely"/>
    <n v="29"/>
    <n v="56"/>
    <n v="4"/>
    <s v="No"/>
    <n v="6"/>
    <x v="0"/>
    <d v="2023-09-05T00:00:00"/>
    <d v="2025-05-17T00:00:00"/>
    <s v="2025-05-17"/>
    <s v="56+"/>
    <s v="10+ Years"/>
  </r>
  <r>
    <s v="EMP0057"/>
    <n v="36"/>
    <s v="Female"/>
    <x v="0"/>
    <s v="Financial Analyst"/>
    <s v="B.Com"/>
    <n v="96974"/>
    <n v="7"/>
    <n v="14"/>
    <n v="4"/>
    <n v="2"/>
    <n v="4"/>
    <n v="3"/>
    <s v="No"/>
    <s v="Travel_Rarely"/>
    <n v="28"/>
    <n v="57"/>
    <n v="3"/>
    <s v="Yes"/>
    <n v="6"/>
    <x v="1"/>
    <d v="2022-10-05T00:00:00"/>
    <m/>
    <s v="Active"/>
    <s v="36-45"/>
    <s v="6-10 Years"/>
  </r>
  <r>
    <s v="EMP0058"/>
    <n v="34"/>
    <s v="Male"/>
    <x v="3"/>
    <s v="Operations Manager"/>
    <s v="B.Com"/>
    <n v="102496"/>
    <n v="7"/>
    <n v="10"/>
    <n v="4"/>
    <n v="3"/>
    <n v="3"/>
    <n v="4"/>
    <s v="No"/>
    <s v="Travel_Rarely"/>
    <n v="10"/>
    <n v="45"/>
    <n v="3"/>
    <s v="Yes"/>
    <n v="4"/>
    <x v="1"/>
    <d v="2019-06-12T00:00:00"/>
    <m/>
    <s v="Active"/>
    <s v="26-35"/>
    <s v="6-10 Years"/>
  </r>
  <r>
    <s v="EMP0059"/>
    <n v="51"/>
    <s v="Female"/>
    <x v="2"/>
    <s v="Data Analyst"/>
    <s v="BBA"/>
    <n v="153294"/>
    <n v="28"/>
    <n v="30"/>
    <n v="5"/>
    <n v="2"/>
    <n v="4"/>
    <n v="1"/>
    <s v="No"/>
    <s v="Travel_Rarely"/>
    <n v="2"/>
    <n v="33"/>
    <n v="3"/>
    <s v="Yes"/>
    <n v="2"/>
    <x v="1"/>
    <d v="2022-09-07T00:00:00"/>
    <m/>
    <s v="Active"/>
    <s v="46-55"/>
    <s v="10+ Years"/>
  </r>
  <r>
    <s v="EMP0060"/>
    <n v="49"/>
    <s v="Female"/>
    <x v="3"/>
    <s v="Operations Executive"/>
    <s v="M.Tech"/>
    <n v="74887"/>
    <n v="3"/>
    <n v="27"/>
    <n v="3"/>
    <n v="4"/>
    <n v="2"/>
    <n v="4"/>
    <s v="No"/>
    <s v="Travel_Rarely"/>
    <n v="10"/>
    <n v="10"/>
    <n v="3"/>
    <s v="No"/>
    <n v="1"/>
    <x v="0"/>
    <d v="2013-11-17T00:00:00"/>
    <d v="2014-12-06T00:00:00"/>
    <s v="2014-12-06"/>
    <s v="46-55"/>
    <s v="2-3 Years"/>
  </r>
  <r>
    <s v="EMP0061"/>
    <n v="33"/>
    <s v="Female"/>
    <x v="4"/>
    <s v="HR Manager"/>
    <s v="M.Tech"/>
    <n v="79906"/>
    <n v="6"/>
    <n v="9"/>
    <n v="3"/>
    <n v="1"/>
    <n v="2"/>
    <n v="3"/>
    <s v="No"/>
    <s v="Travel_Rarely"/>
    <n v="26"/>
    <n v="43"/>
    <n v="3"/>
    <s v="No"/>
    <n v="6"/>
    <x v="1"/>
    <d v="2020-08-21T00:00:00"/>
    <m/>
    <s v="Active"/>
    <s v="26-35"/>
    <s v="6-10 Years"/>
  </r>
  <r>
    <s v="EMP0062"/>
    <n v="43"/>
    <s v="Male"/>
    <x v="4"/>
    <s v="HR Executive"/>
    <s v="BBA"/>
    <n v="129964"/>
    <n v="14"/>
    <n v="19"/>
    <n v="5"/>
    <n v="3"/>
    <n v="4"/>
    <n v="2"/>
    <s v="No"/>
    <s v="Travel_Rarely"/>
    <n v="26"/>
    <n v="47"/>
    <n v="3"/>
    <s v="No"/>
    <n v="1"/>
    <x v="1"/>
    <d v="2016-12-14T00:00:00"/>
    <m/>
    <s v="Active"/>
    <s v="36-45"/>
    <s v="10+ Years"/>
  </r>
  <r>
    <s v="EMP0063"/>
    <n v="36"/>
    <s v="Male"/>
    <x v="4"/>
    <s v="HR Manager"/>
    <s v="B.A"/>
    <n v="86676"/>
    <n v="8"/>
    <n v="14"/>
    <n v="3"/>
    <n v="1"/>
    <n v="4"/>
    <n v="3"/>
    <s v="No"/>
    <s v="Travel_Rarely"/>
    <n v="29"/>
    <n v="53"/>
    <n v="3"/>
    <s v="No"/>
    <n v="5"/>
    <x v="1"/>
    <d v="2016-10-29T00:00:00"/>
    <m/>
    <s v="Active"/>
    <s v="36-45"/>
    <s v="6-10 Years"/>
  </r>
  <r>
    <s v="EMP0064"/>
    <n v="30"/>
    <s v="Male"/>
    <x v="1"/>
    <s v="Sales Manager"/>
    <s v="BBA"/>
    <n v="62433"/>
    <n v="4"/>
    <n v="8"/>
    <n v="2"/>
    <n v="4"/>
    <n v="4"/>
    <n v="3"/>
    <s v="Yes"/>
    <s v="Travel_Rarely"/>
    <n v="18"/>
    <n v="55"/>
    <n v="4"/>
    <s v="No"/>
    <n v="9"/>
    <x v="1"/>
    <d v="2013-08-14T00:00:00"/>
    <m/>
    <s v="Active"/>
    <s v="26-35"/>
    <s v="4-5 Years"/>
  </r>
  <r>
    <s v="EMP0065"/>
    <n v="43"/>
    <s v="Male"/>
    <x v="1"/>
    <s v="Sales Manager"/>
    <s v="MBA"/>
    <n v="58368"/>
    <n v="0"/>
    <n v="19"/>
    <n v="2"/>
    <n v="1"/>
    <n v="1"/>
    <n v="1"/>
    <s v="No"/>
    <s v="Travel_Rarely"/>
    <n v="7"/>
    <n v="11"/>
    <n v="2"/>
    <s v="No"/>
    <n v="4"/>
    <x v="1"/>
    <d v="2017-03-10T00:00:00"/>
    <m/>
    <s v="Active"/>
    <s v="36-45"/>
    <s v="0-1 Year"/>
  </r>
  <r>
    <s v="EMP0066"/>
    <n v="32"/>
    <s v="Male"/>
    <x v="4"/>
    <s v="HR Manager"/>
    <s v="B.Tech"/>
    <n v="85270"/>
    <n v="8"/>
    <n v="10"/>
    <n v="3"/>
    <n v="4"/>
    <n v="1"/>
    <n v="2"/>
    <s v="No"/>
    <s v="Travel_Rarely"/>
    <n v="20"/>
    <n v="56"/>
    <n v="4"/>
    <s v="Yes"/>
    <n v="6"/>
    <x v="1"/>
    <d v="2017-11-04T00:00:00"/>
    <m/>
    <s v="Active"/>
    <s v="26-35"/>
    <s v="6-10 Years"/>
  </r>
  <r>
    <s v="EMP0067"/>
    <n v="33"/>
    <s v="Male"/>
    <x v="0"/>
    <s v="Financial Analyst"/>
    <s v="MBA"/>
    <n v="97427"/>
    <n v="6"/>
    <n v="10"/>
    <n v="4"/>
    <n v="1"/>
    <n v="4"/>
    <n v="1"/>
    <s v="No"/>
    <s v="Travel_Rarely"/>
    <n v="18"/>
    <n v="15"/>
    <n v="3"/>
    <s v="Yes"/>
    <n v="6"/>
    <x v="1"/>
    <d v="2012-12-18T00:00:00"/>
    <m/>
    <s v="Active"/>
    <s v="26-35"/>
    <s v="6-10 Years"/>
  </r>
  <r>
    <s v="EMP0068"/>
    <n v="28"/>
    <s v="Male"/>
    <x v="3"/>
    <s v="Operations Executive"/>
    <s v="MBA"/>
    <n v="102948"/>
    <n v="7"/>
    <n v="7"/>
    <n v="4"/>
    <n v="4"/>
    <n v="4"/>
    <n v="4"/>
    <s v="No"/>
    <s v="Travel_Rarely"/>
    <n v="19"/>
    <n v="41"/>
    <n v="3"/>
    <s v="No"/>
    <n v="3"/>
    <x v="1"/>
    <d v="2022-12-23T00:00:00"/>
    <m/>
    <s v="Active"/>
    <s v="26-35"/>
    <s v="6-10 Years"/>
  </r>
  <r>
    <s v="EMP0069"/>
    <n v="33"/>
    <s v="Male"/>
    <x v="2"/>
    <s v="Software Engineer"/>
    <s v="B.Tech"/>
    <n v="117147"/>
    <n v="9"/>
    <n v="10"/>
    <n v="5"/>
    <n v="4"/>
    <n v="2"/>
    <n v="3"/>
    <s v="No"/>
    <s v="Travel_Rarely"/>
    <n v="5"/>
    <n v="14"/>
    <n v="3"/>
    <s v="No"/>
    <n v="4"/>
    <x v="1"/>
    <d v="2022-06-11T00:00:00"/>
    <m/>
    <s v="Active"/>
    <s v="26-35"/>
    <s v="6-10 Years"/>
  </r>
  <r>
    <s v="EMP0070"/>
    <n v="27"/>
    <s v="Female"/>
    <x v="1"/>
    <s v="Sales Executive"/>
    <s v="B.A"/>
    <n v="45356"/>
    <n v="2"/>
    <n v="5"/>
    <n v="1"/>
    <n v="3"/>
    <n v="1"/>
    <n v="4"/>
    <s v="No"/>
    <s v="Travel_Rarely"/>
    <n v="11"/>
    <n v="19"/>
    <n v="3"/>
    <s v="No"/>
    <n v="2"/>
    <x v="1"/>
    <d v="2021-05-25T00:00:00"/>
    <m/>
    <s v="Active"/>
    <s v="26-35"/>
    <s v="2-3 Years"/>
  </r>
  <r>
    <s v="EMP0071"/>
    <n v="22"/>
    <s v="Male"/>
    <x v="4"/>
    <s v="HR Manager"/>
    <s v="B.Tech"/>
    <n v="60099"/>
    <n v="1"/>
    <n v="1"/>
    <n v="2"/>
    <n v="4"/>
    <n v="1"/>
    <n v="3"/>
    <s v="No"/>
    <s v="Travel_Rarely"/>
    <n v="17"/>
    <n v="53"/>
    <n v="3"/>
    <s v="No"/>
    <n v="4"/>
    <x v="0"/>
    <d v="2014-08-26T00:00:00"/>
    <d v="2016-04-27T00:00:00"/>
    <s v="2016-04-27"/>
    <s v="18-25"/>
    <s v="0-1 Year"/>
  </r>
  <r>
    <s v="EMP0072"/>
    <n v="58"/>
    <s v="Female"/>
    <x v="0"/>
    <s v="Financial Analyst"/>
    <s v="B.Com"/>
    <n v="174178"/>
    <n v="36"/>
    <n v="36"/>
    <n v="5"/>
    <n v="1"/>
    <n v="1"/>
    <n v="1"/>
    <s v="No"/>
    <s v="Travel_Rarely"/>
    <n v="18"/>
    <n v="33"/>
    <n v="3"/>
    <s v="Yes"/>
    <n v="1"/>
    <x v="0"/>
    <d v="2020-11-23T00:00:00"/>
    <d v="2022-05-04T00:00:00"/>
    <s v="2022-05-04"/>
    <s v="56+"/>
    <s v="10+ Years"/>
  </r>
  <r>
    <s v="EMP0073"/>
    <n v="59"/>
    <s v="Male"/>
    <x v="3"/>
    <s v="Operations Executive"/>
    <s v="B.A"/>
    <n v="97364"/>
    <n v="7"/>
    <n v="35"/>
    <n v="4"/>
    <n v="1"/>
    <n v="3"/>
    <n v="4"/>
    <s v="Yes"/>
    <s v="Non-Travel"/>
    <n v="15"/>
    <n v="43"/>
    <n v="3"/>
    <s v="Yes"/>
    <n v="2"/>
    <x v="1"/>
    <d v="2022-03-08T00:00:00"/>
    <m/>
    <s v="Active"/>
    <s v="56+"/>
    <s v="6-10 Years"/>
  </r>
  <r>
    <s v="EMP0074"/>
    <n v="33"/>
    <s v="Male"/>
    <x v="1"/>
    <s v="Sales Manager"/>
    <s v="B.A"/>
    <n v="42406"/>
    <n v="0"/>
    <n v="12"/>
    <n v="1"/>
    <n v="4"/>
    <n v="2"/>
    <n v="1"/>
    <s v="No"/>
    <s v="Travel_Rarely"/>
    <n v="2"/>
    <n v="59"/>
    <n v="3"/>
    <s v="No"/>
    <n v="6"/>
    <x v="1"/>
    <d v="2022-01-29T00:00:00"/>
    <m/>
    <s v="Active"/>
    <s v="26-35"/>
    <s v="0-1 Year"/>
  </r>
  <r>
    <s v="EMP0075"/>
    <n v="59"/>
    <s v="Male"/>
    <x v="3"/>
    <s v="Operations Executive"/>
    <s v="BBA"/>
    <n v="132000"/>
    <n v="17"/>
    <n v="37"/>
    <n v="5"/>
    <n v="3"/>
    <n v="3"/>
    <n v="1"/>
    <s v="Yes"/>
    <s v="Travel_Rarely"/>
    <n v="25"/>
    <n v="30"/>
    <n v="3"/>
    <s v="No"/>
    <n v="5"/>
    <x v="1"/>
    <d v="2021-02-20T00:00:00"/>
    <m/>
    <s v="Active"/>
    <s v="56+"/>
    <s v="10+ Years"/>
  </r>
  <r>
    <s v="EMP0076"/>
    <n v="56"/>
    <s v="Male"/>
    <x v="3"/>
    <s v="Operations Manager"/>
    <s v="MBA"/>
    <n v="89228"/>
    <n v="8"/>
    <n v="34"/>
    <n v="3"/>
    <n v="2"/>
    <n v="4"/>
    <n v="4"/>
    <s v="No"/>
    <s v="Travel_Frequently"/>
    <n v="25"/>
    <n v="21"/>
    <n v="3"/>
    <s v="No"/>
    <n v="7"/>
    <x v="1"/>
    <d v="2014-10-11T00:00:00"/>
    <m/>
    <s v="Active"/>
    <s v="56+"/>
    <s v="6-10 Years"/>
  </r>
  <r>
    <s v="EMP0077"/>
    <n v="37"/>
    <s v="Female"/>
    <x v="5"/>
    <s v="Marketing Analyst"/>
    <s v="B.Tech"/>
    <n v="105854"/>
    <n v="10"/>
    <n v="13"/>
    <n v="4"/>
    <n v="4"/>
    <n v="1"/>
    <n v="1"/>
    <s v="Yes"/>
    <s v="Travel_Rarely"/>
    <n v="16"/>
    <n v="55"/>
    <n v="3"/>
    <s v="No"/>
    <n v="6"/>
    <x v="1"/>
    <d v="2021-08-31T00:00:00"/>
    <m/>
    <s v="Active"/>
    <s v="36-45"/>
    <s v="6-10 Years"/>
  </r>
  <r>
    <s v="EMP0078"/>
    <n v="28"/>
    <s v="Female"/>
    <x v="2"/>
    <s v="IT Manager"/>
    <s v="M.Tech"/>
    <n v="52444"/>
    <n v="0"/>
    <n v="5"/>
    <n v="2"/>
    <n v="2"/>
    <n v="4"/>
    <n v="4"/>
    <s v="Yes"/>
    <s v="Travel_Frequently"/>
    <n v="12"/>
    <n v="54"/>
    <n v="3"/>
    <s v="No"/>
    <n v="8"/>
    <x v="1"/>
    <d v="2019-03-16T00:00:00"/>
    <m/>
    <s v="Active"/>
    <s v="26-35"/>
    <s v="0-1 Year"/>
  </r>
  <r>
    <s v="EMP0079"/>
    <n v="45"/>
    <s v="Male"/>
    <x v="2"/>
    <s v="IT Manager"/>
    <s v="M.Tech"/>
    <n v="137674"/>
    <n v="17"/>
    <n v="21"/>
    <n v="5"/>
    <n v="4"/>
    <n v="4"/>
    <n v="3"/>
    <s v="Yes"/>
    <s v="Travel_Rarely"/>
    <n v="1"/>
    <n v="59"/>
    <n v="3"/>
    <s v="No"/>
    <n v="5"/>
    <x v="1"/>
    <d v="2016-03-26T00:00:00"/>
    <m/>
    <s v="Active"/>
    <s v="36-45"/>
    <s v="10+ Years"/>
  </r>
  <r>
    <s v="EMP0080"/>
    <n v="31"/>
    <s v="Male"/>
    <x v="0"/>
    <s v="Financial Analyst"/>
    <s v="B.Tech"/>
    <n v="99343"/>
    <n v="8"/>
    <n v="9"/>
    <n v="4"/>
    <n v="3"/>
    <n v="3"/>
    <n v="1"/>
    <s v="No"/>
    <s v="Travel_Rarely"/>
    <n v="9"/>
    <n v="58"/>
    <n v="3"/>
    <s v="No"/>
    <n v="8"/>
    <x v="1"/>
    <d v="2017-03-29T00:00:00"/>
    <m/>
    <s v="Active"/>
    <s v="26-35"/>
    <s v="6-10 Years"/>
  </r>
  <r>
    <s v="EMP0081"/>
    <n v="27"/>
    <s v="Male"/>
    <x v="5"/>
    <s v="Marketing Analyst"/>
    <s v="B.Tech"/>
    <n v="56564"/>
    <n v="1"/>
    <n v="3"/>
    <n v="2"/>
    <n v="4"/>
    <n v="3"/>
    <n v="4"/>
    <s v="No"/>
    <s v="Travel_Rarely"/>
    <n v="22"/>
    <n v="53"/>
    <n v="3"/>
    <s v="No"/>
    <n v="8"/>
    <x v="1"/>
    <d v="2021-11-28T00:00:00"/>
    <m/>
    <s v="Active"/>
    <s v="26-35"/>
    <s v="0-1 Year"/>
  </r>
  <r>
    <s v="EMP0082"/>
    <n v="26"/>
    <s v="Male"/>
    <x v="1"/>
    <s v="Sales Executive"/>
    <s v="MBA"/>
    <n v="39959"/>
    <n v="0"/>
    <n v="4"/>
    <n v="1"/>
    <n v="4"/>
    <n v="1"/>
    <n v="4"/>
    <s v="No"/>
    <s v="Non-Travel"/>
    <n v="13"/>
    <n v="32"/>
    <n v="3"/>
    <s v="No"/>
    <n v="8"/>
    <x v="1"/>
    <d v="2014-10-09T00:00:00"/>
    <m/>
    <s v="Active"/>
    <s v="26-35"/>
    <s v="0-1 Year"/>
  </r>
  <r>
    <s v="EMP0083"/>
    <n v="37"/>
    <s v="Male"/>
    <x v="5"/>
    <s v="Marketing Manager"/>
    <s v="M.Tech"/>
    <n v="63782"/>
    <n v="3"/>
    <n v="15"/>
    <n v="2"/>
    <n v="2"/>
    <n v="1"/>
    <n v="2"/>
    <s v="No"/>
    <s v="Travel_Rarely"/>
    <n v="1"/>
    <n v="20"/>
    <n v="3"/>
    <s v="No"/>
    <n v="8"/>
    <x v="1"/>
    <d v="2013-07-14T00:00:00"/>
    <m/>
    <s v="Active"/>
    <s v="36-45"/>
    <s v="2-3 Years"/>
  </r>
  <r>
    <s v="EMP0084"/>
    <n v="59"/>
    <s v="Female"/>
    <x v="4"/>
    <s v="HR Manager"/>
    <s v="MBA"/>
    <n v="126138"/>
    <n v="13"/>
    <n v="37"/>
    <n v="5"/>
    <n v="4"/>
    <n v="3"/>
    <n v="4"/>
    <s v="No"/>
    <s v="Travel_Rarely"/>
    <n v="27"/>
    <n v="11"/>
    <n v="3"/>
    <s v="No"/>
    <n v="7"/>
    <x v="0"/>
    <d v="2012-08-25T00:00:00"/>
    <d v="2013-12-18T00:00:00"/>
    <s v="2013-12-18"/>
    <s v="56+"/>
    <s v="10+ Years"/>
  </r>
  <r>
    <s v="EMP0085"/>
    <n v="24"/>
    <s v="Female"/>
    <x v="3"/>
    <s v="Operations Executive"/>
    <s v="M.Tech"/>
    <n v="56964"/>
    <n v="1"/>
    <n v="3"/>
    <n v="2"/>
    <n v="2"/>
    <n v="4"/>
    <n v="1"/>
    <s v="Yes"/>
    <s v="Travel_Frequently"/>
    <n v="28"/>
    <n v="22"/>
    <n v="3"/>
    <s v="No"/>
    <n v="4"/>
    <x v="1"/>
    <d v="2020-10-06T00:00:00"/>
    <m/>
    <s v="Active"/>
    <s v="18-25"/>
    <s v="0-1 Year"/>
  </r>
  <r>
    <s v="EMP0086"/>
    <n v="44"/>
    <s v="Male"/>
    <x v="4"/>
    <s v="HR Executive"/>
    <s v="B.Com"/>
    <n v="104737"/>
    <n v="9"/>
    <n v="22"/>
    <n v="4"/>
    <n v="2"/>
    <n v="3"/>
    <n v="2"/>
    <s v="No"/>
    <s v="Non-Travel"/>
    <n v="19"/>
    <n v="18"/>
    <n v="2"/>
    <s v="No"/>
    <n v="2"/>
    <x v="1"/>
    <d v="2013-08-31T00:00:00"/>
    <m/>
    <s v="Active"/>
    <s v="36-45"/>
    <s v="6-10 Years"/>
  </r>
  <r>
    <s v="EMP0087"/>
    <n v="25"/>
    <s v="Female"/>
    <x v="1"/>
    <s v="Sales Executive"/>
    <s v="B.A"/>
    <n v="52419"/>
    <n v="0"/>
    <n v="1"/>
    <n v="2"/>
    <n v="4"/>
    <n v="2"/>
    <n v="3"/>
    <s v="No"/>
    <s v="Travel_Rarely"/>
    <n v="29"/>
    <n v="44"/>
    <n v="3"/>
    <s v="No"/>
    <n v="5"/>
    <x v="1"/>
    <d v="2018-04-12T00:00:00"/>
    <m/>
    <s v="Active"/>
    <s v="18-25"/>
    <s v="0-1 Year"/>
  </r>
  <r>
    <s v="EMP0088"/>
    <n v="59"/>
    <s v="Male"/>
    <x v="2"/>
    <s v="IT Manager"/>
    <s v="MBA"/>
    <n v="63084"/>
    <n v="4"/>
    <n v="35"/>
    <n v="2"/>
    <n v="1"/>
    <n v="2"/>
    <n v="2"/>
    <s v="Yes"/>
    <s v="Travel_Rarely"/>
    <n v="4"/>
    <n v="26"/>
    <n v="3"/>
    <s v="No"/>
    <n v="4"/>
    <x v="1"/>
    <d v="2013-06-29T00:00:00"/>
    <m/>
    <s v="Active"/>
    <s v="56+"/>
    <s v="4-5 Years"/>
  </r>
  <r>
    <s v="EMP0089"/>
    <n v="39"/>
    <s v="Male"/>
    <x v="1"/>
    <s v="Sales Executive"/>
    <s v="B.A"/>
    <n v="83164"/>
    <n v="5"/>
    <n v="18"/>
    <n v="3"/>
    <n v="2"/>
    <n v="1"/>
    <n v="1"/>
    <s v="No"/>
    <s v="Travel_Rarely"/>
    <n v="1"/>
    <n v="11"/>
    <n v="4"/>
    <s v="No"/>
    <n v="4"/>
    <x v="1"/>
    <d v="2019-10-20T00:00:00"/>
    <m/>
    <s v="Active"/>
    <s v="36-45"/>
    <s v="4-5 Years"/>
  </r>
  <r>
    <s v="EMP0090"/>
    <n v="29"/>
    <s v="Female"/>
    <x v="1"/>
    <s v="Sales Executive"/>
    <s v="B.Tech"/>
    <n v="66724"/>
    <n v="4"/>
    <n v="5"/>
    <n v="2"/>
    <n v="4"/>
    <n v="4"/>
    <n v="1"/>
    <s v="Yes"/>
    <s v="Travel_Rarely"/>
    <n v="23"/>
    <n v="52"/>
    <n v="3"/>
    <s v="No"/>
    <n v="3"/>
    <x v="1"/>
    <d v="2023-11-06T00:00:00"/>
    <m/>
    <s v="Active"/>
    <s v="26-35"/>
    <s v="4-5 Years"/>
  </r>
  <r>
    <s v="EMP0091"/>
    <n v="52"/>
    <s v="Male"/>
    <x v="4"/>
    <s v="HR Manager"/>
    <s v="B.Com"/>
    <n v="133562"/>
    <n v="18"/>
    <n v="29"/>
    <n v="5"/>
    <n v="3"/>
    <n v="2"/>
    <n v="1"/>
    <s v="No"/>
    <s v="Travel_Rarely"/>
    <n v="10"/>
    <n v="47"/>
    <n v="3"/>
    <s v="No"/>
    <n v="6"/>
    <x v="1"/>
    <d v="2016-06-01T00:00:00"/>
    <m/>
    <s v="Active"/>
    <s v="46-55"/>
    <s v="10+ Years"/>
  </r>
  <r>
    <s v="EMP0092"/>
    <n v="46"/>
    <s v="Male"/>
    <x v="3"/>
    <s v="Operations Executive"/>
    <s v="MBA"/>
    <n v="137651"/>
    <n v="20"/>
    <n v="24"/>
    <n v="5"/>
    <n v="3"/>
    <n v="4"/>
    <n v="2"/>
    <s v="No"/>
    <s v="Travel_Frequently"/>
    <n v="28"/>
    <n v="43"/>
    <n v="3"/>
    <s v="No"/>
    <n v="5"/>
    <x v="1"/>
    <d v="2019-10-08T00:00:00"/>
    <m/>
    <s v="Active"/>
    <s v="46-55"/>
    <s v="10+ Years"/>
  </r>
  <r>
    <s v="EMP0093"/>
    <n v="51"/>
    <s v="Female"/>
    <x v="5"/>
    <s v="Marketing Manager"/>
    <s v="B.Com"/>
    <n v="132988"/>
    <n v="16"/>
    <n v="29"/>
    <n v="5"/>
    <n v="3"/>
    <n v="2"/>
    <n v="4"/>
    <s v="No"/>
    <s v="Travel_Rarely"/>
    <n v="15"/>
    <n v="27"/>
    <n v="3"/>
    <s v="Yes"/>
    <n v="5"/>
    <x v="1"/>
    <d v="2013-10-23T00:00:00"/>
    <m/>
    <s v="Active"/>
    <s v="46-55"/>
    <s v="10+ Years"/>
  </r>
  <r>
    <s v="EMP0094"/>
    <n v="46"/>
    <s v="Female"/>
    <x v="0"/>
    <s v="Financial Analyst"/>
    <s v="MBA"/>
    <n v="143579"/>
    <n v="20"/>
    <n v="24"/>
    <n v="5"/>
    <n v="3"/>
    <n v="2"/>
    <n v="3"/>
    <s v="Yes"/>
    <s v="Travel_Rarely"/>
    <n v="22"/>
    <n v="52"/>
    <n v="3"/>
    <s v="Yes"/>
    <n v="4"/>
    <x v="1"/>
    <d v="2015-07-28T00:00:00"/>
    <m/>
    <s v="Active"/>
    <s v="46-55"/>
    <s v="10+ Years"/>
  </r>
  <r>
    <s v="EMP0095"/>
    <n v="58"/>
    <s v="Male"/>
    <x v="2"/>
    <s v="Data Analyst"/>
    <s v="B.Tech"/>
    <n v="60448"/>
    <n v="4"/>
    <n v="34"/>
    <n v="2"/>
    <n v="4"/>
    <n v="4"/>
    <n v="3"/>
    <s v="No"/>
    <s v="Travel_Rarely"/>
    <n v="10"/>
    <n v="30"/>
    <n v="3"/>
    <s v="No"/>
    <n v="6"/>
    <x v="1"/>
    <d v="2019-02-26T00:00:00"/>
    <m/>
    <s v="Active"/>
    <s v="56+"/>
    <s v="4-5 Years"/>
  </r>
  <r>
    <s v="EMP0096"/>
    <n v="33"/>
    <s v="Female"/>
    <x v="3"/>
    <s v="Operations Executive"/>
    <s v="MBA"/>
    <n v="100634"/>
    <n v="8"/>
    <n v="12"/>
    <n v="4"/>
    <n v="4"/>
    <n v="3"/>
    <n v="3"/>
    <s v="No"/>
    <s v="Non-Travel"/>
    <n v="4"/>
    <n v="56"/>
    <n v="3"/>
    <s v="No"/>
    <n v="6"/>
    <x v="1"/>
    <d v="2023-09-23T00:00:00"/>
    <m/>
    <s v="Active"/>
    <s v="26-35"/>
    <s v="6-10 Years"/>
  </r>
  <r>
    <s v="EMP0097"/>
    <n v="41"/>
    <s v="Male"/>
    <x v="5"/>
    <s v="Marketing Analyst"/>
    <s v="BBA"/>
    <n v="81841"/>
    <n v="4"/>
    <n v="18"/>
    <n v="3"/>
    <n v="3"/>
    <n v="4"/>
    <n v="4"/>
    <s v="No"/>
    <s v="Travel_Rarely"/>
    <n v="19"/>
    <n v="40"/>
    <n v="2"/>
    <s v="No"/>
    <n v="2"/>
    <x v="1"/>
    <d v="2013-10-25T00:00:00"/>
    <m/>
    <s v="Active"/>
    <s v="36-45"/>
    <s v="4-5 Years"/>
  </r>
  <r>
    <s v="EMP0098"/>
    <n v="33"/>
    <s v="Female"/>
    <x v="3"/>
    <s v="Operations Executive"/>
    <s v="B.A"/>
    <n v="63852"/>
    <n v="2"/>
    <n v="9"/>
    <n v="2"/>
    <n v="4"/>
    <n v="2"/>
    <n v="3"/>
    <s v="Yes"/>
    <s v="Travel_Rarely"/>
    <n v="17"/>
    <n v="37"/>
    <n v="3"/>
    <s v="No"/>
    <n v="8"/>
    <x v="1"/>
    <d v="2012-03-15T00:00:00"/>
    <m/>
    <s v="Active"/>
    <s v="26-35"/>
    <s v="2-3 Years"/>
  </r>
  <r>
    <s v="EMP0099"/>
    <n v="30"/>
    <s v="Female"/>
    <x v="0"/>
    <s v="Financial Analyst"/>
    <s v="B.A"/>
    <n v="120890"/>
    <n v="9"/>
    <n v="9"/>
    <n v="5"/>
    <n v="1"/>
    <n v="3"/>
    <n v="1"/>
    <s v="No"/>
    <s v="Travel_Rarely"/>
    <n v="27"/>
    <n v="54"/>
    <n v="3"/>
    <s v="Yes"/>
    <n v="3"/>
    <x v="1"/>
    <d v="2017-06-26T00:00:00"/>
    <m/>
    <s v="Active"/>
    <s v="26-35"/>
    <s v="6-10 Years"/>
  </r>
  <r>
    <s v="EMP0100"/>
    <n v="42"/>
    <s v="Male"/>
    <x v="0"/>
    <s v="Finance Manager"/>
    <s v="BBA"/>
    <n v="79886"/>
    <n v="3"/>
    <n v="20"/>
    <n v="3"/>
    <n v="3"/>
    <n v="2"/>
    <n v="3"/>
    <s v="No"/>
    <s v="Travel_Frequently"/>
    <n v="22"/>
    <n v="55"/>
    <n v="3"/>
    <s v="No"/>
    <n v="5"/>
    <x v="1"/>
    <d v="2018-09-27T00:00:00"/>
    <m/>
    <s v="Active"/>
    <s v="36-45"/>
    <s v="2-3 Years"/>
  </r>
  <r>
    <s v="EMP0101"/>
    <n v="43"/>
    <s v="Male"/>
    <x v="4"/>
    <s v="HR Executive"/>
    <s v="B.A"/>
    <n v="118471"/>
    <n v="9"/>
    <n v="21"/>
    <n v="5"/>
    <n v="2"/>
    <n v="3"/>
    <n v="2"/>
    <s v="Yes"/>
    <s v="Travel_Rarely"/>
    <n v="4"/>
    <n v="52"/>
    <n v="3"/>
    <s v="No"/>
    <n v="6"/>
    <x v="1"/>
    <d v="2015-03-17T00:00:00"/>
    <m/>
    <s v="Active"/>
    <s v="36-45"/>
    <s v="6-10 Years"/>
  </r>
  <r>
    <s v="EMP0102"/>
    <n v="45"/>
    <s v="Female"/>
    <x v="0"/>
    <s v="Finance Manager"/>
    <s v="MBA"/>
    <n v="127260"/>
    <n v="13"/>
    <n v="21"/>
    <n v="5"/>
    <n v="2"/>
    <n v="1"/>
    <n v="2"/>
    <s v="No"/>
    <s v="Travel_Rarely"/>
    <n v="17"/>
    <n v="28"/>
    <n v="2"/>
    <s v="No"/>
    <n v="3"/>
    <x v="1"/>
    <d v="2014-06-13T00:00:00"/>
    <m/>
    <s v="Active"/>
    <s v="36-45"/>
    <s v="10+ Years"/>
  </r>
  <r>
    <s v="EMP0103"/>
    <n v="28"/>
    <s v="Female"/>
    <x v="1"/>
    <s v="Sales Executive"/>
    <s v="M.Tech"/>
    <n v="61097"/>
    <n v="1"/>
    <n v="7"/>
    <n v="2"/>
    <n v="3"/>
    <n v="1"/>
    <n v="3"/>
    <s v="No"/>
    <s v="Travel_Rarely"/>
    <n v="6"/>
    <n v="43"/>
    <n v="3"/>
    <s v="No"/>
    <n v="7"/>
    <x v="1"/>
    <d v="2012-12-09T00:00:00"/>
    <m/>
    <s v="Active"/>
    <s v="26-35"/>
    <s v="0-1 Year"/>
  </r>
  <r>
    <s v="EMP0104"/>
    <n v="59"/>
    <s v="Female"/>
    <x v="2"/>
    <s v="IT Manager"/>
    <s v="B.Com"/>
    <n v="161324"/>
    <n v="31"/>
    <n v="36"/>
    <n v="5"/>
    <n v="4"/>
    <n v="2"/>
    <n v="3"/>
    <s v="No"/>
    <s v="Travel_Rarely"/>
    <n v="8"/>
    <n v="30"/>
    <n v="3"/>
    <s v="Yes"/>
    <n v="6"/>
    <x v="1"/>
    <d v="2022-11-14T00:00:00"/>
    <m/>
    <s v="Active"/>
    <s v="56+"/>
    <s v="10+ Years"/>
  </r>
  <r>
    <s v="EMP0105"/>
    <n v="29"/>
    <s v="Male"/>
    <x v="2"/>
    <s v="IT Manager"/>
    <s v="BBA"/>
    <n v="64744"/>
    <n v="3"/>
    <n v="6"/>
    <n v="2"/>
    <n v="3"/>
    <n v="2"/>
    <n v="3"/>
    <s v="No"/>
    <s v="Travel_Rarely"/>
    <n v="10"/>
    <n v="17"/>
    <n v="3"/>
    <s v="No"/>
    <n v="8"/>
    <x v="1"/>
    <d v="2021-02-21T00:00:00"/>
    <m/>
    <s v="Active"/>
    <s v="26-35"/>
    <s v="2-3 Years"/>
  </r>
  <r>
    <s v="EMP0106"/>
    <n v="23"/>
    <s v="Male"/>
    <x v="4"/>
    <s v="HR Executive"/>
    <s v="B.Com"/>
    <n v="43135"/>
    <n v="1"/>
    <n v="1"/>
    <n v="1"/>
    <n v="2"/>
    <n v="1"/>
    <n v="4"/>
    <s v="Yes"/>
    <s v="Travel_Frequently"/>
    <n v="28"/>
    <n v="57"/>
    <n v="3"/>
    <s v="No"/>
    <n v="3"/>
    <x v="0"/>
    <d v="2022-11-02T00:00:00"/>
    <d v="2023-02-25T00:00:00"/>
    <s v="2023-02-25"/>
    <s v="18-25"/>
    <s v="0-1 Year"/>
  </r>
  <r>
    <s v="EMP0107"/>
    <n v="22"/>
    <s v="Male"/>
    <x v="0"/>
    <s v="Financial Analyst"/>
    <s v="BBA"/>
    <n v="54923"/>
    <n v="1"/>
    <n v="1"/>
    <n v="2"/>
    <n v="2"/>
    <n v="2"/>
    <n v="3"/>
    <s v="Yes"/>
    <s v="Travel_Rarely"/>
    <n v="3"/>
    <n v="42"/>
    <n v="3"/>
    <s v="No"/>
    <n v="2"/>
    <x v="1"/>
    <d v="2012-08-14T00:00:00"/>
    <m/>
    <s v="Active"/>
    <s v="18-25"/>
    <s v="0-1 Year"/>
  </r>
  <r>
    <s v="EMP0108"/>
    <n v="49"/>
    <s v="Female"/>
    <x v="5"/>
    <s v="Marketing Manager"/>
    <s v="MBA"/>
    <n v="140544"/>
    <n v="18"/>
    <n v="27"/>
    <n v="5"/>
    <n v="3"/>
    <n v="2"/>
    <n v="3"/>
    <s v="No"/>
    <s v="Travel_Rarely"/>
    <n v="22"/>
    <n v="12"/>
    <n v="3"/>
    <s v="Yes"/>
    <n v="3"/>
    <x v="1"/>
    <d v="2016-08-25T00:00:00"/>
    <m/>
    <s v="Active"/>
    <s v="46-55"/>
    <s v="10+ Years"/>
  </r>
  <r>
    <s v="EMP0109"/>
    <n v="55"/>
    <s v="Male"/>
    <x v="2"/>
    <s v="Data Analyst"/>
    <s v="B.Com"/>
    <n v="141895"/>
    <n v="22"/>
    <n v="34"/>
    <n v="5"/>
    <n v="2"/>
    <n v="1"/>
    <n v="1"/>
    <s v="No"/>
    <s v="Travel_Rarely"/>
    <n v="1"/>
    <n v="29"/>
    <n v="3"/>
    <s v="Yes"/>
    <n v="2"/>
    <x v="1"/>
    <d v="2018-11-06T00:00:00"/>
    <m/>
    <s v="Active"/>
    <s v="46-55"/>
    <s v="10+ Years"/>
  </r>
  <r>
    <s v="EMP0110"/>
    <n v="30"/>
    <s v="Female"/>
    <x v="1"/>
    <s v="Sales Manager"/>
    <s v="B.Com"/>
    <n v="44934"/>
    <n v="1"/>
    <n v="6"/>
    <n v="1"/>
    <n v="2"/>
    <n v="3"/>
    <n v="3"/>
    <s v="No"/>
    <s v="Travel_Rarely"/>
    <n v="20"/>
    <n v="23"/>
    <n v="2"/>
    <s v="No"/>
    <n v="5"/>
    <x v="0"/>
    <d v="2018-09-20T00:00:00"/>
    <d v="2020-03-15T00:00:00"/>
    <s v="2020-03-15"/>
    <s v="26-35"/>
    <s v="0-1 Year"/>
  </r>
  <r>
    <s v="EMP0111"/>
    <n v="48"/>
    <s v="Male"/>
    <x v="3"/>
    <s v="Operations Manager"/>
    <s v="BBA"/>
    <n v="143845"/>
    <n v="20"/>
    <n v="24"/>
    <n v="5"/>
    <n v="3"/>
    <n v="3"/>
    <n v="2"/>
    <s v="No"/>
    <s v="Travel_Rarely"/>
    <n v="8"/>
    <n v="33"/>
    <n v="3"/>
    <s v="No"/>
    <n v="11"/>
    <x v="1"/>
    <d v="2015-02-17T00:00:00"/>
    <m/>
    <s v="Active"/>
    <s v="46-55"/>
    <s v="10+ Years"/>
  </r>
  <r>
    <s v="EMP0112"/>
    <n v="59"/>
    <s v="Male"/>
    <x v="5"/>
    <s v="Marketing Manager"/>
    <s v="B.Tech"/>
    <n v="104816"/>
    <n v="8"/>
    <n v="37"/>
    <n v="4"/>
    <n v="4"/>
    <n v="4"/>
    <n v="1"/>
    <s v="Yes"/>
    <s v="Travel_Rarely"/>
    <n v="14"/>
    <n v="39"/>
    <n v="3"/>
    <s v="No"/>
    <n v="4"/>
    <x v="0"/>
    <d v="2018-11-29T00:00:00"/>
    <d v="2019-05-09T00:00:00"/>
    <s v="2019-05-09"/>
    <s v="56+"/>
    <s v="6-10 Years"/>
  </r>
  <r>
    <s v="EMP0113"/>
    <n v="51"/>
    <s v="Male"/>
    <x v="4"/>
    <s v="HR Manager"/>
    <s v="BBA"/>
    <n v="137660"/>
    <n v="20"/>
    <n v="29"/>
    <n v="5"/>
    <n v="1"/>
    <n v="4"/>
    <n v="4"/>
    <s v="No"/>
    <s v="Travel_Frequently"/>
    <n v="9"/>
    <n v="18"/>
    <n v="3"/>
    <s v="Yes"/>
    <n v="8"/>
    <x v="0"/>
    <d v="2013-02-09T00:00:00"/>
    <d v="2014-01-06T00:00:00"/>
    <s v="2014-01-06"/>
    <s v="46-55"/>
    <s v="10+ Years"/>
  </r>
  <r>
    <s v="EMP0114"/>
    <n v="42"/>
    <s v="Female"/>
    <x v="5"/>
    <s v="Marketing Analyst"/>
    <s v="M.Tech"/>
    <n v="59478"/>
    <n v="3"/>
    <n v="19"/>
    <n v="2"/>
    <n v="4"/>
    <n v="4"/>
    <n v="4"/>
    <s v="No"/>
    <s v="Travel_Rarely"/>
    <n v="2"/>
    <n v="33"/>
    <n v="3"/>
    <s v="No"/>
    <n v="5"/>
    <x v="1"/>
    <d v="2023-12-06T00:00:00"/>
    <m/>
    <s v="Active"/>
    <s v="36-45"/>
    <s v="2-3 Years"/>
  </r>
  <r>
    <s v="EMP0115"/>
    <n v="47"/>
    <s v="Female"/>
    <x v="4"/>
    <s v="HR Manager"/>
    <s v="MBA"/>
    <n v="146644"/>
    <n v="24"/>
    <n v="26"/>
    <n v="5"/>
    <n v="1"/>
    <n v="3"/>
    <n v="4"/>
    <s v="No"/>
    <s v="Travel_Rarely"/>
    <n v="17"/>
    <n v="22"/>
    <n v="3"/>
    <s v="No"/>
    <n v="5"/>
    <x v="1"/>
    <d v="2013-12-04T00:00:00"/>
    <m/>
    <s v="Active"/>
    <s v="46-55"/>
    <s v="10+ Years"/>
  </r>
  <r>
    <s v="EMP0116"/>
    <n v="30"/>
    <s v="Female"/>
    <x v="1"/>
    <s v="Sales Executive"/>
    <s v="B.Tech"/>
    <n v="63642"/>
    <n v="4"/>
    <n v="6"/>
    <n v="2"/>
    <n v="3"/>
    <n v="3"/>
    <n v="1"/>
    <s v="No"/>
    <s v="Travel_Rarely"/>
    <n v="11"/>
    <n v="22"/>
    <n v="2"/>
    <s v="No"/>
    <n v="6"/>
    <x v="1"/>
    <d v="2021-03-26T00:00:00"/>
    <m/>
    <s v="Active"/>
    <s v="26-35"/>
    <s v="4-5 Years"/>
  </r>
  <r>
    <s v="EMP0117"/>
    <n v="47"/>
    <s v="Female"/>
    <x v="2"/>
    <s v="Software Engineer"/>
    <s v="B.Tech"/>
    <n v="126741"/>
    <n v="13"/>
    <n v="24"/>
    <n v="5"/>
    <n v="1"/>
    <n v="3"/>
    <n v="3"/>
    <s v="No"/>
    <s v="Travel_Rarely"/>
    <n v="4"/>
    <n v="39"/>
    <n v="2"/>
    <s v="Yes"/>
    <n v="6"/>
    <x v="1"/>
    <d v="2022-08-04T00:00:00"/>
    <m/>
    <s v="Active"/>
    <s v="46-55"/>
    <s v="10+ Years"/>
  </r>
  <r>
    <s v="EMP0118"/>
    <n v="31"/>
    <s v="Male"/>
    <x v="4"/>
    <s v="HR Executive"/>
    <s v="MBA"/>
    <n v="42189"/>
    <n v="1"/>
    <n v="9"/>
    <n v="1"/>
    <n v="1"/>
    <n v="1"/>
    <n v="3"/>
    <s v="No"/>
    <s v="Travel_Rarely"/>
    <n v="2"/>
    <n v="38"/>
    <n v="4"/>
    <s v="No"/>
    <n v="2"/>
    <x v="1"/>
    <d v="2023-03-17T00:00:00"/>
    <m/>
    <s v="Active"/>
    <s v="26-35"/>
    <s v="0-1 Year"/>
  </r>
  <r>
    <s v="EMP0119"/>
    <n v="33"/>
    <s v="Male"/>
    <x v="1"/>
    <s v="Sales Executive"/>
    <s v="M.Tech"/>
    <n v="101236"/>
    <n v="9"/>
    <n v="10"/>
    <n v="4"/>
    <n v="2"/>
    <n v="1"/>
    <n v="3"/>
    <s v="No"/>
    <s v="Travel_Rarely"/>
    <n v="28"/>
    <n v="30"/>
    <n v="3"/>
    <s v="Yes"/>
    <n v="7"/>
    <x v="0"/>
    <d v="2020-07-31T00:00:00"/>
    <d v="2020-11-30T00:00:00"/>
    <s v="2020-11-30"/>
    <s v="26-35"/>
    <s v="6-10 Years"/>
  </r>
  <r>
    <s v="EMP0120"/>
    <n v="32"/>
    <s v="Female"/>
    <x v="2"/>
    <s v="IT Manager"/>
    <s v="B.Tech"/>
    <n v="77000"/>
    <n v="3"/>
    <n v="10"/>
    <n v="3"/>
    <n v="4"/>
    <n v="3"/>
    <n v="2"/>
    <s v="No"/>
    <s v="Travel_Rarely"/>
    <n v="24"/>
    <n v="10"/>
    <n v="3"/>
    <s v="No"/>
    <n v="2"/>
    <x v="1"/>
    <d v="2017-07-04T00:00:00"/>
    <m/>
    <s v="Active"/>
    <s v="26-35"/>
    <s v="2-3 Years"/>
  </r>
  <r>
    <s v="EMP0121"/>
    <n v="56"/>
    <s v="Male"/>
    <x v="4"/>
    <s v="HR Manager"/>
    <s v="B.Com"/>
    <n v="75929"/>
    <n v="4"/>
    <n v="35"/>
    <n v="3"/>
    <n v="4"/>
    <n v="4"/>
    <n v="4"/>
    <s v="No"/>
    <s v="Travel_Rarely"/>
    <n v="13"/>
    <n v="59"/>
    <n v="4"/>
    <s v="No"/>
    <n v="3"/>
    <x v="1"/>
    <d v="2015-03-24T00:00:00"/>
    <m/>
    <s v="Active"/>
    <s v="56+"/>
    <s v="4-5 Years"/>
  </r>
  <r>
    <s v="EMP0122"/>
    <n v="48"/>
    <s v="Male"/>
    <x v="2"/>
    <s v="Data Analyst"/>
    <s v="B.Com"/>
    <n v="129637"/>
    <n v="14"/>
    <n v="27"/>
    <n v="5"/>
    <n v="2"/>
    <n v="1"/>
    <n v="2"/>
    <s v="No"/>
    <s v="Travel_Rarely"/>
    <n v="23"/>
    <n v="15"/>
    <n v="2"/>
    <s v="Yes"/>
    <n v="7"/>
    <x v="1"/>
    <d v="2018-06-10T00:00:00"/>
    <m/>
    <s v="Active"/>
    <s v="46-55"/>
    <s v="10+ Years"/>
  </r>
  <r>
    <s v="EMP0123"/>
    <n v="34"/>
    <s v="Male"/>
    <x v="3"/>
    <s v="Operations Executive"/>
    <s v="B.Com"/>
    <n v="46673"/>
    <n v="2"/>
    <n v="11"/>
    <n v="1"/>
    <n v="2"/>
    <n v="4"/>
    <n v="1"/>
    <s v="Yes"/>
    <s v="Travel_Rarely"/>
    <n v="12"/>
    <n v="30"/>
    <n v="3"/>
    <s v="No"/>
    <n v="5"/>
    <x v="1"/>
    <d v="2017-12-26T00:00:00"/>
    <m/>
    <s v="Active"/>
    <s v="26-35"/>
    <s v="2-3 Years"/>
  </r>
  <r>
    <s v="EMP0124"/>
    <n v="57"/>
    <s v="Male"/>
    <x v="1"/>
    <s v="Sales Executive"/>
    <s v="B.A"/>
    <n v="142735"/>
    <n v="21"/>
    <n v="35"/>
    <n v="5"/>
    <n v="2"/>
    <n v="3"/>
    <n v="1"/>
    <s v="Yes"/>
    <s v="Travel_Frequently"/>
    <n v="5"/>
    <n v="45"/>
    <n v="3"/>
    <s v="Yes"/>
    <n v="5"/>
    <x v="1"/>
    <d v="2016-02-19T00:00:00"/>
    <m/>
    <s v="Active"/>
    <s v="56+"/>
    <s v="10+ Years"/>
  </r>
  <r>
    <s v="EMP0125"/>
    <n v="49"/>
    <s v="Male"/>
    <x v="5"/>
    <s v="Marketing Analyst"/>
    <s v="BBA"/>
    <n v="126696"/>
    <n v="11"/>
    <n v="27"/>
    <n v="5"/>
    <n v="3"/>
    <n v="3"/>
    <n v="2"/>
    <s v="No"/>
    <s v="Travel_Frequently"/>
    <n v="23"/>
    <n v="45"/>
    <n v="4"/>
    <s v="No"/>
    <n v="8"/>
    <x v="1"/>
    <d v="2022-06-19T00:00:00"/>
    <m/>
    <s v="Active"/>
    <s v="46-55"/>
    <s v="10+ Years"/>
  </r>
  <r>
    <s v="EMP0126"/>
    <n v="25"/>
    <s v="Female"/>
    <x v="4"/>
    <s v="HR Manager"/>
    <s v="B.Tech"/>
    <n v="41384"/>
    <n v="1"/>
    <n v="1"/>
    <n v="1"/>
    <n v="1"/>
    <n v="1"/>
    <n v="4"/>
    <s v="No"/>
    <s v="Travel_Rarely"/>
    <n v="5"/>
    <n v="22"/>
    <n v="3"/>
    <s v="No"/>
    <n v="5"/>
    <x v="0"/>
    <d v="2020-02-01T00:00:00"/>
    <d v="2022-07-29T00:00:00"/>
    <s v="2022-07-29"/>
    <s v="18-25"/>
    <s v="0-1 Year"/>
  </r>
  <r>
    <s v="EMP0127"/>
    <n v="42"/>
    <s v="Male"/>
    <x v="2"/>
    <s v="Software Engineer"/>
    <s v="B.Com"/>
    <n v="129114"/>
    <n v="14"/>
    <n v="18"/>
    <n v="5"/>
    <n v="2"/>
    <n v="4"/>
    <n v="2"/>
    <s v="Yes"/>
    <s v="Travel_Rarely"/>
    <n v="1"/>
    <n v="45"/>
    <n v="3"/>
    <s v="Yes"/>
    <n v="8"/>
    <x v="1"/>
    <d v="2013-02-17T00:00:00"/>
    <m/>
    <s v="Active"/>
    <s v="36-45"/>
    <s v="10+ Years"/>
  </r>
  <r>
    <s v="EMP0128"/>
    <n v="52"/>
    <s v="Male"/>
    <x v="4"/>
    <s v="HR Manager"/>
    <s v="B.Com"/>
    <n v="154756"/>
    <n v="27"/>
    <n v="30"/>
    <n v="5"/>
    <n v="4"/>
    <n v="2"/>
    <n v="1"/>
    <s v="No"/>
    <s v="Travel_Rarely"/>
    <n v="8"/>
    <n v="26"/>
    <n v="4"/>
    <s v="No"/>
    <n v="3"/>
    <x v="1"/>
    <d v="2017-11-28T00:00:00"/>
    <m/>
    <s v="Active"/>
    <s v="46-55"/>
    <s v="10+ Years"/>
  </r>
  <r>
    <s v="EMP0129"/>
    <n v="52"/>
    <s v="Male"/>
    <x v="4"/>
    <s v="HR Manager"/>
    <s v="BBA"/>
    <n v="144701"/>
    <n v="22"/>
    <n v="28"/>
    <n v="5"/>
    <n v="1"/>
    <n v="3"/>
    <n v="1"/>
    <s v="No"/>
    <s v="Travel_Rarely"/>
    <n v="13"/>
    <n v="30"/>
    <n v="3"/>
    <s v="No"/>
    <n v="8"/>
    <x v="1"/>
    <d v="2014-10-08T00:00:00"/>
    <m/>
    <s v="Active"/>
    <s v="46-55"/>
    <s v="10+ Years"/>
  </r>
  <r>
    <s v="EMP0130"/>
    <n v="45"/>
    <s v="Male"/>
    <x v="3"/>
    <s v="Operations Executive"/>
    <s v="B.A"/>
    <n v="146585"/>
    <n v="22"/>
    <n v="24"/>
    <n v="5"/>
    <n v="4"/>
    <n v="3"/>
    <n v="3"/>
    <s v="Yes"/>
    <s v="Travel_Rarely"/>
    <n v="11"/>
    <n v="50"/>
    <n v="3"/>
    <s v="Yes"/>
    <n v="1"/>
    <x v="1"/>
    <d v="2016-12-14T00:00:00"/>
    <m/>
    <s v="Active"/>
    <s v="36-45"/>
    <s v="10+ Years"/>
  </r>
  <r>
    <s v="EMP0131"/>
    <n v="53"/>
    <s v="Female"/>
    <x v="1"/>
    <s v="Sales Executive"/>
    <s v="MBA"/>
    <n v="104468"/>
    <n v="8"/>
    <n v="29"/>
    <n v="4"/>
    <n v="4"/>
    <n v="1"/>
    <n v="4"/>
    <s v="Yes"/>
    <s v="Travel_Rarely"/>
    <n v="19"/>
    <n v="18"/>
    <n v="3"/>
    <s v="Yes"/>
    <n v="7"/>
    <x v="1"/>
    <d v="2017-05-02T00:00:00"/>
    <m/>
    <s v="Active"/>
    <s v="46-55"/>
    <s v="6-10 Years"/>
  </r>
  <r>
    <s v="EMP0132"/>
    <n v="54"/>
    <s v="Female"/>
    <x v="1"/>
    <s v="Sales Manager"/>
    <s v="MBA"/>
    <n v="144988"/>
    <n v="22"/>
    <n v="31"/>
    <n v="5"/>
    <n v="3"/>
    <n v="1"/>
    <n v="1"/>
    <s v="No"/>
    <s v="Non-Travel"/>
    <n v="15"/>
    <n v="34"/>
    <n v="4"/>
    <s v="No"/>
    <n v="3"/>
    <x v="1"/>
    <d v="2019-01-31T00:00:00"/>
    <m/>
    <s v="Active"/>
    <s v="46-55"/>
    <s v="10+ Years"/>
  </r>
  <r>
    <s v="EMP0133"/>
    <n v="56"/>
    <s v="Male"/>
    <x v="2"/>
    <s v="Data Analyst"/>
    <s v="B.Com"/>
    <n v="84132"/>
    <n v="6"/>
    <n v="32"/>
    <n v="3"/>
    <n v="2"/>
    <n v="1"/>
    <n v="1"/>
    <s v="No"/>
    <s v="Travel_Rarely"/>
    <n v="6"/>
    <n v="20"/>
    <n v="3"/>
    <s v="Yes"/>
    <n v="4"/>
    <x v="0"/>
    <d v="2014-07-28T00:00:00"/>
    <d v="2015-04-02T00:00:00"/>
    <s v="2015-04-02"/>
    <s v="56+"/>
    <s v="6-10 Years"/>
  </r>
  <r>
    <s v="EMP0134"/>
    <n v="49"/>
    <s v="Female"/>
    <x v="3"/>
    <s v="Operations Executive"/>
    <s v="B.A"/>
    <n v="157370"/>
    <n v="27"/>
    <n v="28"/>
    <n v="5"/>
    <n v="1"/>
    <n v="1"/>
    <n v="1"/>
    <s v="No"/>
    <s v="Travel_Rarely"/>
    <n v="21"/>
    <n v="19"/>
    <n v="2"/>
    <s v="No"/>
    <n v="2"/>
    <x v="1"/>
    <d v="2013-11-05T00:00:00"/>
    <m/>
    <s v="Active"/>
    <s v="46-55"/>
    <s v="10+ Years"/>
  </r>
  <r>
    <s v="EMP0135"/>
    <n v="46"/>
    <s v="Female"/>
    <x v="3"/>
    <s v="Operations Executive"/>
    <s v="B.A"/>
    <n v="139636"/>
    <n v="19"/>
    <n v="24"/>
    <n v="5"/>
    <n v="3"/>
    <n v="1"/>
    <n v="4"/>
    <s v="No"/>
    <s v="Travel_Frequently"/>
    <n v="23"/>
    <n v="37"/>
    <n v="2"/>
    <s v="No"/>
    <n v="4"/>
    <x v="1"/>
    <d v="2019-08-24T00:00:00"/>
    <m/>
    <s v="Active"/>
    <s v="46-55"/>
    <s v="10+ Years"/>
  </r>
  <r>
    <s v="EMP0136"/>
    <n v="55"/>
    <s v="Male"/>
    <x v="0"/>
    <s v="Financial Analyst"/>
    <s v="B.Tech"/>
    <n v="97896"/>
    <n v="6"/>
    <n v="32"/>
    <n v="4"/>
    <n v="2"/>
    <n v="4"/>
    <n v="4"/>
    <s v="No"/>
    <s v="Travel_Rarely"/>
    <n v="4"/>
    <n v="56"/>
    <n v="3"/>
    <s v="Yes"/>
    <n v="5"/>
    <x v="0"/>
    <d v="2022-12-10T00:00:00"/>
    <d v="2024-07-20T00:00:00"/>
    <s v="2024-07-20"/>
    <s v="46-55"/>
    <s v="6-10 Years"/>
  </r>
  <r>
    <s v="EMP0137"/>
    <n v="50"/>
    <s v="Male"/>
    <x v="5"/>
    <s v="Marketing Analyst"/>
    <s v="B.A"/>
    <n v="119515"/>
    <n v="11"/>
    <n v="27"/>
    <n v="5"/>
    <n v="2"/>
    <n v="4"/>
    <n v="1"/>
    <s v="No"/>
    <s v="Travel_Rarely"/>
    <n v="11"/>
    <n v="24"/>
    <n v="3"/>
    <s v="No"/>
    <n v="7"/>
    <x v="0"/>
    <d v="2021-05-24T00:00:00"/>
    <d v="2021-11-07T00:00:00"/>
    <s v="2021-11-07"/>
    <s v="46-55"/>
    <s v="10+ Years"/>
  </r>
  <r>
    <s v="EMP0138"/>
    <n v="52"/>
    <s v="Female"/>
    <x v="4"/>
    <s v="HR Executive"/>
    <s v="B.Tech"/>
    <n v="135215"/>
    <n v="19"/>
    <n v="29"/>
    <n v="5"/>
    <n v="2"/>
    <n v="4"/>
    <n v="1"/>
    <s v="No"/>
    <s v="Travel_Rarely"/>
    <n v="17"/>
    <n v="59"/>
    <n v="4"/>
    <s v="No"/>
    <n v="5"/>
    <x v="1"/>
    <d v="2018-11-05T00:00:00"/>
    <m/>
    <s v="Active"/>
    <s v="46-55"/>
    <s v="10+ Years"/>
  </r>
  <r>
    <s v="EMP0139"/>
    <n v="27"/>
    <s v="Male"/>
    <x v="3"/>
    <s v="Operations Manager"/>
    <s v="MBA"/>
    <n v="55932"/>
    <n v="1"/>
    <n v="5"/>
    <n v="2"/>
    <n v="3"/>
    <n v="2"/>
    <n v="3"/>
    <s v="No"/>
    <s v="Travel_Rarely"/>
    <n v="11"/>
    <n v="53"/>
    <n v="3"/>
    <s v="No"/>
    <n v="12"/>
    <x v="1"/>
    <d v="2014-05-19T00:00:00"/>
    <m/>
    <s v="Active"/>
    <s v="26-35"/>
    <s v="0-1 Year"/>
  </r>
  <r>
    <s v="EMP0140"/>
    <n v="39"/>
    <s v="Female"/>
    <x v="5"/>
    <s v="Marketing Manager"/>
    <s v="B.Com"/>
    <n v="43714"/>
    <n v="1"/>
    <n v="18"/>
    <n v="1"/>
    <n v="3"/>
    <n v="1"/>
    <n v="4"/>
    <s v="No"/>
    <s v="Travel_Rarely"/>
    <n v="8"/>
    <n v="39"/>
    <n v="4"/>
    <s v="No"/>
    <n v="6"/>
    <x v="1"/>
    <d v="2023-08-03T00:00:00"/>
    <m/>
    <s v="Active"/>
    <s v="36-45"/>
    <s v="0-1 Year"/>
  </r>
  <r>
    <s v="EMP0141"/>
    <n v="58"/>
    <s v="Male"/>
    <x v="0"/>
    <s v="Finance Manager"/>
    <s v="B.A"/>
    <n v="139217"/>
    <n v="20"/>
    <n v="36"/>
    <n v="5"/>
    <n v="4"/>
    <n v="4"/>
    <n v="2"/>
    <s v="No"/>
    <s v="Travel_Rarely"/>
    <n v="27"/>
    <n v="38"/>
    <n v="3"/>
    <s v="No"/>
    <n v="6"/>
    <x v="1"/>
    <d v="2022-06-21T00:00:00"/>
    <m/>
    <s v="Active"/>
    <s v="56+"/>
    <s v="10+ Years"/>
  </r>
  <r>
    <s v="EMP0142"/>
    <n v="24"/>
    <s v="Male"/>
    <x v="0"/>
    <s v="Finance Manager"/>
    <s v="B.Com"/>
    <n v="40674"/>
    <n v="0"/>
    <n v="1"/>
    <n v="1"/>
    <n v="2"/>
    <n v="2"/>
    <n v="1"/>
    <s v="Yes"/>
    <s v="Travel_Rarely"/>
    <n v="27"/>
    <n v="27"/>
    <n v="3"/>
    <s v="No"/>
    <n v="4"/>
    <x v="1"/>
    <d v="2022-05-14T00:00:00"/>
    <m/>
    <s v="Active"/>
    <s v="18-25"/>
    <s v="0-1 Year"/>
  </r>
  <r>
    <s v="EMP0143"/>
    <n v="26"/>
    <s v="Male"/>
    <x v="1"/>
    <s v="Sales Manager"/>
    <s v="MBA"/>
    <n v="39780"/>
    <n v="0"/>
    <n v="2"/>
    <n v="1"/>
    <n v="4"/>
    <n v="1"/>
    <n v="4"/>
    <s v="No"/>
    <s v="Travel_Rarely"/>
    <n v="26"/>
    <n v="28"/>
    <n v="3"/>
    <s v="No"/>
    <n v="8"/>
    <x v="1"/>
    <d v="2022-11-19T00:00:00"/>
    <m/>
    <s v="Active"/>
    <s v="26-35"/>
    <s v="0-1 Year"/>
  </r>
  <r>
    <s v="EMP0144"/>
    <n v="40"/>
    <s v="Female"/>
    <x v="3"/>
    <s v="Operations Manager"/>
    <s v="BBA"/>
    <n v="73270"/>
    <n v="3"/>
    <n v="19"/>
    <n v="3"/>
    <n v="3"/>
    <n v="1"/>
    <n v="1"/>
    <s v="No"/>
    <s v="Travel_Frequently"/>
    <n v="29"/>
    <n v="45"/>
    <n v="3"/>
    <s v="No"/>
    <n v="7"/>
    <x v="1"/>
    <d v="2012-09-10T00:00:00"/>
    <m/>
    <s v="Active"/>
    <s v="36-45"/>
    <s v="2-3 Years"/>
  </r>
  <r>
    <s v="EMP0145"/>
    <n v="27"/>
    <s v="Male"/>
    <x v="2"/>
    <s v="IT Manager"/>
    <s v="BBA"/>
    <n v="80634"/>
    <n v="4"/>
    <n v="6"/>
    <n v="3"/>
    <n v="4"/>
    <n v="3"/>
    <n v="2"/>
    <s v="No"/>
    <s v="Travel_Rarely"/>
    <n v="4"/>
    <n v="56"/>
    <n v="3"/>
    <s v="No"/>
    <n v="7"/>
    <x v="1"/>
    <d v="2022-06-08T00:00:00"/>
    <m/>
    <s v="Active"/>
    <s v="26-35"/>
    <s v="4-5 Years"/>
  </r>
  <r>
    <s v="EMP0146"/>
    <n v="37"/>
    <s v="Female"/>
    <x v="0"/>
    <s v="Finance Manager"/>
    <s v="M.Tech"/>
    <n v="55642"/>
    <n v="0"/>
    <n v="13"/>
    <n v="2"/>
    <n v="3"/>
    <n v="3"/>
    <n v="2"/>
    <s v="Yes"/>
    <s v="Travel_Frequently"/>
    <n v="9"/>
    <n v="26"/>
    <n v="3"/>
    <s v="No"/>
    <n v="3"/>
    <x v="1"/>
    <d v="2012-06-01T00:00:00"/>
    <m/>
    <s v="Active"/>
    <s v="36-45"/>
    <s v="0-1 Year"/>
  </r>
  <r>
    <s v="EMP0147"/>
    <n v="42"/>
    <s v="Female"/>
    <x v="1"/>
    <s v="Sales Executive"/>
    <s v="B.Tech"/>
    <n v="60536"/>
    <n v="3"/>
    <n v="19"/>
    <n v="2"/>
    <n v="3"/>
    <n v="4"/>
    <n v="2"/>
    <s v="No"/>
    <s v="Travel_Rarely"/>
    <n v="1"/>
    <n v="56"/>
    <n v="3"/>
    <s v="No"/>
    <n v="6"/>
    <x v="1"/>
    <d v="2015-08-24T00:00:00"/>
    <m/>
    <s v="Active"/>
    <s v="36-45"/>
    <s v="2-3 Years"/>
  </r>
  <r>
    <s v="EMP0148"/>
    <n v="24"/>
    <s v="Male"/>
    <x v="1"/>
    <s v="Sales Manager"/>
    <s v="M.Tech"/>
    <n v="42920"/>
    <n v="1"/>
    <n v="1"/>
    <n v="1"/>
    <n v="3"/>
    <n v="2"/>
    <n v="3"/>
    <s v="No"/>
    <s v="Non-Travel"/>
    <n v="17"/>
    <n v="28"/>
    <n v="3"/>
    <s v="No"/>
    <n v="5"/>
    <x v="1"/>
    <d v="2020-02-20T00:00:00"/>
    <m/>
    <s v="Active"/>
    <s v="18-25"/>
    <s v="0-1 Year"/>
  </r>
  <r>
    <s v="EMP0149"/>
    <n v="40"/>
    <s v="Female"/>
    <x v="1"/>
    <s v="Sales Executive"/>
    <s v="B.Com"/>
    <n v="43426"/>
    <n v="0"/>
    <n v="19"/>
    <n v="1"/>
    <n v="4"/>
    <n v="2"/>
    <n v="4"/>
    <s v="No"/>
    <s v="Travel_Rarely"/>
    <n v="12"/>
    <n v="25"/>
    <n v="3"/>
    <s v="No"/>
    <n v="3"/>
    <x v="1"/>
    <d v="2020-06-20T00:00:00"/>
    <m/>
    <s v="Active"/>
    <s v="36-45"/>
    <s v="0-1 Year"/>
  </r>
  <r>
    <s v="EMP0150"/>
    <n v="58"/>
    <s v="Male"/>
    <x v="3"/>
    <s v="Operations Manager"/>
    <s v="B.Com"/>
    <n v="131690"/>
    <n v="15"/>
    <n v="36"/>
    <n v="5"/>
    <n v="3"/>
    <n v="2"/>
    <n v="4"/>
    <s v="Yes"/>
    <s v="Travel_Rarely"/>
    <n v="21"/>
    <n v="20"/>
    <n v="3"/>
    <s v="No"/>
    <n v="7"/>
    <x v="1"/>
    <d v="2016-01-13T00:00:00"/>
    <m/>
    <s v="Active"/>
    <s v="56+"/>
    <s v="10+ Years"/>
  </r>
  <r>
    <s v="EMP0151"/>
    <n v="51"/>
    <s v="Male"/>
    <x v="5"/>
    <s v="Marketing Analyst"/>
    <s v="M.Tech"/>
    <n v="146758"/>
    <n v="21"/>
    <n v="27"/>
    <n v="5"/>
    <n v="3"/>
    <n v="2"/>
    <n v="3"/>
    <s v="No"/>
    <s v="Travel_Rarely"/>
    <n v="29"/>
    <n v="33"/>
    <n v="3"/>
    <s v="No"/>
    <n v="4"/>
    <x v="0"/>
    <d v="2015-09-03T00:00:00"/>
    <d v="2017-10-22T00:00:00"/>
    <s v="2017-10-22"/>
    <s v="46-55"/>
    <s v="10+ Years"/>
  </r>
  <r>
    <s v="EMP0152"/>
    <n v="26"/>
    <s v="Male"/>
    <x v="5"/>
    <s v="Marketing Analyst"/>
    <s v="B.Tech"/>
    <n v="55654"/>
    <n v="0"/>
    <n v="3"/>
    <n v="2"/>
    <n v="3"/>
    <n v="3"/>
    <n v="2"/>
    <s v="No"/>
    <s v="Travel_Rarely"/>
    <n v="24"/>
    <n v="19"/>
    <n v="3"/>
    <s v="No"/>
    <n v="5"/>
    <x v="1"/>
    <d v="2018-01-04T00:00:00"/>
    <m/>
    <s v="Active"/>
    <s v="26-35"/>
    <s v="0-1 Year"/>
  </r>
  <r>
    <s v="EMP0153"/>
    <n v="40"/>
    <s v="Female"/>
    <x v="2"/>
    <s v="Data Analyst"/>
    <s v="M.Tech"/>
    <n v="57742"/>
    <n v="2"/>
    <n v="18"/>
    <n v="2"/>
    <n v="3"/>
    <n v="2"/>
    <n v="1"/>
    <s v="No"/>
    <s v="Travel_Rarely"/>
    <n v="4"/>
    <n v="11"/>
    <n v="3"/>
    <s v="No"/>
    <n v="7"/>
    <x v="1"/>
    <d v="2013-09-01T00:00:00"/>
    <m/>
    <s v="Active"/>
    <s v="36-45"/>
    <s v="2-3 Years"/>
  </r>
  <r>
    <s v="EMP0154"/>
    <n v="51"/>
    <s v="Female"/>
    <x v="5"/>
    <s v="Marketing Analyst"/>
    <s v="B.Tech"/>
    <n v="58816"/>
    <n v="3"/>
    <n v="30"/>
    <n v="2"/>
    <n v="1"/>
    <n v="4"/>
    <n v="3"/>
    <s v="No"/>
    <s v="Travel_Frequently"/>
    <n v="10"/>
    <n v="41"/>
    <n v="4"/>
    <s v="No"/>
    <n v="3"/>
    <x v="1"/>
    <d v="2021-07-22T00:00:00"/>
    <m/>
    <s v="Active"/>
    <s v="46-55"/>
    <s v="2-3 Years"/>
  </r>
  <r>
    <s v="EMP0155"/>
    <n v="42"/>
    <s v="Female"/>
    <x v="5"/>
    <s v="Marketing Analyst"/>
    <s v="B.A"/>
    <n v="85962"/>
    <n v="8"/>
    <n v="21"/>
    <n v="3"/>
    <n v="4"/>
    <n v="4"/>
    <n v="1"/>
    <s v="No"/>
    <s v="Travel_Frequently"/>
    <n v="13"/>
    <n v="49"/>
    <n v="3"/>
    <s v="Yes"/>
    <n v="3"/>
    <x v="1"/>
    <d v="2023-05-27T00:00:00"/>
    <m/>
    <s v="Active"/>
    <s v="36-45"/>
    <s v="6-10 Years"/>
  </r>
  <r>
    <s v="EMP0156"/>
    <n v="55"/>
    <s v="Male"/>
    <x v="0"/>
    <s v="Finance Manager"/>
    <s v="B.Com"/>
    <n v="162551"/>
    <n v="32"/>
    <n v="33"/>
    <n v="5"/>
    <n v="2"/>
    <n v="2"/>
    <n v="4"/>
    <s v="No"/>
    <s v="Travel_Rarely"/>
    <n v="4"/>
    <n v="22"/>
    <n v="3"/>
    <s v="Yes"/>
    <n v="6"/>
    <x v="1"/>
    <d v="2012-10-21T00:00:00"/>
    <m/>
    <s v="Active"/>
    <s v="46-55"/>
    <s v="10+ Years"/>
  </r>
  <r>
    <s v="EMP0157"/>
    <n v="49"/>
    <s v="Female"/>
    <x v="0"/>
    <s v="Financial Analyst"/>
    <s v="MBA"/>
    <n v="137444"/>
    <n v="20"/>
    <n v="25"/>
    <n v="5"/>
    <n v="2"/>
    <n v="3"/>
    <n v="3"/>
    <s v="No"/>
    <s v="Travel_Rarely"/>
    <n v="28"/>
    <n v="52"/>
    <n v="3"/>
    <s v="Yes"/>
    <n v="4"/>
    <x v="1"/>
    <d v="2023-11-30T00:00:00"/>
    <m/>
    <s v="Active"/>
    <s v="46-55"/>
    <s v="10+ Years"/>
  </r>
  <r>
    <s v="EMP0158"/>
    <n v="28"/>
    <s v="Male"/>
    <x v="3"/>
    <s v="Operations Manager"/>
    <s v="B.A"/>
    <n v="40074"/>
    <n v="0"/>
    <n v="4"/>
    <n v="1"/>
    <n v="2"/>
    <n v="2"/>
    <n v="2"/>
    <s v="No"/>
    <s v="Travel_Rarely"/>
    <n v="29"/>
    <n v="14"/>
    <n v="3"/>
    <s v="No"/>
    <n v="7"/>
    <x v="0"/>
    <d v="2018-05-19T00:00:00"/>
    <d v="2019-07-04T00:00:00"/>
    <s v="2019-07-04"/>
    <s v="26-35"/>
    <s v="0-1 Year"/>
  </r>
  <r>
    <s v="EMP0159"/>
    <n v="44"/>
    <s v="Male"/>
    <x v="0"/>
    <s v="Financial Analyst"/>
    <s v="MBA"/>
    <n v="126933"/>
    <n v="12"/>
    <n v="20"/>
    <n v="5"/>
    <n v="4"/>
    <n v="3"/>
    <n v="4"/>
    <s v="No"/>
    <s v="Travel_Rarely"/>
    <n v="26"/>
    <n v="48"/>
    <n v="3"/>
    <s v="No"/>
    <n v="4"/>
    <x v="1"/>
    <d v="2018-04-27T00:00:00"/>
    <m/>
    <s v="Active"/>
    <s v="36-45"/>
    <s v="10+ Years"/>
  </r>
  <r>
    <s v="EMP0160"/>
    <n v="44"/>
    <s v="Female"/>
    <x v="4"/>
    <s v="HR Manager"/>
    <s v="B.Tech"/>
    <n v="144404"/>
    <n v="21"/>
    <n v="21"/>
    <n v="5"/>
    <n v="3"/>
    <n v="1"/>
    <n v="3"/>
    <s v="No"/>
    <s v="Travel_Rarely"/>
    <n v="23"/>
    <n v="54"/>
    <n v="3"/>
    <s v="No"/>
    <n v="0"/>
    <x v="1"/>
    <d v="2013-10-07T00:00:00"/>
    <m/>
    <s v="Active"/>
    <s v="36-45"/>
    <s v="10+ Years"/>
  </r>
  <r>
    <s v="EMP0161"/>
    <n v="39"/>
    <s v="Male"/>
    <x v="3"/>
    <s v="Operations Executive"/>
    <s v="BBA"/>
    <n v="124081"/>
    <n v="10"/>
    <n v="18"/>
    <n v="5"/>
    <n v="3"/>
    <n v="2"/>
    <n v="2"/>
    <s v="Yes"/>
    <s v="Travel_Rarely"/>
    <n v="9"/>
    <n v="51"/>
    <n v="3"/>
    <s v="Yes"/>
    <n v="2"/>
    <x v="1"/>
    <d v="2022-11-26T00:00:00"/>
    <m/>
    <s v="Active"/>
    <s v="36-45"/>
    <s v="6-10 Years"/>
  </r>
  <r>
    <s v="EMP0162"/>
    <n v="49"/>
    <s v="Female"/>
    <x v="4"/>
    <s v="HR Executive"/>
    <s v="B.Tech"/>
    <n v="55552"/>
    <n v="0"/>
    <n v="26"/>
    <n v="2"/>
    <n v="3"/>
    <n v="3"/>
    <n v="2"/>
    <s v="No"/>
    <s v="Travel_Rarely"/>
    <n v="2"/>
    <n v="22"/>
    <n v="3"/>
    <s v="No"/>
    <n v="5"/>
    <x v="1"/>
    <d v="2019-05-11T00:00:00"/>
    <m/>
    <s v="Active"/>
    <s v="46-55"/>
    <s v="0-1 Year"/>
  </r>
  <r>
    <s v="EMP0163"/>
    <n v="45"/>
    <s v="Female"/>
    <x v="0"/>
    <s v="Financial Analyst"/>
    <s v="MBA"/>
    <n v="46433"/>
    <n v="2"/>
    <n v="24"/>
    <n v="1"/>
    <n v="1"/>
    <n v="3"/>
    <n v="1"/>
    <s v="No"/>
    <s v="Travel_Frequently"/>
    <n v="27"/>
    <n v="12"/>
    <n v="3"/>
    <s v="No"/>
    <n v="4"/>
    <x v="1"/>
    <d v="2019-05-03T00:00:00"/>
    <m/>
    <s v="Active"/>
    <s v="36-45"/>
    <s v="2-3 Years"/>
  </r>
  <r>
    <s v="EMP0164"/>
    <n v="22"/>
    <s v="Male"/>
    <x v="3"/>
    <s v="Operations Manager"/>
    <s v="B.Tech"/>
    <n v="45773"/>
    <n v="1"/>
    <n v="1"/>
    <n v="1"/>
    <n v="1"/>
    <n v="3"/>
    <n v="2"/>
    <s v="No"/>
    <s v="Travel_Rarely"/>
    <n v="15"/>
    <n v="12"/>
    <n v="3"/>
    <s v="No"/>
    <n v="1"/>
    <x v="1"/>
    <d v="2018-10-18T00:00:00"/>
    <m/>
    <s v="Active"/>
    <s v="18-25"/>
    <s v="0-1 Year"/>
  </r>
  <r>
    <s v="EMP0165"/>
    <n v="23"/>
    <s v="Male"/>
    <x v="3"/>
    <s v="Operations Manager"/>
    <s v="B.A"/>
    <n v="54339"/>
    <n v="0"/>
    <n v="1"/>
    <n v="2"/>
    <n v="3"/>
    <n v="4"/>
    <n v="4"/>
    <s v="Yes"/>
    <s v="Travel_Rarely"/>
    <n v="13"/>
    <n v="24"/>
    <n v="3"/>
    <s v="No"/>
    <n v="3"/>
    <x v="1"/>
    <d v="2012-07-24T00:00:00"/>
    <m/>
    <s v="Active"/>
    <s v="18-25"/>
    <s v="0-1 Year"/>
  </r>
  <r>
    <s v="EMP0166"/>
    <n v="25"/>
    <s v="Male"/>
    <x v="5"/>
    <s v="Marketing Analyst"/>
    <s v="MBA"/>
    <n v="63581"/>
    <n v="2"/>
    <n v="2"/>
    <n v="2"/>
    <n v="3"/>
    <n v="2"/>
    <n v="2"/>
    <s v="No"/>
    <s v="Travel_Rarely"/>
    <n v="2"/>
    <n v="24"/>
    <n v="3"/>
    <s v="No"/>
    <n v="3"/>
    <x v="1"/>
    <d v="2017-01-27T00:00:00"/>
    <m/>
    <s v="Active"/>
    <s v="18-25"/>
    <s v="2-3 Years"/>
  </r>
  <r>
    <s v="EMP0167"/>
    <n v="53"/>
    <s v="Male"/>
    <x v="1"/>
    <s v="Sales Executive"/>
    <s v="M.Tech"/>
    <n v="106618"/>
    <n v="11"/>
    <n v="30"/>
    <n v="4"/>
    <n v="3"/>
    <n v="4"/>
    <n v="1"/>
    <s v="No"/>
    <s v="Travel_Rarely"/>
    <n v="16"/>
    <n v="32"/>
    <n v="3"/>
    <s v="Yes"/>
    <n v="8"/>
    <x v="1"/>
    <d v="2014-08-12T00:00:00"/>
    <m/>
    <s v="Active"/>
    <s v="46-55"/>
    <s v="10+ Years"/>
  </r>
  <r>
    <s v="EMP0168"/>
    <n v="23"/>
    <s v="Male"/>
    <x v="5"/>
    <s v="Marketing Manager"/>
    <s v="B.A"/>
    <n v="54640"/>
    <n v="0"/>
    <n v="1"/>
    <n v="2"/>
    <n v="2"/>
    <n v="2"/>
    <n v="2"/>
    <s v="No"/>
    <s v="Travel_Rarely"/>
    <n v="17"/>
    <n v="47"/>
    <n v="3"/>
    <s v="No"/>
    <n v="7"/>
    <x v="1"/>
    <d v="2020-01-29T00:00:00"/>
    <m/>
    <s v="Active"/>
    <s v="18-25"/>
    <s v="0-1 Year"/>
  </r>
  <r>
    <s v="EMP0169"/>
    <n v="43"/>
    <s v="Male"/>
    <x v="0"/>
    <s v="Financial Analyst"/>
    <s v="B.A"/>
    <n v="78363"/>
    <n v="5"/>
    <n v="19"/>
    <n v="3"/>
    <n v="2"/>
    <n v="1"/>
    <n v="4"/>
    <s v="No"/>
    <s v="Travel_Rarely"/>
    <n v="22"/>
    <n v="15"/>
    <n v="3"/>
    <s v="No"/>
    <n v="9"/>
    <x v="1"/>
    <d v="2018-07-06T00:00:00"/>
    <m/>
    <s v="Active"/>
    <s v="36-45"/>
    <s v="4-5 Years"/>
  </r>
  <r>
    <s v="EMP0170"/>
    <n v="54"/>
    <s v="Female"/>
    <x v="3"/>
    <s v="Operations Manager"/>
    <s v="B.Com"/>
    <n v="104956"/>
    <n v="11"/>
    <n v="30"/>
    <n v="4"/>
    <n v="3"/>
    <n v="3"/>
    <n v="4"/>
    <s v="Yes"/>
    <s v="Travel_Rarely"/>
    <n v="15"/>
    <n v="25"/>
    <n v="3"/>
    <s v="No"/>
    <n v="1"/>
    <x v="1"/>
    <d v="2014-08-07T00:00:00"/>
    <m/>
    <s v="Active"/>
    <s v="46-55"/>
    <s v="10+ Years"/>
  </r>
  <r>
    <s v="EMP0171"/>
    <n v="32"/>
    <s v="Male"/>
    <x v="5"/>
    <s v="Marketing Manager"/>
    <s v="M.Tech"/>
    <n v="80486"/>
    <n v="5"/>
    <n v="9"/>
    <n v="3"/>
    <n v="2"/>
    <n v="4"/>
    <n v="2"/>
    <s v="No"/>
    <s v="Travel_Rarely"/>
    <n v="11"/>
    <n v="44"/>
    <n v="3"/>
    <s v="Yes"/>
    <n v="3"/>
    <x v="1"/>
    <d v="2012-01-19T00:00:00"/>
    <m/>
    <s v="Active"/>
    <s v="26-35"/>
    <s v="4-5 Years"/>
  </r>
  <r>
    <s v="EMP0172"/>
    <n v="23"/>
    <s v="Female"/>
    <x v="4"/>
    <s v="HR Executive"/>
    <s v="B.A"/>
    <n v="43039"/>
    <n v="0"/>
    <n v="1"/>
    <n v="1"/>
    <n v="3"/>
    <n v="2"/>
    <n v="2"/>
    <s v="No"/>
    <s v="Travel_Rarely"/>
    <n v="19"/>
    <n v="30"/>
    <n v="3"/>
    <s v="No"/>
    <n v="6"/>
    <x v="1"/>
    <d v="2015-01-03T00:00:00"/>
    <m/>
    <s v="Active"/>
    <s v="18-25"/>
    <s v="0-1 Year"/>
  </r>
  <r>
    <s v="EMP0173"/>
    <n v="42"/>
    <s v="Female"/>
    <x v="1"/>
    <s v="Sales Executive"/>
    <s v="B.Tech"/>
    <n v="139917"/>
    <n v="21"/>
    <n v="21"/>
    <n v="5"/>
    <n v="3"/>
    <n v="1"/>
    <n v="4"/>
    <s v="No"/>
    <s v="Travel_Rarely"/>
    <n v="22"/>
    <n v="31"/>
    <n v="3"/>
    <s v="No"/>
    <n v="4"/>
    <x v="1"/>
    <d v="2012-07-25T00:00:00"/>
    <m/>
    <s v="Active"/>
    <s v="36-45"/>
    <s v="10+ Years"/>
  </r>
  <r>
    <s v="EMP0174"/>
    <n v="33"/>
    <s v="Male"/>
    <x v="5"/>
    <s v="Marketing Manager"/>
    <s v="BBA"/>
    <n v="101213"/>
    <n v="7"/>
    <n v="10"/>
    <n v="4"/>
    <n v="1"/>
    <n v="1"/>
    <n v="2"/>
    <s v="Yes"/>
    <s v="Non-Travel"/>
    <n v="26"/>
    <n v="20"/>
    <n v="3"/>
    <s v="No"/>
    <n v="2"/>
    <x v="1"/>
    <d v="2018-07-15T00:00:00"/>
    <m/>
    <s v="Active"/>
    <s v="26-35"/>
    <s v="6-10 Years"/>
  </r>
  <r>
    <s v="EMP0175"/>
    <n v="37"/>
    <s v="Female"/>
    <x v="4"/>
    <s v="HR Executive"/>
    <s v="M.Tech"/>
    <n v="125943"/>
    <n v="14"/>
    <n v="14"/>
    <n v="5"/>
    <n v="3"/>
    <n v="1"/>
    <n v="3"/>
    <s v="No"/>
    <s v="Non-Travel"/>
    <n v="20"/>
    <n v="46"/>
    <n v="3"/>
    <s v="Yes"/>
    <n v="5"/>
    <x v="1"/>
    <d v="2022-07-23T00:00:00"/>
    <m/>
    <s v="Active"/>
    <s v="36-45"/>
    <s v="10+ Years"/>
  </r>
  <r>
    <s v="EMP0176"/>
    <n v="51"/>
    <s v="Male"/>
    <x v="3"/>
    <s v="Operations Executive"/>
    <s v="MBA"/>
    <n v="96617"/>
    <n v="6"/>
    <n v="29"/>
    <n v="4"/>
    <n v="2"/>
    <n v="3"/>
    <n v="4"/>
    <s v="No"/>
    <s v="Travel_Rarely"/>
    <n v="15"/>
    <n v="46"/>
    <n v="2"/>
    <s v="No"/>
    <n v="3"/>
    <x v="1"/>
    <d v="2012-04-19T00:00:00"/>
    <m/>
    <s v="Active"/>
    <s v="46-55"/>
    <s v="6-10 Years"/>
  </r>
  <r>
    <s v="EMP0177"/>
    <n v="29"/>
    <s v="Male"/>
    <x v="5"/>
    <s v="Marketing Manager"/>
    <s v="B.A"/>
    <n v="59036"/>
    <n v="3"/>
    <n v="8"/>
    <n v="2"/>
    <n v="4"/>
    <n v="4"/>
    <n v="1"/>
    <s v="No"/>
    <s v="Travel_Frequently"/>
    <n v="6"/>
    <n v="33"/>
    <n v="3"/>
    <s v="No"/>
    <n v="2"/>
    <x v="1"/>
    <d v="2017-07-04T00:00:00"/>
    <m/>
    <s v="Active"/>
    <s v="26-35"/>
    <s v="2-3 Years"/>
  </r>
  <r>
    <s v="EMP0178"/>
    <n v="53"/>
    <s v="Male"/>
    <x v="3"/>
    <s v="Operations Manager"/>
    <s v="BBA"/>
    <n v="59183"/>
    <n v="2"/>
    <n v="29"/>
    <n v="2"/>
    <n v="4"/>
    <n v="2"/>
    <n v="3"/>
    <s v="No"/>
    <s v="Travel_Rarely"/>
    <n v="25"/>
    <n v="51"/>
    <n v="2"/>
    <s v="No"/>
    <n v="4"/>
    <x v="0"/>
    <d v="2017-11-23T00:00:00"/>
    <d v="2018-11-28T00:00:00"/>
    <s v="2018-11-28"/>
    <s v="46-55"/>
    <s v="2-3 Years"/>
  </r>
  <r>
    <s v="EMP0179"/>
    <n v="36"/>
    <s v="Male"/>
    <x v="0"/>
    <s v="Financial Analyst"/>
    <s v="B.Tech"/>
    <n v="76802"/>
    <n v="3"/>
    <n v="12"/>
    <n v="3"/>
    <n v="1"/>
    <n v="2"/>
    <n v="1"/>
    <s v="No"/>
    <s v="Travel_Rarely"/>
    <n v="19"/>
    <n v="16"/>
    <n v="3"/>
    <s v="No"/>
    <n v="4"/>
    <x v="1"/>
    <d v="2018-12-10T00:00:00"/>
    <m/>
    <s v="Active"/>
    <s v="36-45"/>
    <s v="2-3 Years"/>
  </r>
  <r>
    <s v="EMP0180"/>
    <n v="34"/>
    <s v="Female"/>
    <x v="1"/>
    <s v="Sales Executive"/>
    <s v="BBA"/>
    <n v="99881"/>
    <n v="8"/>
    <n v="11"/>
    <n v="4"/>
    <n v="2"/>
    <n v="3"/>
    <n v="2"/>
    <s v="No"/>
    <s v="Travel_Rarely"/>
    <n v="27"/>
    <n v="47"/>
    <n v="3"/>
    <s v="No"/>
    <n v="8"/>
    <x v="1"/>
    <d v="2017-08-15T00:00:00"/>
    <m/>
    <s v="Active"/>
    <s v="26-35"/>
    <s v="6-10 Years"/>
  </r>
  <r>
    <s v="EMP0181"/>
    <n v="35"/>
    <s v="Male"/>
    <x v="2"/>
    <s v="IT Manager"/>
    <s v="B.Com"/>
    <n v="42918"/>
    <n v="0"/>
    <n v="11"/>
    <n v="1"/>
    <n v="1"/>
    <n v="3"/>
    <n v="1"/>
    <s v="No"/>
    <s v="Travel_Rarely"/>
    <n v="21"/>
    <n v="29"/>
    <n v="3"/>
    <s v="No"/>
    <n v="2"/>
    <x v="0"/>
    <d v="2012-10-02T00:00:00"/>
    <d v="2014-05-24T00:00:00"/>
    <s v="2014-05-24"/>
    <s v="26-35"/>
    <s v="0-1 Year"/>
  </r>
  <r>
    <s v="EMP0182"/>
    <n v="34"/>
    <s v="Male"/>
    <x v="5"/>
    <s v="Marketing Analyst"/>
    <s v="B.Tech"/>
    <n v="55129"/>
    <n v="0"/>
    <n v="11"/>
    <n v="2"/>
    <n v="4"/>
    <n v="2"/>
    <n v="3"/>
    <s v="Yes"/>
    <s v="Travel_Rarely"/>
    <n v="26"/>
    <n v="56"/>
    <n v="2"/>
    <s v="No"/>
    <n v="6"/>
    <x v="1"/>
    <d v="2014-05-20T00:00:00"/>
    <m/>
    <s v="Active"/>
    <s v="26-35"/>
    <s v="0-1 Year"/>
  </r>
  <r>
    <s v="EMP0183"/>
    <n v="34"/>
    <s v="Female"/>
    <x v="0"/>
    <s v="Finance Manager"/>
    <s v="BBA"/>
    <n v="127100"/>
    <n v="12"/>
    <n v="12"/>
    <n v="5"/>
    <n v="2"/>
    <n v="1"/>
    <n v="4"/>
    <s v="No"/>
    <s v="Travel_Rarely"/>
    <n v="9"/>
    <n v="19"/>
    <n v="3"/>
    <s v="Yes"/>
    <n v="8"/>
    <x v="1"/>
    <d v="2016-02-13T00:00:00"/>
    <m/>
    <s v="Active"/>
    <s v="26-35"/>
    <s v="10+ Years"/>
  </r>
  <r>
    <s v="EMP0184"/>
    <n v="35"/>
    <s v="Female"/>
    <x v="4"/>
    <s v="HR Manager"/>
    <s v="B.A"/>
    <n v="120113"/>
    <n v="10"/>
    <n v="14"/>
    <n v="5"/>
    <n v="2"/>
    <n v="3"/>
    <n v="3"/>
    <s v="No"/>
    <s v="Travel_Rarely"/>
    <n v="26"/>
    <n v="38"/>
    <n v="3"/>
    <s v="Yes"/>
    <n v="6"/>
    <x v="1"/>
    <d v="2017-12-26T00:00:00"/>
    <m/>
    <s v="Active"/>
    <s v="26-35"/>
    <s v="6-10 Years"/>
  </r>
  <r>
    <s v="EMP0185"/>
    <n v="45"/>
    <s v="Male"/>
    <x v="4"/>
    <s v="HR Manager"/>
    <s v="B.Com"/>
    <n v="132218"/>
    <n v="16"/>
    <n v="22"/>
    <n v="5"/>
    <n v="4"/>
    <n v="2"/>
    <n v="4"/>
    <s v="No"/>
    <s v="Travel_Frequently"/>
    <n v="4"/>
    <n v="31"/>
    <n v="3"/>
    <s v="No"/>
    <n v="2"/>
    <x v="1"/>
    <d v="2020-09-11T00:00:00"/>
    <m/>
    <s v="Active"/>
    <s v="36-45"/>
    <s v="10+ Years"/>
  </r>
  <r>
    <s v="EMP0186"/>
    <n v="57"/>
    <s v="Female"/>
    <x v="3"/>
    <s v="Operations Executive"/>
    <s v="MBA"/>
    <n v="152961"/>
    <n v="27"/>
    <n v="33"/>
    <n v="5"/>
    <n v="2"/>
    <n v="4"/>
    <n v="4"/>
    <s v="No"/>
    <s v="Non-Travel"/>
    <n v="18"/>
    <n v="13"/>
    <n v="3"/>
    <s v="No"/>
    <n v="4"/>
    <x v="1"/>
    <d v="2015-06-27T00:00:00"/>
    <m/>
    <s v="Active"/>
    <s v="56+"/>
    <s v="10+ Years"/>
  </r>
  <r>
    <s v="EMP0187"/>
    <n v="45"/>
    <s v="Male"/>
    <x v="2"/>
    <s v="Software Engineer"/>
    <s v="MBA"/>
    <n v="103378"/>
    <n v="7"/>
    <n v="21"/>
    <n v="4"/>
    <n v="3"/>
    <n v="4"/>
    <n v="1"/>
    <s v="No"/>
    <s v="Travel_Frequently"/>
    <n v="3"/>
    <n v="21"/>
    <n v="2"/>
    <s v="Yes"/>
    <n v="6"/>
    <x v="1"/>
    <d v="2015-06-23T00:00:00"/>
    <m/>
    <s v="Active"/>
    <s v="36-45"/>
    <s v="6-10 Years"/>
  </r>
  <r>
    <s v="EMP0188"/>
    <n v="46"/>
    <s v="Female"/>
    <x v="4"/>
    <s v="HR Manager"/>
    <s v="M.Tech"/>
    <n v="135627"/>
    <n v="19"/>
    <n v="25"/>
    <n v="5"/>
    <n v="2"/>
    <n v="1"/>
    <n v="2"/>
    <s v="Yes"/>
    <s v="Travel_Rarely"/>
    <n v="26"/>
    <n v="55"/>
    <n v="3"/>
    <s v="No"/>
    <n v="3"/>
    <x v="0"/>
    <d v="2015-08-19T00:00:00"/>
    <d v="2017-03-11T00:00:00"/>
    <s v="2017-03-11"/>
    <s v="46-55"/>
    <s v="10+ Years"/>
  </r>
  <r>
    <s v="EMP0189"/>
    <n v="25"/>
    <s v="Female"/>
    <x v="0"/>
    <s v="Finance Manager"/>
    <s v="B.Com"/>
    <n v="58191"/>
    <n v="3"/>
    <n v="3"/>
    <n v="2"/>
    <n v="3"/>
    <n v="4"/>
    <n v="2"/>
    <s v="No"/>
    <s v="Travel_Rarely"/>
    <n v="11"/>
    <n v="14"/>
    <n v="3"/>
    <s v="No"/>
    <n v="2"/>
    <x v="1"/>
    <d v="2022-10-07T00:00:00"/>
    <m/>
    <s v="Active"/>
    <s v="18-25"/>
    <s v="2-3 Years"/>
  </r>
  <r>
    <s v="EMP0190"/>
    <n v="26"/>
    <s v="Male"/>
    <x v="2"/>
    <s v="Software Engineer"/>
    <s v="B.A"/>
    <n v="41011"/>
    <n v="1"/>
    <n v="3"/>
    <n v="1"/>
    <n v="4"/>
    <n v="4"/>
    <n v="3"/>
    <s v="No"/>
    <s v="Travel_Rarely"/>
    <n v="29"/>
    <n v="37"/>
    <n v="3"/>
    <s v="No"/>
    <n v="5"/>
    <x v="1"/>
    <d v="2016-05-30T00:00:00"/>
    <m/>
    <s v="Active"/>
    <s v="26-35"/>
    <s v="0-1 Year"/>
  </r>
  <r>
    <s v="EMP0191"/>
    <n v="22"/>
    <s v="Male"/>
    <x v="0"/>
    <s v="Financial Analyst"/>
    <s v="B.Tech"/>
    <n v="44657"/>
    <n v="0"/>
    <n v="1"/>
    <n v="1"/>
    <n v="2"/>
    <n v="2"/>
    <n v="1"/>
    <s v="Yes"/>
    <s v="Travel_Frequently"/>
    <n v="16"/>
    <n v="17"/>
    <n v="3"/>
    <s v="No"/>
    <n v="2"/>
    <x v="1"/>
    <d v="2012-06-14T00:00:00"/>
    <m/>
    <s v="Active"/>
    <s v="18-25"/>
    <s v="0-1 Year"/>
  </r>
  <r>
    <s v="EMP0192"/>
    <n v="38"/>
    <s v="Male"/>
    <x v="0"/>
    <s v="Finance Manager"/>
    <s v="B.Com"/>
    <n v="123071"/>
    <n v="13"/>
    <n v="16"/>
    <n v="5"/>
    <n v="1"/>
    <n v="3"/>
    <n v="2"/>
    <s v="No"/>
    <s v="Travel_Rarely"/>
    <n v="24"/>
    <n v="44"/>
    <n v="3"/>
    <s v="No"/>
    <n v="5"/>
    <x v="1"/>
    <d v="2019-03-03T00:00:00"/>
    <m/>
    <s v="Active"/>
    <s v="36-45"/>
    <s v="10+ Years"/>
  </r>
  <r>
    <s v="EMP0193"/>
    <n v="39"/>
    <s v="Male"/>
    <x v="1"/>
    <s v="Sales Manager"/>
    <s v="BBA"/>
    <n v="98651"/>
    <n v="6"/>
    <n v="18"/>
    <n v="4"/>
    <n v="3"/>
    <n v="3"/>
    <n v="3"/>
    <s v="Yes"/>
    <s v="Travel_Rarely"/>
    <n v="3"/>
    <n v="28"/>
    <n v="3"/>
    <s v="No"/>
    <n v="4"/>
    <x v="0"/>
    <d v="2014-12-09T00:00:00"/>
    <d v="2015-05-22T00:00:00"/>
    <s v="2015-05-22"/>
    <s v="36-45"/>
    <s v="6-10 Years"/>
  </r>
  <r>
    <s v="EMP0194"/>
    <n v="56"/>
    <s v="Male"/>
    <x v="0"/>
    <s v="Finance Manager"/>
    <s v="MBA"/>
    <n v="130023"/>
    <n v="13"/>
    <n v="32"/>
    <n v="5"/>
    <n v="3"/>
    <n v="3"/>
    <n v="2"/>
    <s v="Yes"/>
    <s v="Travel_Frequently"/>
    <n v="4"/>
    <n v="54"/>
    <n v="3"/>
    <s v="No"/>
    <n v="5"/>
    <x v="1"/>
    <d v="2014-08-19T00:00:00"/>
    <m/>
    <s v="Active"/>
    <s v="56+"/>
    <s v="10+ Years"/>
  </r>
  <r>
    <s v="EMP0195"/>
    <n v="29"/>
    <s v="Male"/>
    <x v="5"/>
    <s v="Marketing Analyst"/>
    <s v="MBA"/>
    <n v="102066"/>
    <n v="8"/>
    <n v="8"/>
    <n v="4"/>
    <n v="2"/>
    <n v="2"/>
    <n v="2"/>
    <s v="No"/>
    <s v="Travel_Rarely"/>
    <n v="28"/>
    <n v="43"/>
    <n v="3"/>
    <s v="Yes"/>
    <n v="7"/>
    <x v="0"/>
    <d v="2015-12-18T00:00:00"/>
    <d v="2018-09-02T00:00:00"/>
    <s v="2018-09-02"/>
    <s v="26-35"/>
    <s v="6-10 Years"/>
  </r>
  <r>
    <s v="EMP0196"/>
    <n v="53"/>
    <s v="Male"/>
    <x v="2"/>
    <s v="Data Analyst"/>
    <s v="B.Com"/>
    <n v="59722"/>
    <n v="2"/>
    <n v="30"/>
    <n v="2"/>
    <n v="3"/>
    <n v="1"/>
    <n v="4"/>
    <s v="No"/>
    <s v="Travel_Frequently"/>
    <n v="5"/>
    <n v="41"/>
    <n v="4"/>
    <s v="No"/>
    <n v="7"/>
    <x v="1"/>
    <d v="2013-08-21T00:00:00"/>
    <m/>
    <s v="Active"/>
    <s v="46-55"/>
    <s v="2-3 Years"/>
  </r>
  <r>
    <s v="EMP0197"/>
    <n v="35"/>
    <s v="Female"/>
    <x v="1"/>
    <s v="Sales Executive"/>
    <s v="B.Tech"/>
    <n v="95106"/>
    <n v="6"/>
    <n v="14"/>
    <n v="4"/>
    <n v="1"/>
    <n v="3"/>
    <n v="1"/>
    <s v="No"/>
    <s v="Travel_Rarely"/>
    <n v="28"/>
    <n v="43"/>
    <n v="3"/>
    <s v="No"/>
    <n v="5"/>
    <x v="1"/>
    <d v="2015-09-19T00:00:00"/>
    <m/>
    <s v="Active"/>
    <s v="26-35"/>
    <s v="6-10 Years"/>
  </r>
  <r>
    <s v="EMP0198"/>
    <n v="56"/>
    <s v="Female"/>
    <x v="2"/>
    <s v="Data Analyst"/>
    <s v="B.Com"/>
    <n v="108548"/>
    <n v="10"/>
    <n v="33"/>
    <n v="4"/>
    <n v="2"/>
    <n v="1"/>
    <n v="3"/>
    <s v="Yes"/>
    <s v="Travel_Frequently"/>
    <n v="12"/>
    <n v="51"/>
    <n v="2"/>
    <s v="Yes"/>
    <n v="2"/>
    <x v="0"/>
    <d v="2012-07-05T00:00:00"/>
    <d v="2015-02-17T00:00:00"/>
    <s v="2015-02-17"/>
    <s v="56+"/>
    <s v="6-10 Years"/>
  </r>
  <r>
    <s v="EMP0199"/>
    <n v="37"/>
    <s v="Male"/>
    <x v="5"/>
    <s v="Marketing Analyst"/>
    <s v="MBA"/>
    <n v="110019"/>
    <n v="11"/>
    <n v="13"/>
    <n v="4"/>
    <n v="3"/>
    <n v="2"/>
    <n v="2"/>
    <s v="No"/>
    <s v="Travel_Rarely"/>
    <n v="8"/>
    <n v="16"/>
    <n v="2"/>
    <s v="No"/>
    <n v="3"/>
    <x v="1"/>
    <d v="2023-11-27T00:00:00"/>
    <m/>
    <s v="Active"/>
    <s v="36-45"/>
    <s v="10+ Years"/>
  </r>
  <r>
    <s v="EMP0200"/>
    <n v="38"/>
    <s v="Male"/>
    <x v="0"/>
    <s v="Finance Manager"/>
    <s v="M.Tech"/>
    <n v="129843"/>
    <n v="15"/>
    <n v="16"/>
    <n v="5"/>
    <n v="2"/>
    <n v="1"/>
    <n v="3"/>
    <s v="Yes"/>
    <s v="Travel_Rarely"/>
    <n v="10"/>
    <n v="16"/>
    <n v="4"/>
    <s v="No"/>
    <n v="5"/>
    <x v="1"/>
    <d v="2023-05-22T00:00:00"/>
    <m/>
    <s v="Active"/>
    <s v="36-45"/>
    <s v="10+ Years"/>
  </r>
  <r>
    <s v="EMP0201"/>
    <n v="58"/>
    <s v="Female"/>
    <x v="5"/>
    <s v="Marketing Analyst"/>
    <s v="B.A"/>
    <n v="63187"/>
    <n v="5"/>
    <n v="37"/>
    <n v="2"/>
    <n v="2"/>
    <n v="2"/>
    <n v="4"/>
    <s v="Yes"/>
    <s v="Travel_Rarely"/>
    <n v="13"/>
    <n v="28"/>
    <n v="3"/>
    <s v="Yes"/>
    <n v="6"/>
    <x v="1"/>
    <d v="2021-04-29T00:00:00"/>
    <m/>
    <s v="Active"/>
    <s v="56+"/>
    <s v="4-5 Years"/>
  </r>
  <r>
    <s v="EMP0202"/>
    <n v="41"/>
    <s v="Female"/>
    <x v="5"/>
    <s v="Marketing Manager"/>
    <s v="MBA"/>
    <n v="141781"/>
    <n v="19"/>
    <n v="20"/>
    <n v="5"/>
    <n v="3"/>
    <n v="1"/>
    <n v="2"/>
    <s v="Yes"/>
    <s v="Travel_Rarely"/>
    <n v="10"/>
    <n v="18"/>
    <n v="3"/>
    <s v="No"/>
    <n v="10"/>
    <x v="1"/>
    <d v="2012-05-23T00:00:00"/>
    <m/>
    <s v="Active"/>
    <s v="36-45"/>
    <s v="10+ Years"/>
  </r>
  <r>
    <s v="EMP0203"/>
    <n v="37"/>
    <s v="Male"/>
    <x v="0"/>
    <s v="Financial Analyst"/>
    <s v="B.Com"/>
    <n v="37886"/>
    <n v="0"/>
    <n v="13"/>
    <n v="1"/>
    <n v="1"/>
    <n v="4"/>
    <n v="3"/>
    <s v="No"/>
    <s v="Travel_Rarely"/>
    <n v="1"/>
    <n v="20"/>
    <n v="2"/>
    <s v="No"/>
    <n v="6"/>
    <x v="1"/>
    <d v="2021-03-21T00:00:00"/>
    <m/>
    <s v="Active"/>
    <s v="36-45"/>
    <s v="0-1 Year"/>
  </r>
  <r>
    <s v="EMP0204"/>
    <n v="32"/>
    <s v="Female"/>
    <x v="5"/>
    <s v="Marketing Analyst"/>
    <s v="MBA"/>
    <n v="55009"/>
    <n v="0"/>
    <n v="9"/>
    <n v="2"/>
    <n v="1"/>
    <n v="4"/>
    <n v="2"/>
    <s v="No"/>
    <s v="Travel_Rarely"/>
    <n v="25"/>
    <n v="41"/>
    <n v="3"/>
    <s v="No"/>
    <n v="5"/>
    <x v="1"/>
    <d v="2015-06-14T00:00:00"/>
    <m/>
    <s v="Active"/>
    <s v="26-35"/>
    <s v="0-1 Year"/>
  </r>
  <r>
    <s v="EMP0205"/>
    <n v="43"/>
    <s v="Male"/>
    <x v="2"/>
    <s v="IT Manager"/>
    <s v="B.Com"/>
    <n v="134327"/>
    <n v="15"/>
    <n v="22"/>
    <n v="5"/>
    <n v="2"/>
    <n v="1"/>
    <n v="2"/>
    <s v="Yes"/>
    <s v="Travel_Rarely"/>
    <n v="10"/>
    <n v="41"/>
    <n v="3"/>
    <s v="Yes"/>
    <n v="11"/>
    <x v="1"/>
    <d v="2020-02-12T00:00:00"/>
    <m/>
    <s v="Active"/>
    <s v="36-45"/>
    <s v="10+ Years"/>
  </r>
  <r>
    <s v="EMP0206"/>
    <n v="31"/>
    <s v="Male"/>
    <x v="0"/>
    <s v="Finance Manager"/>
    <s v="BBA"/>
    <n v="120269"/>
    <n v="9"/>
    <n v="9"/>
    <n v="5"/>
    <n v="4"/>
    <n v="2"/>
    <n v="4"/>
    <s v="No"/>
    <s v="Travel_Frequently"/>
    <n v="29"/>
    <n v="45"/>
    <n v="4"/>
    <s v="Yes"/>
    <n v="6"/>
    <x v="0"/>
    <d v="2019-06-01T00:00:00"/>
    <d v="2019-12-21T00:00:00"/>
    <s v="2019-12-21"/>
    <s v="26-35"/>
    <s v="6-10 Years"/>
  </r>
  <r>
    <s v="EMP0207"/>
    <n v="35"/>
    <s v="Male"/>
    <x v="3"/>
    <s v="Operations Manager"/>
    <s v="B.A"/>
    <n v="44766"/>
    <n v="0"/>
    <n v="11"/>
    <n v="1"/>
    <n v="2"/>
    <n v="1"/>
    <n v="3"/>
    <s v="No"/>
    <s v="Non-Travel"/>
    <n v="22"/>
    <n v="56"/>
    <n v="2"/>
    <s v="No"/>
    <n v="7"/>
    <x v="1"/>
    <d v="2023-06-10T00:00:00"/>
    <m/>
    <s v="Active"/>
    <s v="26-35"/>
    <s v="0-1 Year"/>
  </r>
  <r>
    <s v="EMP0208"/>
    <n v="44"/>
    <s v="Female"/>
    <x v="0"/>
    <s v="Financial Analyst"/>
    <s v="B.A"/>
    <n v="67964"/>
    <n v="4"/>
    <n v="21"/>
    <n v="2"/>
    <n v="2"/>
    <n v="3"/>
    <n v="1"/>
    <s v="No"/>
    <s v="Non-Travel"/>
    <n v="27"/>
    <n v="34"/>
    <n v="3"/>
    <s v="No"/>
    <n v="3"/>
    <x v="1"/>
    <d v="2015-09-29T00:00:00"/>
    <m/>
    <s v="Active"/>
    <s v="36-45"/>
    <s v="4-5 Years"/>
  </r>
  <r>
    <s v="EMP0209"/>
    <n v="32"/>
    <s v="Male"/>
    <x v="2"/>
    <s v="IT Manager"/>
    <s v="B.A"/>
    <n v="44966"/>
    <n v="2"/>
    <n v="10"/>
    <n v="1"/>
    <n v="2"/>
    <n v="1"/>
    <n v="3"/>
    <s v="No"/>
    <s v="Travel_Frequently"/>
    <n v="8"/>
    <n v="38"/>
    <n v="3"/>
    <s v="No"/>
    <n v="6"/>
    <x v="1"/>
    <d v="2012-08-30T00:00:00"/>
    <m/>
    <s v="Active"/>
    <s v="26-35"/>
    <s v="2-3 Years"/>
  </r>
  <r>
    <s v="EMP0210"/>
    <n v="40"/>
    <s v="Female"/>
    <x v="0"/>
    <s v="Financial Analyst"/>
    <s v="M.Tech"/>
    <n v="136972"/>
    <n v="19"/>
    <n v="19"/>
    <n v="5"/>
    <n v="1"/>
    <n v="2"/>
    <n v="3"/>
    <s v="Yes"/>
    <s v="Non-Travel"/>
    <n v="16"/>
    <n v="35"/>
    <n v="3"/>
    <s v="No"/>
    <n v="6"/>
    <x v="1"/>
    <d v="2019-10-24T00:00:00"/>
    <m/>
    <s v="Active"/>
    <s v="36-45"/>
    <s v="10+ Years"/>
  </r>
  <r>
    <s v="EMP0211"/>
    <n v="55"/>
    <s v="Male"/>
    <x v="3"/>
    <s v="Operations Manager"/>
    <s v="B.A"/>
    <n v="156351"/>
    <n v="27"/>
    <n v="33"/>
    <n v="5"/>
    <n v="4"/>
    <n v="3"/>
    <n v="4"/>
    <s v="No"/>
    <s v="Travel_Rarely"/>
    <n v="29"/>
    <n v="13"/>
    <n v="3"/>
    <s v="No"/>
    <n v="4"/>
    <x v="1"/>
    <d v="2017-03-27T00:00:00"/>
    <m/>
    <s v="Active"/>
    <s v="46-55"/>
    <s v="10+ Years"/>
  </r>
  <r>
    <s v="EMP0212"/>
    <n v="34"/>
    <s v="Female"/>
    <x v="3"/>
    <s v="Operations Manager"/>
    <s v="B.Tech"/>
    <n v="78098"/>
    <n v="5"/>
    <n v="10"/>
    <n v="3"/>
    <n v="4"/>
    <n v="1"/>
    <n v="3"/>
    <s v="No"/>
    <s v="Non-Travel"/>
    <n v="23"/>
    <n v="54"/>
    <n v="3"/>
    <s v="No"/>
    <n v="4"/>
    <x v="1"/>
    <d v="2018-07-09T00:00:00"/>
    <m/>
    <s v="Active"/>
    <s v="26-35"/>
    <s v="4-5 Years"/>
  </r>
  <r>
    <s v="EMP0213"/>
    <n v="56"/>
    <s v="Female"/>
    <x v="1"/>
    <s v="Sales Executive"/>
    <s v="BBA"/>
    <n v="159222"/>
    <n v="28"/>
    <n v="34"/>
    <n v="5"/>
    <n v="2"/>
    <n v="4"/>
    <n v="1"/>
    <s v="No"/>
    <s v="Travel_Rarely"/>
    <n v="22"/>
    <n v="47"/>
    <n v="3"/>
    <s v="No"/>
    <n v="4"/>
    <x v="1"/>
    <d v="2021-03-31T00:00:00"/>
    <m/>
    <s v="Active"/>
    <s v="56+"/>
    <s v="10+ Years"/>
  </r>
  <r>
    <s v="EMP0214"/>
    <n v="59"/>
    <s v="Female"/>
    <x v="1"/>
    <s v="Sales Executive"/>
    <s v="B.A"/>
    <n v="163912"/>
    <n v="33"/>
    <n v="38"/>
    <n v="5"/>
    <n v="4"/>
    <n v="3"/>
    <n v="2"/>
    <s v="No"/>
    <s v="Travel_Rarely"/>
    <n v="9"/>
    <n v="44"/>
    <n v="2"/>
    <s v="No"/>
    <n v="5"/>
    <x v="1"/>
    <d v="2015-12-07T00:00:00"/>
    <m/>
    <s v="Active"/>
    <s v="56+"/>
    <s v="10+ Years"/>
  </r>
  <r>
    <s v="EMP0215"/>
    <n v="37"/>
    <s v="Female"/>
    <x v="4"/>
    <s v="HR Executive"/>
    <s v="B.A"/>
    <n v="133399"/>
    <n v="16"/>
    <n v="16"/>
    <n v="5"/>
    <n v="2"/>
    <n v="2"/>
    <n v="4"/>
    <s v="No"/>
    <s v="Travel_Rarely"/>
    <n v="11"/>
    <n v="11"/>
    <n v="3"/>
    <s v="Yes"/>
    <n v="7"/>
    <x v="1"/>
    <d v="2016-10-01T00:00:00"/>
    <m/>
    <s v="Active"/>
    <s v="36-45"/>
    <s v="10+ Years"/>
  </r>
  <r>
    <s v="EMP0216"/>
    <n v="45"/>
    <s v="Male"/>
    <x v="0"/>
    <s v="Finance Manager"/>
    <s v="BBA"/>
    <n v="147080"/>
    <n v="24"/>
    <n v="24"/>
    <n v="5"/>
    <n v="2"/>
    <n v="1"/>
    <n v="4"/>
    <s v="Yes"/>
    <s v="Non-Travel"/>
    <n v="21"/>
    <n v="21"/>
    <n v="4"/>
    <s v="Yes"/>
    <n v="4"/>
    <x v="1"/>
    <d v="2018-04-25T00:00:00"/>
    <m/>
    <s v="Active"/>
    <s v="36-45"/>
    <s v="10+ Years"/>
  </r>
  <r>
    <s v="EMP0217"/>
    <n v="28"/>
    <s v="Female"/>
    <x v="5"/>
    <s v="Marketing Manager"/>
    <s v="M.Tech"/>
    <n v="59774"/>
    <n v="0"/>
    <n v="6"/>
    <n v="2"/>
    <n v="2"/>
    <n v="3"/>
    <n v="4"/>
    <s v="Yes"/>
    <s v="Travel_Rarely"/>
    <n v="24"/>
    <n v="31"/>
    <n v="3"/>
    <s v="No"/>
    <n v="4"/>
    <x v="1"/>
    <d v="2022-11-25T00:00:00"/>
    <m/>
    <s v="Active"/>
    <s v="26-35"/>
    <s v="0-1 Year"/>
  </r>
  <r>
    <s v="EMP0218"/>
    <n v="49"/>
    <s v="Male"/>
    <x v="4"/>
    <s v="HR Executive"/>
    <s v="B.Tech"/>
    <n v="150733"/>
    <n v="25"/>
    <n v="28"/>
    <n v="5"/>
    <n v="4"/>
    <n v="1"/>
    <n v="3"/>
    <s v="Yes"/>
    <s v="Travel_Frequently"/>
    <n v="27"/>
    <n v="48"/>
    <n v="3"/>
    <s v="No"/>
    <n v="2"/>
    <x v="1"/>
    <d v="2012-01-29T00:00:00"/>
    <m/>
    <s v="Active"/>
    <s v="46-55"/>
    <s v="10+ Years"/>
  </r>
  <r>
    <s v="EMP0219"/>
    <n v="36"/>
    <s v="Female"/>
    <x v="5"/>
    <s v="Marketing Analyst"/>
    <s v="BBA"/>
    <n v="124138"/>
    <n v="12"/>
    <n v="15"/>
    <n v="5"/>
    <n v="4"/>
    <n v="4"/>
    <n v="3"/>
    <s v="No"/>
    <s v="Travel_Rarely"/>
    <n v="3"/>
    <n v="54"/>
    <n v="3"/>
    <s v="No"/>
    <n v="4"/>
    <x v="0"/>
    <d v="2014-04-18T00:00:00"/>
    <d v="2016-03-31T00:00:00"/>
    <s v="2016-03-31"/>
    <s v="36-45"/>
    <s v="10+ Years"/>
  </r>
  <r>
    <s v="EMP0220"/>
    <n v="55"/>
    <s v="Male"/>
    <x v="1"/>
    <s v="Sales Executive"/>
    <s v="B.A"/>
    <n v="101231"/>
    <n v="9"/>
    <n v="34"/>
    <n v="4"/>
    <n v="2"/>
    <n v="4"/>
    <n v="4"/>
    <s v="No"/>
    <s v="Non-Travel"/>
    <n v="28"/>
    <n v="35"/>
    <n v="3"/>
    <s v="Yes"/>
    <n v="2"/>
    <x v="1"/>
    <d v="2015-12-21T00:00:00"/>
    <m/>
    <s v="Active"/>
    <s v="46-55"/>
    <s v="6-10 Years"/>
  </r>
  <r>
    <s v="EMP0221"/>
    <n v="46"/>
    <s v="Male"/>
    <x v="0"/>
    <s v="Financial Analyst"/>
    <s v="BBA"/>
    <n v="134515"/>
    <n v="17"/>
    <n v="22"/>
    <n v="5"/>
    <n v="3"/>
    <n v="1"/>
    <n v="4"/>
    <s v="No"/>
    <s v="Travel_Rarely"/>
    <n v="8"/>
    <n v="41"/>
    <n v="3"/>
    <s v="No"/>
    <n v="2"/>
    <x v="0"/>
    <d v="2014-06-22T00:00:00"/>
    <d v="2016-02-29T00:00:00"/>
    <s v="2016-02-29"/>
    <s v="46-55"/>
    <s v="10+ Years"/>
  </r>
  <r>
    <s v="EMP0222"/>
    <n v="37"/>
    <s v="Female"/>
    <x v="3"/>
    <s v="Operations Executive"/>
    <s v="M.Tech"/>
    <n v="126089"/>
    <n v="14"/>
    <n v="16"/>
    <n v="5"/>
    <n v="2"/>
    <n v="3"/>
    <n v="1"/>
    <s v="No"/>
    <s v="Travel_Rarely"/>
    <n v="18"/>
    <n v="56"/>
    <n v="3"/>
    <s v="No"/>
    <n v="7"/>
    <x v="0"/>
    <d v="2022-03-23T00:00:00"/>
    <d v="2023-09-13T00:00:00"/>
    <s v="2023-09-13"/>
    <s v="36-45"/>
    <s v="10+ Years"/>
  </r>
  <r>
    <s v="EMP0223"/>
    <n v="40"/>
    <s v="Male"/>
    <x v="5"/>
    <s v="Marketing Manager"/>
    <s v="B.A"/>
    <n v="42659"/>
    <n v="0"/>
    <n v="17"/>
    <n v="1"/>
    <n v="3"/>
    <n v="4"/>
    <n v="1"/>
    <s v="No"/>
    <s v="Travel_Frequently"/>
    <n v="3"/>
    <n v="49"/>
    <n v="3"/>
    <s v="No"/>
    <n v="6"/>
    <x v="1"/>
    <d v="2016-01-02T00:00:00"/>
    <m/>
    <s v="Active"/>
    <s v="36-45"/>
    <s v="0-1 Year"/>
  </r>
  <r>
    <s v="EMP0224"/>
    <n v="43"/>
    <s v="Female"/>
    <x v="0"/>
    <s v="Financial Analyst"/>
    <s v="B.Tech"/>
    <n v="62626"/>
    <n v="5"/>
    <n v="22"/>
    <n v="2"/>
    <n v="4"/>
    <n v="3"/>
    <n v="3"/>
    <s v="No"/>
    <s v="Non-Travel"/>
    <n v="18"/>
    <n v="32"/>
    <n v="3"/>
    <s v="No"/>
    <n v="4"/>
    <x v="1"/>
    <d v="2013-11-12T00:00:00"/>
    <m/>
    <s v="Active"/>
    <s v="36-45"/>
    <s v="4-5 Years"/>
  </r>
  <r>
    <s v="EMP0225"/>
    <n v="28"/>
    <s v="Female"/>
    <x v="5"/>
    <s v="Marketing Analyst"/>
    <s v="BBA"/>
    <n v="39156"/>
    <n v="0"/>
    <n v="5"/>
    <n v="1"/>
    <n v="1"/>
    <n v="3"/>
    <n v="1"/>
    <s v="No"/>
    <s v="Travel_Rarely"/>
    <n v="23"/>
    <n v="29"/>
    <n v="3"/>
    <s v="No"/>
    <n v="5"/>
    <x v="1"/>
    <d v="2018-04-15T00:00:00"/>
    <m/>
    <s v="Active"/>
    <s v="26-35"/>
    <s v="0-1 Year"/>
  </r>
  <r>
    <s v="EMP0226"/>
    <n v="59"/>
    <s v="Male"/>
    <x v="4"/>
    <s v="HR Manager"/>
    <s v="MBA"/>
    <n v="42378"/>
    <n v="2"/>
    <n v="35"/>
    <n v="1"/>
    <n v="1"/>
    <n v="4"/>
    <n v="3"/>
    <s v="No"/>
    <s v="Travel_Rarely"/>
    <n v="13"/>
    <n v="44"/>
    <n v="3"/>
    <s v="No"/>
    <n v="2"/>
    <x v="0"/>
    <d v="2021-09-23T00:00:00"/>
    <d v="2022-12-11T00:00:00"/>
    <s v="2022-12-11"/>
    <s v="56+"/>
    <s v="2-3 Years"/>
  </r>
  <r>
    <s v="EMP0227"/>
    <n v="37"/>
    <s v="Female"/>
    <x v="4"/>
    <s v="HR Executive"/>
    <s v="B.Com"/>
    <n v="132618"/>
    <n v="15"/>
    <n v="16"/>
    <n v="5"/>
    <n v="1"/>
    <n v="1"/>
    <n v="2"/>
    <s v="Yes"/>
    <s v="Travel_Rarely"/>
    <n v="23"/>
    <n v="27"/>
    <n v="3"/>
    <s v="No"/>
    <n v="5"/>
    <x v="1"/>
    <d v="2017-08-02T00:00:00"/>
    <m/>
    <s v="Active"/>
    <s v="36-45"/>
    <s v="10+ Years"/>
  </r>
  <r>
    <s v="EMP0228"/>
    <n v="39"/>
    <s v="Male"/>
    <x v="5"/>
    <s v="Marketing Analyst"/>
    <s v="B.Tech"/>
    <n v="129286"/>
    <n v="14"/>
    <n v="16"/>
    <n v="5"/>
    <n v="4"/>
    <n v="1"/>
    <n v="1"/>
    <s v="No"/>
    <s v="Travel_Rarely"/>
    <n v="3"/>
    <n v="14"/>
    <n v="3"/>
    <s v="No"/>
    <n v="8"/>
    <x v="1"/>
    <d v="2015-02-14T00:00:00"/>
    <m/>
    <s v="Active"/>
    <s v="36-45"/>
    <s v="10+ Years"/>
  </r>
  <r>
    <s v="EMP0229"/>
    <n v="32"/>
    <s v="Male"/>
    <x v="0"/>
    <s v="Finance Manager"/>
    <s v="M.Tech"/>
    <n v="84339"/>
    <n v="7"/>
    <n v="8"/>
    <n v="3"/>
    <n v="1"/>
    <n v="2"/>
    <n v="4"/>
    <s v="No"/>
    <s v="Travel_Rarely"/>
    <n v="24"/>
    <n v="32"/>
    <n v="3"/>
    <s v="Yes"/>
    <n v="5"/>
    <x v="1"/>
    <d v="2014-02-26T00:00:00"/>
    <m/>
    <s v="Active"/>
    <s v="26-35"/>
    <s v="6-10 Years"/>
  </r>
  <r>
    <s v="EMP0230"/>
    <n v="38"/>
    <s v="Male"/>
    <x v="1"/>
    <s v="Sales Executive"/>
    <s v="MBA"/>
    <n v="122446"/>
    <n v="11"/>
    <n v="15"/>
    <n v="5"/>
    <n v="2"/>
    <n v="3"/>
    <n v="2"/>
    <s v="Yes"/>
    <s v="Travel_Rarely"/>
    <n v="5"/>
    <n v="28"/>
    <n v="2"/>
    <s v="No"/>
    <n v="1"/>
    <x v="0"/>
    <d v="2018-03-13T00:00:00"/>
    <d v="2019-06-16T00:00:00"/>
    <s v="2019-06-16"/>
    <s v="36-45"/>
    <s v="10+ Years"/>
  </r>
  <r>
    <s v="EMP0231"/>
    <n v="25"/>
    <s v="Female"/>
    <x v="5"/>
    <s v="Marketing Analyst"/>
    <s v="B.Com"/>
    <n v="44586"/>
    <n v="1"/>
    <n v="2"/>
    <n v="1"/>
    <n v="2"/>
    <n v="4"/>
    <n v="3"/>
    <s v="No"/>
    <s v="Non-Travel"/>
    <n v="22"/>
    <n v="49"/>
    <n v="2"/>
    <s v="No"/>
    <n v="8"/>
    <x v="0"/>
    <d v="2014-07-02T00:00:00"/>
    <d v="2015-05-12T00:00:00"/>
    <s v="2015-05-12"/>
    <s v="18-25"/>
    <s v="0-1 Year"/>
  </r>
  <r>
    <s v="EMP0232"/>
    <n v="27"/>
    <s v="Female"/>
    <x v="1"/>
    <s v="Sales Executive"/>
    <s v="B.Tech"/>
    <n v="59454"/>
    <n v="2"/>
    <n v="5"/>
    <n v="2"/>
    <n v="3"/>
    <n v="2"/>
    <n v="2"/>
    <s v="Yes"/>
    <s v="Travel_Rarely"/>
    <n v="19"/>
    <n v="35"/>
    <n v="2"/>
    <s v="No"/>
    <n v="5"/>
    <x v="1"/>
    <d v="2016-07-02T00:00:00"/>
    <m/>
    <s v="Active"/>
    <s v="26-35"/>
    <s v="2-3 Years"/>
  </r>
  <r>
    <s v="EMP0233"/>
    <n v="22"/>
    <s v="Female"/>
    <x v="3"/>
    <s v="Operations Manager"/>
    <s v="B.Com"/>
    <n v="58380"/>
    <n v="0"/>
    <n v="1"/>
    <n v="2"/>
    <n v="4"/>
    <n v="3"/>
    <n v="3"/>
    <s v="Yes"/>
    <s v="Travel_Rarely"/>
    <n v="23"/>
    <n v="50"/>
    <n v="4"/>
    <s v="No"/>
    <n v="11"/>
    <x v="1"/>
    <d v="2015-10-23T00:00:00"/>
    <m/>
    <s v="Active"/>
    <s v="18-25"/>
    <s v="0-1 Year"/>
  </r>
  <r>
    <s v="EMP0234"/>
    <n v="52"/>
    <s v="Male"/>
    <x v="5"/>
    <s v="Marketing Manager"/>
    <s v="B.A"/>
    <n v="138669"/>
    <n v="17"/>
    <n v="29"/>
    <n v="5"/>
    <n v="2"/>
    <n v="2"/>
    <n v="3"/>
    <s v="No"/>
    <s v="Travel_Frequently"/>
    <n v="23"/>
    <n v="17"/>
    <n v="2"/>
    <s v="Yes"/>
    <n v="8"/>
    <x v="1"/>
    <d v="2018-07-09T00:00:00"/>
    <m/>
    <s v="Active"/>
    <s v="46-55"/>
    <s v="10+ Years"/>
  </r>
  <r>
    <s v="EMP0235"/>
    <n v="50"/>
    <s v="Male"/>
    <x v="3"/>
    <s v="Operations Executive"/>
    <s v="M.Tech"/>
    <n v="147061"/>
    <n v="24"/>
    <n v="27"/>
    <n v="5"/>
    <n v="4"/>
    <n v="3"/>
    <n v="2"/>
    <s v="No"/>
    <s v="Travel_Frequently"/>
    <n v="29"/>
    <n v="29"/>
    <n v="3"/>
    <s v="No"/>
    <n v="6"/>
    <x v="1"/>
    <d v="2013-08-19T00:00:00"/>
    <m/>
    <s v="Active"/>
    <s v="46-55"/>
    <s v="10+ Years"/>
  </r>
  <r>
    <s v="EMP0236"/>
    <n v="55"/>
    <s v="Female"/>
    <x v="1"/>
    <s v="Sales Executive"/>
    <s v="B.Tech"/>
    <n v="81591"/>
    <n v="4"/>
    <n v="34"/>
    <n v="3"/>
    <n v="4"/>
    <n v="3"/>
    <n v="1"/>
    <s v="No"/>
    <s v="Travel_Frequently"/>
    <n v="2"/>
    <n v="18"/>
    <n v="3"/>
    <s v="No"/>
    <n v="8"/>
    <x v="1"/>
    <d v="2021-02-13T00:00:00"/>
    <m/>
    <s v="Active"/>
    <s v="46-55"/>
    <s v="4-5 Years"/>
  </r>
  <r>
    <s v="EMP0237"/>
    <n v="39"/>
    <s v="Male"/>
    <x v="4"/>
    <s v="HR Manager"/>
    <s v="B.Tech"/>
    <n v="103510"/>
    <n v="9"/>
    <n v="15"/>
    <n v="4"/>
    <n v="4"/>
    <n v="4"/>
    <n v="2"/>
    <s v="Yes"/>
    <s v="Travel_Frequently"/>
    <n v="24"/>
    <n v="58"/>
    <n v="2"/>
    <s v="No"/>
    <n v="7"/>
    <x v="1"/>
    <d v="2014-04-05T00:00:00"/>
    <m/>
    <s v="Active"/>
    <s v="36-45"/>
    <s v="6-10 Years"/>
  </r>
  <r>
    <s v="EMP0238"/>
    <n v="25"/>
    <s v="Female"/>
    <x v="2"/>
    <s v="Data Analyst"/>
    <s v="BBA"/>
    <n v="44187"/>
    <n v="1"/>
    <n v="3"/>
    <n v="1"/>
    <n v="2"/>
    <n v="1"/>
    <n v="4"/>
    <s v="Yes"/>
    <s v="Travel_Rarely"/>
    <n v="9"/>
    <n v="56"/>
    <n v="4"/>
    <s v="No"/>
    <n v="5"/>
    <x v="1"/>
    <d v="2012-08-28T00:00:00"/>
    <m/>
    <s v="Active"/>
    <s v="18-25"/>
    <s v="0-1 Year"/>
  </r>
  <r>
    <s v="EMP0239"/>
    <n v="45"/>
    <s v="Male"/>
    <x v="4"/>
    <s v="HR Manager"/>
    <s v="B.Tech"/>
    <n v="62429"/>
    <n v="2"/>
    <n v="22"/>
    <n v="2"/>
    <n v="1"/>
    <n v="2"/>
    <n v="3"/>
    <s v="No"/>
    <s v="Travel_Rarely"/>
    <n v="2"/>
    <n v="10"/>
    <n v="4"/>
    <s v="No"/>
    <n v="3"/>
    <x v="1"/>
    <d v="2015-05-15T00:00:00"/>
    <m/>
    <s v="Active"/>
    <s v="36-45"/>
    <s v="2-3 Years"/>
  </r>
  <r>
    <s v="EMP0240"/>
    <n v="43"/>
    <s v="Female"/>
    <x v="4"/>
    <s v="HR Executive"/>
    <s v="B.A"/>
    <n v="57916"/>
    <n v="2"/>
    <n v="21"/>
    <n v="2"/>
    <n v="1"/>
    <n v="4"/>
    <n v="1"/>
    <s v="Yes"/>
    <s v="Non-Travel"/>
    <n v="27"/>
    <n v="30"/>
    <n v="3"/>
    <s v="No"/>
    <n v="3"/>
    <x v="1"/>
    <d v="2023-05-23T00:00:00"/>
    <m/>
    <s v="Active"/>
    <s v="36-45"/>
    <s v="2-3 Years"/>
  </r>
  <r>
    <s v="EMP0241"/>
    <n v="57"/>
    <s v="Female"/>
    <x v="4"/>
    <s v="HR Executive"/>
    <s v="B.Tech"/>
    <n v="145011"/>
    <n v="22"/>
    <n v="34"/>
    <n v="5"/>
    <n v="1"/>
    <n v="3"/>
    <n v="4"/>
    <s v="No"/>
    <s v="Travel_Rarely"/>
    <n v="14"/>
    <n v="25"/>
    <n v="3"/>
    <s v="No"/>
    <n v="7"/>
    <x v="1"/>
    <d v="2015-05-06T00:00:00"/>
    <m/>
    <s v="Active"/>
    <s v="56+"/>
    <s v="10+ Years"/>
  </r>
  <r>
    <s v="EMP0242"/>
    <n v="40"/>
    <s v="Male"/>
    <x v="0"/>
    <s v="Financial Analyst"/>
    <s v="MBA"/>
    <n v="80067"/>
    <n v="6"/>
    <n v="19"/>
    <n v="3"/>
    <n v="3"/>
    <n v="2"/>
    <n v="1"/>
    <s v="Yes"/>
    <s v="Travel_Rarely"/>
    <n v="25"/>
    <n v="14"/>
    <n v="2"/>
    <s v="No"/>
    <n v="6"/>
    <x v="1"/>
    <d v="2013-06-29T00:00:00"/>
    <m/>
    <s v="Active"/>
    <s v="36-45"/>
    <s v="6-10 Years"/>
  </r>
  <r>
    <s v="EMP0243"/>
    <n v="54"/>
    <s v="Female"/>
    <x v="4"/>
    <s v="HR Manager"/>
    <s v="MBA"/>
    <n v="86168"/>
    <n v="6"/>
    <n v="31"/>
    <n v="3"/>
    <n v="1"/>
    <n v="2"/>
    <n v="4"/>
    <s v="No"/>
    <s v="Travel_Rarely"/>
    <n v="2"/>
    <n v="39"/>
    <n v="3"/>
    <s v="Yes"/>
    <n v="3"/>
    <x v="1"/>
    <d v="2023-05-14T00:00:00"/>
    <m/>
    <s v="Active"/>
    <s v="46-55"/>
    <s v="6-10 Years"/>
  </r>
  <r>
    <s v="EMP0244"/>
    <n v="37"/>
    <s v="Female"/>
    <x v="3"/>
    <s v="Operations Executive"/>
    <s v="B.A"/>
    <n v="127593"/>
    <n v="13"/>
    <n v="16"/>
    <n v="5"/>
    <n v="2"/>
    <n v="2"/>
    <n v="3"/>
    <s v="No"/>
    <s v="Travel_Rarely"/>
    <n v="23"/>
    <n v="31"/>
    <n v="2"/>
    <s v="No"/>
    <n v="5"/>
    <x v="1"/>
    <d v="2018-03-26T00:00:00"/>
    <m/>
    <s v="Active"/>
    <s v="36-45"/>
    <s v="10+ Years"/>
  </r>
  <r>
    <s v="EMP0245"/>
    <n v="23"/>
    <s v="Male"/>
    <x v="5"/>
    <s v="Marketing Manager"/>
    <s v="B.Tech"/>
    <n v="41212"/>
    <n v="0"/>
    <n v="1"/>
    <n v="1"/>
    <n v="2"/>
    <n v="4"/>
    <n v="2"/>
    <s v="No"/>
    <s v="Travel_Rarely"/>
    <n v="23"/>
    <n v="38"/>
    <n v="3"/>
    <s v="No"/>
    <n v="5"/>
    <x v="1"/>
    <d v="2021-08-05T00:00:00"/>
    <m/>
    <s v="Active"/>
    <s v="18-25"/>
    <s v="0-1 Year"/>
  </r>
  <r>
    <s v="EMP0246"/>
    <n v="50"/>
    <s v="Male"/>
    <x v="2"/>
    <s v="IT Manager"/>
    <s v="B.A"/>
    <n v="149250"/>
    <n v="23"/>
    <n v="26"/>
    <n v="5"/>
    <n v="4"/>
    <n v="1"/>
    <n v="1"/>
    <s v="No"/>
    <s v="Travel_Rarely"/>
    <n v="19"/>
    <n v="35"/>
    <n v="3"/>
    <s v="Yes"/>
    <n v="7"/>
    <x v="1"/>
    <d v="2023-09-12T00:00:00"/>
    <m/>
    <s v="Active"/>
    <s v="46-55"/>
    <s v="10+ Years"/>
  </r>
  <r>
    <s v="EMP0247"/>
    <n v="24"/>
    <s v="Male"/>
    <x v="2"/>
    <s v="IT Manager"/>
    <s v="B.A"/>
    <n v="57894"/>
    <n v="0"/>
    <n v="1"/>
    <n v="2"/>
    <n v="2"/>
    <n v="2"/>
    <n v="4"/>
    <s v="No"/>
    <s v="Travel_Rarely"/>
    <n v="17"/>
    <n v="34"/>
    <n v="3"/>
    <s v="No"/>
    <n v="6"/>
    <x v="1"/>
    <d v="2019-06-06T00:00:00"/>
    <m/>
    <s v="Active"/>
    <s v="18-25"/>
    <s v="0-1 Year"/>
  </r>
  <r>
    <s v="EMP0248"/>
    <n v="47"/>
    <s v="Female"/>
    <x v="1"/>
    <s v="Sales Manager"/>
    <s v="B.Tech"/>
    <n v="138010"/>
    <n v="19"/>
    <n v="26"/>
    <n v="5"/>
    <n v="4"/>
    <n v="4"/>
    <n v="1"/>
    <s v="No"/>
    <s v="Travel_Frequently"/>
    <n v="17"/>
    <n v="21"/>
    <n v="3"/>
    <s v="Yes"/>
    <n v="6"/>
    <x v="1"/>
    <d v="2015-01-07T00:00:00"/>
    <m/>
    <s v="Active"/>
    <s v="46-55"/>
    <s v="10+ Years"/>
  </r>
  <r>
    <s v="EMP0249"/>
    <n v="34"/>
    <s v="Female"/>
    <x v="3"/>
    <s v="Operations Manager"/>
    <s v="B.A"/>
    <n v="78818"/>
    <n v="3"/>
    <n v="12"/>
    <n v="3"/>
    <n v="2"/>
    <n v="3"/>
    <n v="3"/>
    <s v="No"/>
    <s v="Non-Travel"/>
    <n v="16"/>
    <n v="28"/>
    <n v="3"/>
    <s v="No"/>
    <n v="4"/>
    <x v="1"/>
    <d v="2023-07-20T00:00:00"/>
    <m/>
    <s v="Active"/>
    <s v="26-35"/>
    <s v="2-3 Years"/>
  </r>
  <r>
    <s v="EMP0250"/>
    <n v="51"/>
    <s v="Male"/>
    <x v="4"/>
    <s v="HR Manager"/>
    <s v="B.A"/>
    <n v="143500"/>
    <n v="20"/>
    <n v="28"/>
    <n v="5"/>
    <n v="4"/>
    <n v="3"/>
    <n v="3"/>
    <s v="Yes"/>
    <s v="Travel_Frequently"/>
    <n v="5"/>
    <n v="32"/>
    <n v="3"/>
    <s v="Yes"/>
    <n v="2"/>
    <x v="1"/>
    <d v="2015-03-18T00:00:00"/>
    <m/>
    <s v="Active"/>
    <s v="46-55"/>
    <s v="10+ Years"/>
  </r>
  <r>
    <s v="EMP0251"/>
    <n v="32"/>
    <s v="Female"/>
    <x v="2"/>
    <s v="Software Engineer"/>
    <s v="B.Com"/>
    <n v="96825"/>
    <n v="6"/>
    <n v="9"/>
    <n v="4"/>
    <n v="4"/>
    <n v="2"/>
    <n v="4"/>
    <s v="No"/>
    <s v="Travel_Frequently"/>
    <n v="17"/>
    <n v="26"/>
    <n v="2"/>
    <s v="Yes"/>
    <n v="3"/>
    <x v="1"/>
    <d v="2023-10-19T00:00:00"/>
    <m/>
    <s v="Active"/>
    <s v="26-35"/>
    <s v="6-10 Years"/>
  </r>
  <r>
    <s v="EMP0252"/>
    <n v="25"/>
    <s v="Female"/>
    <x v="4"/>
    <s v="HR Manager"/>
    <s v="B.A"/>
    <n v="54773"/>
    <n v="1"/>
    <n v="4"/>
    <n v="2"/>
    <n v="4"/>
    <n v="1"/>
    <n v="3"/>
    <s v="Yes"/>
    <s v="Travel_Rarely"/>
    <n v="2"/>
    <n v="17"/>
    <n v="3"/>
    <s v="No"/>
    <n v="4"/>
    <x v="1"/>
    <d v="2014-05-23T00:00:00"/>
    <m/>
    <s v="Active"/>
    <s v="18-25"/>
    <s v="0-1 Year"/>
  </r>
  <r>
    <s v="EMP0253"/>
    <n v="33"/>
    <s v="Male"/>
    <x v="3"/>
    <s v="Operations Manager"/>
    <s v="M.Tech"/>
    <n v="76329"/>
    <n v="4"/>
    <n v="11"/>
    <n v="3"/>
    <n v="2"/>
    <n v="3"/>
    <n v="4"/>
    <s v="No"/>
    <s v="Travel_Rarely"/>
    <n v="6"/>
    <n v="47"/>
    <n v="4"/>
    <s v="No"/>
    <n v="2"/>
    <x v="0"/>
    <d v="2013-01-12T00:00:00"/>
    <d v="2014-05-16T00:00:00"/>
    <s v="2014-05-16"/>
    <s v="26-35"/>
    <s v="4-5 Years"/>
  </r>
  <r>
    <s v="EMP0254"/>
    <n v="38"/>
    <s v="Female"/>
    <x v="3"/>
    <s v="Operations Manager"/>
    <s v="B.Com"/>
    <n v="86367"/>
    <n v="7"/>
    <n v="16"/>
    <n v="3"/>
    <n v="2"/>
    <n v="1"/>
    <n v="1"/>
    <s v="No"/>
    <s v="Travel_Rarely"/>
    <n v="24"/>
    <n v="37"/>
    <n v="3"/>
    <s v="No"/>
    <n v="5"/>
    <x v="1"/>
    <d v="2019-10-09T00:00:00"/>
    <m/>
    <s v="Active"/>
    <s v="36-45"/>
    <s v="6-10 Years"/>
  </r>
  <r>
    <s v="EMP0255"/>
    <n v="55"/>
    <s v="Male"/>
    <x v="3"/>
    <s v="Operations Executive"/>
    <s v="M.Tech"/>
    <n v="98384"/>
    <n v="6"/>
    <n v="32"/>
    <n v="4"/>
    <n v="1"/>
    <n v="2"/>
    <n v="2"/>
    <s v="No"/>
    <s v="Travel_Rarely"/>
    <n v="19"/>
    <n v="59"/>
    <n v="2"/>
    <s v="No"/>
    <n v="8"/>
    <x v="1"/>
    <d v="2022-08-15T00:00:00"/>
    <m/>
    <s v="Active"/>
    <s v="46-55"/>
    <s v="6-10 Years"/>
  </r>
  <r>
    <s v="EMP0256"/>
    <n v="46"/>
    <s v="Male"/>
    <x v="4"/>
    <s v="HR Manager"/>
    <s v="M.Tech"/>
    <n v="134302"/>
    <n v="18"/>
    <n v="24"/>
    <n v="5"/>
    <n v="3"/>
    <n v="2"/>
    <n v="4"/>
    <s v="No"/>
    <s v="Travel_Rarely"/>
    <n v="8"/>
    <n v="27"/>
    <n v="3"/>
    <s v="Yes"/>
    <n v="7"/>
    <x v="1"/>
    <d v="2019-03-21T00:00:00"/>
    <m/>
    <s v="Active"/>
    <s v="46-55"/>
    <s v="10+ Years"/>
  </r>
  <r>
    <s v="EMP0257"/>
    <n v="58"/>
    <s v="Female"/>
    <x v="2"/>
    <s v="IT Manager"/>
    <s v="M.Tech"/>
    <n v="150159"/>
    <n v="25"/>
    <n v="35"/>
    <n v="5"/>
    <n v="4"/>
    <n v="4"/>
    <n v="3"/>
    <s v="No"/>
    <s v="Travel_Rarely"/>
    <n v="5"/>
    <n v="22"/>
    <n v="3"/>
    <s v="Yes"/>
    <n v="4"/>
    <x v="0"/>
    <d v="2020-02-19T00:00:00"/>
    <d v="2021-07-18T00:00:00"/>
    <s v="2021-07-18"/>
    <s v="56+"/>
    <s v="10+ Years"/>
  </r>
  <r>
    <s v="EMP0258"/>
    <n v="56"/>
    <s v="Male"/>
    <x v="5"/>
    <s v="Marketing Analyst"/>
    <s v="BBA"/>
    <n v="65787"/>
    <n v="3"/>
    <n v="35"/>
    <n v="2"/>
    <n v="2"/>
    <n v="1"/>
    <n v="1"/>
    <s v="No"/>
    <s v="Travel_Rarely"/>
    <n v="17"/>
    <n v="36"/>
    <n v="4"/>
    <s v="No"/>
    <n v="8"/>
    <x v="1"/>
    <d v="2012-09-12T00:00:00"/>
    <m/>
    <s v="Active"/>
    <s v="56+"/>
    <s v="2-3 Years"/>
  </r>
  <r>
    <s v="EMP0259"/>
    <n v="54"/>
    <s v="Male"/>
    <x v="5"/>
    <s v="Marketing Analyst"/>
    <s v="BBA"/>
    <n v="142383"/>
    <n v="21"/>
    <n v="30"/>
    <n v="5"/>
    <n v="3"/>
    <n v="1"/>
    <n v="2"/>
    <s v="No"/>
    <s v="Non-Travel"/>
    <n v="16"/>
    <n v="23"/>
    <n v="4"/>
    <s v="No"/>
    <n v="6"/>
    <x v="1"/>
    <d v="2018-09-12T00:00:00"/>
    <m/>
    <s v="Active"/>
    <s v="46-55"/>
    <s v="10+ Years"/>
  </r>
  <r>
    <s v="EMP0260"/>
    <n v="26"/>
    <s v="Male"/>
    <x v="3"/>
    <s v="Operations Executive"/>
    <s v="MBA"/>
    <n v="61006"/>
    <n v="1"/>
    <n v="2"/>
    <n v="2"/>
    <n v="2"/>
    <n v="4"/>
    <n v="4"/>
    <s v="No"/>
    <s v="Travel_Rarely"/>
    <n v="5"/>
    <n v="12"/>
    <n v="3"/>
    <s v="No"/>
    <n v="8"/>
    <x v="1"/>
    <d v="2020-06-26T00:00:00"/>
    <m/>
    <s v="Active"/>
    <s v="26-35"/>
    <s v="0-1 Year"/>
  </r>
  <r>
    <s v="EMP0261"/>
    <n v="37"/>
    <s v="Male"/>
    <x v="0"/>
    <s v="Finance Manager"/>
    <s v="MBA"/>
    <n v="101897"/>
    <n v="6"/>
    <n v="16"/>
    <n v="4"/>
    <n v="1"/>
    <n v="4"/>
    <n v="3"/>
    <s v="No"/>
    <s v="Travel_Frequently"/>
    <n v="7"/>
    <n v="35"/>
    <n v="2"/>
    <s v="No"/>
    <n v="5"/>
    <x v="1"/>
    <d v="2012-09-03T00:00:00"/>
    <m/>
    <s v="Active"/>
    <s v="36-45"/>
    <s v="6-10 Years"/>
  </r>
  <r>
    <s v="EMP0262"/>
    <n v="52"/>
    <s v="Male"/>
    <x v="4"/>
    <s v="HR Executive"/>
    <s v="MBA"/>
    <n v="149523"/>
    <n v="23"/>
    <n v="29"/>
    <n v="5"/>
    <n v="2"/>
    <n v="4"/>
    <n v="1"/>
    <s v="No"/>
    <s v="Travel_Rarely"/>
    <n v="12"/>
    <n v="39"/>
    <n v="3"/>
    <s v="Yes"/>
    <n v="4"/>
    <x v="1"/>
    <d v="2017-01-21T00:00:00"/>
    <m/>
    <s v="Active"/>
    <s v="46-55"/>
    <s v="10+ Years"/>
  </r>
  <r>
    <s v="EMP0263"/>
    <n v="25"/>
    <s v="Female"/>
    <x v="2"/>
    <s v="IT Manager"/>
    <s v="BBA"/>
    <n v="60198"/>
    <n v="3"/>
    <n v="4"/>
    <n v="2"/>
    <n v="4"/>
    <n v="4"/>
    <n v="1"/>
    <s v="No"/>
    <s v="Travel_Frequently"/>
    <n v="19"/>
    <n v="39"/>
    <n v="3"/>
    <s v="No"/>
    <n v="6"/>
    <x v="1"/>
    <d v="2013-06-29T00:00:00"/>
    <m/>
    <s v="Active"/>
    <s v="18-25"/>
    <s v="2-3 Years"/>
  </r>
  <r>
    <s v="EMP0264"/>
    <n v="23"/>
    <s v="Male"/>
    <x v="2"/>
    <s v="Data Analyst"/>
    <s v="B.Tech"/>
    <n v="44961"/>
    <n v="2"/>
    <n v="2"/>
    <n v="1"/>
    <n v="2"/>
    <n v="2"/>
    <n v="2"/>
    <s v="No"/>
    <s v="Travel_Rarely"/>
    <n v="1"/>
    <n v="37"/>
    <n v="3"/>
    <s v="No"/>
    <n v="4"/>
    <x v="1"/>
    <d v="2021-12-24T00:00:00"/>
    <m/>
    <s v="Active"/>
    <s v="18-25"/>
    <s v="2-3 Years"/>
  </r>
  <r>
    <s v="EMP0265"/>
    <n v="52"/>
    <s v="Male"/>
    <x v="3"/>
    <s v="Operations Executive"/>
    <s v="B.Com"/>
    <n v="138820"/>
    <n v="17"/>
    <n v="28"/>
    <n v="5"/>
    <n v="2"/>
    <n v="4"/>
    <n v="1"/>
    <s v="No"/>
    <s v="Non-Travel"/>
    <n v="12"/>
    <n v="19"/>
    <n v="3"/>
    <s v="No"/>
    <n v="6"/>
    <x v="1"/>
    <d v="2023-04-13T00:00:00"/>
    <m/>
    <s v="Active"/>
    <s v="46-55"/>
    <s v="10+ Years"/>
  </r>
  <r>
    <s v="EMP0266"/>
    <n v="49"/>
    <s v="Male"/>
    <x v="0"/>
    <s v="Finance Manager"/>
    <s v="BBA"/>
    <n v="154407"/>
    <n v="28"/>
    <n v="28"/>
    <n v="5"/>
    <n v="1"/>
    <n v="1"/>
    <n v="1"/>
    <s v="No"/>
    <s v="Travel_Rarely"/>
    <n v="3"/>
    <n v="34"/>
    <n v="2"/>
    <s v="No"/>
    <n v="3"/>
    <x v="1"/>
    <d v="2013-01-07T00:00:00"/>
    <m/>
    <s v="Active"/>
    <s v="46-55"/>
    <s v="10+ Years"/>
  </r>
  <r>
    <s v="EMP0267"/>
    <n v="34"/>
    <s v="Male"/>
    <x v="1"/>
    <s v="Sales Executive"/>
    <s v="M.Tech"/>
    <n v="41503"/>
    <n v="2"/>
    <n v="12"/>
    <n v="1"/>
    <n v="3"/>
    <n v="2"/>
    <n v="3"/>
    <s v="No"/>
    <s v="Travel_Frequently"/>
    <n v="27"/>
    <n v="56"/>
    <n v="3"/>
    <s v="No"/>
    <n v="8"/>
    <x v="1"/>
    <d v="2022-12-06T00:00:00"/>
    <m/>
    <s v="Active"/>
    <s v="26-35"/>
    <s v="2-3 Years"/>
  </r>
  <r>
    <s v="EMP0268"/>
    <n v="26"/>
    <s v="Male"/>
    <x v="5"/>
    <s v="Marketing Manager"/>
    <s v="M.Tech"/>
    <n v="59687"/>
    <n v="3"/>
    <n v="5"/>
    <n v="2"/>
    <n v="2"/>
    <n v="1"/>
    <n v="2"/>
    <s v="No"/>
    <s v="Travel_Rarely"/>
    <n v="24"/>
    <n v="20"/>
    <n v="2"/>
    <s v="No"/>
    <n v="5"/>
    <x v="1"/>
    <d v="2016-10-15T00:00:00"/>
    <m/>
    <s v="Active"/>
    <s v="26-35"/>
    <s v="2-3 Years"/>
  </r>
  <r>
    <s v="EMP0269"/>
    <n v="48"/>
    <s v="Male"/>
    <x v="5"/>
    <s v="Marketing Manager"/>
    <s v="B.Tech"/>
    <n v="135784"/>
    <n v="16"/>
    <n v="27"/>
    <n v="5"/>
    <n v="2"/>
    <n v="3"/>
    <n v="3"/>
    <s v="No"/>
    <s v="Travel_Rarely"/>
    <n v="18"/>
    <n v="57"/>
    <n v="2"/>
    <s v="Yes"/>
    <n v="7"/>
    <x v="1"/>
    <d v="2018-09-06T00:00:00"/>
    <m/>
    <s v="Active"/>
    <s v="46-55"/>
    <s v="10+ Years"/>
  </r>
  <r>
    <s v="EMP0270"/>
    <n v="30"/>
    <s v="Male"/>
    <x v="4"/>
    <s v="HR Executive"/>
    <s v="MBA"/>
    <n v="61539"/>
    <n v="3"/>
    <n v="9"/>
    <n v="2"/>
    <n v="4"/>
    <n v="1"/>
    <n v="4"/>
    <s v="No"/>
    <s v="Travel_Rarely"/>
    <n v="23"/>
    <n v="57"/>
    <n v="3"/>
    <s v="No"/>
    <n v="2"/>
    <x v="1"/>
    <d v="2015-03-04T00:00:00"/>
    <m/>
    <s v="Active"/>
    <s v="26-35"/>
    <s v="2-3 Years"/>
  </r>
  <r>
    <s v="EMP0271"/>
    <n v="52"/>
    <s v="Male"/>
    <x v="0"/>
    <s v="Finance Manager"/>
    <s v="MBA"/>
    <n v="82003"/>
    <n v="5"/>
    <n v="30"/>
    <n v="3"/>
    <n v="3"/>
    <n v="2"/>
    <n v="2"/>
    <s v="No"/>
    <s v="Non-Travel"/>
    <n v="4"/>
    <n v="16"/>
    <n v="3"/>
    <s v="Yes"/>
    <n v="4"/>
    <x v="1"/>
    <d v="2020-11-24T00:00:00"/>
    <m/>
    <s v="Active"/>
    <s v="46-55"/>
    <s v="4-5 Years"/>
  </r>
  <r>
    <s v="EMP0272"/>
    <n v="55"/>
    <s v="Female"/>
    <x v="3"/>
    <s v="Operations Manager"/>
    <s v="MBA"/>
    <n v="165658"/>
    <n v="31"/>
    <n v="34"/>
    <n v="5"/>
    <n v="2"/>
    <n v="2"/>
    <n v="2"/>
    <s v="Yes"/>
    <s v="Travel_Rarely"/>
    <n v="17"/>
    <n v="16"/>
    <n v="2"/>
    <s v="No"/>
    <n v="6"/>
    <x v="1"/>
    <d v="2023-12-21T00:00:00"/>
    <m/>
    <s v="Active"/>
    <s v="46-55"/>
    <s v="10+ Years"/>
  </r>
  <r>
    <s v="EMP0273"/>
    <n v="45"/>
    <s v="Female"/>
    <x v="4"/>
    <s v="HR Executive"/>
    <s v="B.Com"/>
    <n v="75687"/>
    <n v="4"/>
    <n v="21"/>
    <n v="3"/>
    <n v="2"/>
    <n v="3"/>
    <n v="3"/>
    <s v="No"/>
    <s v="Travel_Rarely"/>
    <n v="14"/>
    <n v="23"/>
    <n v="3"/>
    <s v="No"/>
    <n v="2"/>
    <x v="1"/>
    <d v="2017-02-15T00:00:00"/>
    <m/>
    <s v="Active"/>
    <s v="36-45"/>
    <s v="4-5 Years"/>
  </r>
  <r>
    <s v="EMP0274"/>
    <n v="23"/>
    <s v="Male"/>
    <x v="5"/>
    <s v="Marketing Manager"/>
    <s v="B.A"/>
    <n v="39521"/>
    <n v="0"/>
    <n v="1"/>
    <n v="1"/>
    <n v="2"/>
    <n v="3"/>
    <n v="3"/>
    <s v="Yes"/>
    <s v="Travel_Rarely"/>
    <n v="24"/>
    <n v="14"/>
    <n v="3"/>
    <s v="No"/>
    <n v="7"/>
    <x v="1"/>
    <d v="2012-06-21T00:00:00"/>
    <m/>
    <s v="Active"/>
    <s v="18-25"/>
    <s v="0-1 Year"/>
  </r>
  <r>
    <s v="EMP0275"/>
    <n v="56"/>
    <s v="Male"/>
    <x v="0"/>
    <s v="Finance Manager"/>
    <s v="B.Com"/>
    <n v="85327"/>
    <n v="6"/>
    <n v="34"/>
    <n v="3"/>
    <n v="2"/>
    <n v="2"/>
    <n v="4"/>
    <s v="Yes"/>
    <s v="Travel_Rarely"/>
    <n v="7"/>
    <n v="54"/>
    <n v="3"/>
    <s v="No"/>
    <n v="4"/>
    <x v="1"/>
    <d v="2018-07-01T00:00:00"/>
    <m/>
    <s v="Active"/>
    <s v="56+"/>
    <s v="6-10 Years"/>
  </r>
  <r>
    <s v="EMP0276"/>
    <n v="44"/>
    <s v="Male"/>
    <x v="3"/>
    <s v="Operations Manager"/>
    <s v="MBA"/>
    <n v="138406"/>
    <n v="19"/>
    <n v="20"/>
    <n v="5"/>
    <n v="4"/>
    <n v="1"/>
    <n v="1"/>
    <s v="No"/>
    <s v="Travel_Rarely"/>
    <n v="18"/>
    <n v="56"/>
    <n v="3"/>
    <s v="No"/>
    <n v="5"/>
    <x v="1"/>
    <d v="2012-03-22T00:00:00"/>
    <m/>
    <s v="Active"/>
    <s v="36-45"/>
    <s v="10+ Years"/>
  </r>
  <r>
    <s v="EMP0277"/>
    <n v="44"/>
    <s v="Male"/>
    <x v="3"/>
    <s v="Operations Manager"/>
    <s v="B.Com"/>
    <n v="55932"/>
    <n v="1"/>
    <n v="22"/>
    <n v="2"/>
    <n v="1"/>
    <n v="4"/>
    <n v="3"/>
    <s v="No"/>
    <s v="Travel_Rarely"/>
    <n v="20"/>
    <n v="33"/>
    <n v="4"/>
    <s v="No"/>
    <n v="6"/>
    <x v="1"/>
    <d v="2014-09-14T00:00:00"/>
    <m/>
    <s v="Active"/>
    <s v="36-45"/>
    <s v="0-1 Year"/>
  </r>
  <r>
    <s v="EMP0278"/>
    <n v="55"/>
    <s v="Female"/>
    <x v="2"/>
    <s v="IT Manager"/>
    <s v="B.Com"/>
    <n v="157732"/>
    <n v="28"/>
    <n v="34"/>
    <n v="5"/>
    <n v="2"/>
    <n v="3"/>
    <n v="3"/>
    <s v="Yes"/>
    <s v="Travel_Rarely"/>
    <n v="20"/>
    <n v="20"/>
    <n v="4"/>
    <s v="No"/>
    <n v="9"/>
    <x v="1"/>
    <d v="2020-01-23T00:00:00"/>
    <m/>
    <s v="Active"/>
    <s v="46-55"/>
    <s v="10+ Years"/>
  </r>
  <r>
    <s v="EMP0279"/>
    <n v="46"/>
    <s v="Female"/>
    <x v="5"/>
    <s v="Marketing Analyst"/>
    <s v="B.Com"/>
    <n v="135587"/>
    <n v="17"/>
    <n v="24"/>
    <n v="5"/>
    <n v="1"/>
    <n v="4"/>
    <n v="2"/>
    <s v="No"/>
    <s v="Travel_Rarely"/>
    <n v="29"/>
    <n v="40"/>
    <n v="2"/>
    <s v="Yes"/>
    <n v="4"/>
    <x v="1"/>
    <d v="2014-10-02T00:00:00"/>
    <m/>
    <s v="Active"/>
    <s v="46-55"/>
    <s v="10+ Years"/>
  </r>
  <r>
    <s v="EMP0280"/>
    <n v="47"/>
    <s v="Female"/>
    <x v="0"/>
    <s v="Finance Manager"/>
    <s v="BBA"/>
    <n v="120607"/>
    <n v="11"/>
    <n v="24"/>
    <n v="5"/>
    <n v="1"/>
    <n v="2"/>
    <n v="3"/>
    <s v="Yes"/>
    <s v="Travel_Rarely"/>
    <n v="20"/>
    <n v="56"/>
    <n v="3"/>
    <s v="Yes"/>
    <n v="5"/>
    <x v="1"/>
    <d v="2020-11-19T00:00:00"/>
    <m/>
    <s v="Active"/>
    <s v="46-55"/>
    <s v="10+ Years"/>
  </r>
  <r>
    <s v="EMP0281"/>
    <n v="46"/>
    <s v="Female"/>
    <x v="1"/>
    <s v="Sales Executive"/>
    <s v="BBA"/>
    <n v="86109"/>
    <n v="7"/>
    <n v="25"/>
    <n v="3"/>
    <n v="3"/>
    <n v="1"/>
    <n v="4"/>
    <s v="No"/>
    <s v="Travel_Rarely"/>
    <n v="18"/>
    <n v="38"/>
    <n v="3"/>
    <s v="No"/>
    <n v="4"/>
    <x v="1"/>
    <d v="2014-04-18T00:00:00"/>
    <m/>
    <s v="Active"/>
    <s v="46-55"/>
    <s v="6-10 Years"/>
  </r>
  <r>
    <s v="EMP0282"/>
    <n v="44"/>
    <s v="Male"/>
    <x v="0"/>
    <s v="Finance Manager"/>
    <s v="BBA"/>
    <n v="131254"/>
    <n v="15"/>
    <n v="20"/>
    <n v="5"/>
    <n v="2"/>
    <n v="1"/>
    <n v="1"/>
    <s v="Yes"/>
    <s v="Non-Travel"/>
    <n v="13"/>
    <n v="35"/>
    <n v="3"/>
    <s v="No"/>
    <n v="8"/>
    <x v="1"/>
    <d v="2020-02-18T00:00:00"/>
    <m/>
    <s v="Active"/>
    <s v="36-45"/>
    <s v="10+ Years"/>
  </r>
  <r>
    <s v="EMP0283"/>
    <n v="22"/>
    <s v="Male"/>
    <x v="2"/>
    <s v="Software Engineer"/>
    <s v="BBA"/>
    <n v="52636"/>
    <n v="0"/>
    <n v="1"/>
    <n v="2"/>
    <n v="2"/>
    <n v="2"/>
    <n v="1"/>
    <s v="No"/>
    <s v="Travel_Frequently"/>
    <n v="12"/>
    <n v="31"/>
    <n v="3"/>
    <s v="No"/>
    <n v="6"/>
    <x v="1"/>
    <d v="2023-05-04T00:00:00"/>
    <m/>
    <s v="Active"/>
    <s v="18-25"/>
    <s v="0-1 Year"/>
  </r>
  <r>
    <s v="EMP0284"/>
    <n v="32"/>
    <s v="Male"/>
    <x v="5"/>
    <s v="Marketing Analyst"/>
    <s v="MBA"/>
    <n v="54558"/>
    <n v="0"/>
    <n v="11"/>
    <n v="2"/>
    <n v="2"/>
    <n v="3"/>
    <n v="4"/>
    <s v="No"/>
    <s v="Travel_Rarely"/>
    <n v="17"/>
    <n v="24"/>
    <n v="3"/>
    <s v="No"/>
    <n v="5"/>
    <x v="1"/>
    <d v="2018-09-07T00:00:00"/>
    <m/>
    <s v="Active"/>
    <s v="26-35"/>
    <s v="0-1 Year"/>
  </r>
  <r>
    <s v="EMP0285"/>
    <n v="32"/>
    <s v="Male"/>
    <x v="1"/>
    <s v="Sales Manager"/>
    <s v="MBA"/>
    <n v="84158"/>
    <n v="6"/>
    <n v="9"/>
    <n v="3"/>
    <n v="3"/>
    <n v="4"/>
    <n v="3"/>
    <s v="Yes"/>
    <s v="Non-Travel"/>
    <n v="2"/>
    <n v="50"/>
    <n v="4"/>
    <s v="Yes"/>
    <n v="5"/>
    <x v="1"/>
    <d v="2017-09-14T00:00:00"/>
    <m/>
    <s v="Active"/>
    <s v="26-35"/>
    <s v="6-10 Years"/>
  </r>
  <r>
    <s v="EMP0286"/>
    <n v="46"/>
    <s v="Male"/>
    <x v="4"/>
    <s v="HR Executive"/>
    <s v="M.Tech"/>
    <n v="136799"/>
    <n v="18"/>
    <n v="22"/>
    <n v="5"/>
    <n v="3"/>
    <n v="1"/>
    <n v="4"/>
    <s v="No"/>
    <s v="Travel_Rarely"/>
    <n v="20"/>
    <n v="27"/>
    <n v="3"/>
    <s v="No"/>
    <n v="6"/>
    <x v="1"/>
    <d v="2012-04-10T00:00:00"/>
    <m/>
    <s v="Active"/>
    <s v="46-55"/>
    <s v="10+ Years"/>
  </r>
  <r>
    <s v="EMP0287"/>
    <n v="23"/>
    <s v="Female"/>
    <x v="3"/>
    <s v="Operations Manager"/>
    <s v="B.Com"/>
    <n v="58918"/>
    <n v="2"/>
    <n v="2"/>
    <n v="2"/>
    <n v="2"/>
    <n v="3"/>
    <n v="3"/>
    <s v="Yes"/>
    <s v="Travel_Frequently"/>
    <n v="5"/>
    <n v="27"/>
    <n v="3"/>
    <s v="No"/>
    <n v="8"/>
    <x v="0"/>
    <d v="2022-03-09T00:00:00"/>
    <d v="2023-08-23T00:00:00"/>
    <s v="2023-08-23"/>
    <s v="18-25"/>
    <s v="2-3 Years"/>
  </r>
  <r>
    <s v="EMP0288"/>
    <n v="54"/>
    <s v="Male"/>
    <x v="2"/>
    <s v="Software Engineer"/>
    <s v="BBA"/>
    <n v="160281"/>
    <n v="28"/>
    <n v="33"/>
    <n v="5"/>
    <n v="2"/>
    <n v="1"/>
    <n v="3"/>
    <s v="No"/>
    <s v="Travel_Rarely"/>
    <n v="4"/>
    <n v="27"/>
    <n v="3"/>
    <s v="No"/>
    <n v="6"/>
    <x v="1"/>
    <d v="2016-04-04T00:00:00"/>
    <m/>
    <s v="Active"/>
    <s v="46-55"/>
    <s v="10+ Years"/>
  </r>
  <r>
    <s v="EMP0289"/>
    <n v="46"/>
    <s v="Female"/>
    <x v="0"/>
    <s v="Finance Manager"/>
    <s v="BBA"/>
    <n v="139615"/>
    <n v="19"/>
    <n v="25"/>
    <n v="5"/>
    <n v="4"/>
    <n v="2"/>
    <n v="4"/>
    <s v="No"/>
    <s v="Travel_Rarely"/>
    <n v="10"/>
    <n v="41"/>
    <n v="3"/>
    <s v="Yes"/>
    <n v="4"/>
    <x v="1"/>
    <d v="2023-05-20T00:00:00"/>
    <m/>
    <s v="Active"/>
    <s v="46-55"/>
    <s v="10+ Years"/>
  </r>
  <r>
    <s v="EMP0290"/>
    <n v="24"/>
    <s v="Female"/>
    <x v="1"/>
    <s v="Sales Executive"/>
    <s v="M.Tech"/>
    <n v="41358"/>
    <n v="1"/>
    <n v="1"/>
    <n v="1"/>
    <n v="3"/>
    <n v="1"/>
    <n v="2"/>
    <s v="Yes"/>
    <s v="Travel_Rarely"/>
    <n v="12"/>
    <n v="56"/>
    <n v="2"/>
    <s v="No"/>
    <n v="7"/>
    <x v="1"/>
    <d v="2020-08-08T00:00:00"/>
    <m/>
    <s v="Active"/>
    <s v="18-25"/>
    <s v="0-1 Year"/>
  </r>
  <r>
    <s v="EMP0291"/>
    <n v="27"/>
    <s v="Female"/>
    <x v="4"/>
    <s v="HR Executive"/>
    <s v="B.Com"/>
    <n v="59575"/>
    <n v="0"/>
    <n v="5"/>
    <n v="2"/>
    <n v="1"/>
    <n v="2"/>
    <n v="3"/>
    <s v="No"/>
    <s v="Travel_Frequently"/>
    <n v="4"/>
    <n v="11"/>
    <n v="3"/>
    <s v="No"/>
    <n v="4"/>
    <x v="1"/>
    <d v="2022-04-22T00:00:00"/>
    <m/>
    <s v="Active"/>
    <s v="26-35"/>
    <s v="0-1 Year"/>
  </r>
  <r>
    <s v="EMP0292"/>
    <n v="51"/>
    <s v="Male"/>
    <x v="0"/>
    <s v="Finance Manager"/>
    <s v="BBA"/>
    <n v="41926"/>
    <n v="1"/>
    <n v="27"/>
    <n v="1"/>
    <n v="1"/>
    <n v="3"/>
    <n v="4"/>
    <s v="No"/>
    <s v="Travel_Rarely"/>
    <n v="8"/>
    <n v="28"/>
    <n v="3"/>
    <s v="No"/>
    <n v="1"/>
    <x v="1"/>
    <d v="2013-12-02T00:00:00"/>
    <m/>
    <s v="Active"/>
    <s v="46-55"/>
    <s v="0-1 Year"/>
  </r>
  <r>
    <s v="EMP0293"/>
    <n v="40"/>
    <s v="Male"/>
    <x v="2"/>
    <s v="Software Engineer"/>
    <s v="B.A"/>
    <n v="41324"/>
    <n v="0"/>
    <n v="19"/>
    <n v="1"/>
    <n v="3"/>
    <n v="1"/>
    <n v="3"/>
    <s v="No"/>
    <s v="Travel_Rarely"/>
    <n v="8"/>
    <n v="14"/>
    <n v="4"/>
    <s v="No"/>
    <n v="5"/>
    <x v="1"/>
    <d v="2016-11-05T00:00:00"/>
    <m/>
    <s v="Active"/>
    <s v="36-45"/>
    <s v="0-1 Year"/>
  </r>
  <r>
    <s v="EMP0294"/>
    <n v="39"/>
    <s v="Male"/>
    <x v="3"/>
    <s v="Operations Manager"/>
    <s v="M.Tech"/>
    <n v="53711"/>
    <n v="0"/>
    <n v="16"/>
    <n v="2"/>
    <n v="1"/>
    <n v="1"/>
    <n v="2"/>
    <s v="No"/>
    <s v="Non-Travel"/>
    <n v="10"/>
    <n v="33"/>
    <n v="3"/>
    <s v="No"/>
    <n v="4"/>
    <x v="1"/>
    <d v="2017-06-20T00:00:00"/>
    <m/>
    <s v="Active"/>
    <s v="36-45"/>
    <s v="0-1 Year"/>
  </r>
  <r>
    <s v="EMP0295"/>
    <n v="43"/>
    <s v="Male"/>
    <x v="2"/>
    <s v="IT Manager"/>
    <s v="B.A"/>
    <n v="128682"/>
    <n v="13"/>
    <n v="20"/>
    <n v="5"/>
    <n v="3"/>
    <n v="4"/>
    <n v="3"/>
    <s v="No"/>
    <s v="Travel_Rarely"/>
    <n v="10"/>
    <n v="18"/>
    <n v="2"/>
    <s v="No"/>
    <n v="5"/>
    <x v="0"/>
    <d v="2019-11-25T00:00:00"/>
    <d v="2022-04-01T00:00:00"/>
    <s v="2022-04-01"/>
    <s v="36-45"/>
    <s v="10+ Years"/>
  </r>
  <r>
    <s v="EMP0296"/>
    <n v="40"/>
    <s v="Male"/>
    <x v="1"/>
    <s v="Sales Manager"/>
    <s v="B.A"/>
    <n v="41120"/>
    <n v="2"/>
    <n v="19"/>
    <n v="1"/>
    <n v="2"/>
    <n v="4"/>
    <n v="1"/>
    <s v="Yes"/>
    <s v="Travel_Rarely"/>
    <n v="12"/>
    <n v="22"/>
    <n v="4"/>
    <s v="No"/>
    <n v="2"/>
    <x v="1"/>
    <d v="2015-11-30T00:00:00"/>
    <m/>
    <s v="Active"/>
    <s v="36-45"/>
    <s v="2-3 Years"/>
  </r>
  <r>
    <s v="EMP0297"/>
    <n v="57"/>
    <s v="Female"/>
    <x v="2"/>
    <s v="Data Analyst"/>
    <s v="M.Tech"/>
    <n v="129446"/>
    <n v="14"/>
    <n v="34"/>
    <n v="5"/>
    <n v="2"/>
    <n v="1"/>
    <n v="3"/>
    <s v="Yes"/>
    <s v="Travel_Frequently"/>
    <n v="19"/>
    <n v="11"/>
    <n v="3"/>
    <s v="No"/>
    <n v="6"/>
    <x v="1"/>
    <d v="2022-11-29T00:00:00"/>
    <m/>
    <s v="Active"/>
    <s v="56+"/>
    <s v="10+ Years"/>
  </r>
  <r>
    <s v="EMP0298"/>
    <n v="30"/>
    <s v="Female"/>
    <x v="0"/>
    <s v="Financial Analyst"/>
    <s v="B.Tech"/>
    <n v="104293"/>
    <n v="9"/>
    <n v="9"/>
    <n v="4"/>
    <n v="3"/>
    <n v="4"/>
    <n v="4"/>
    <s v="No"/>
    <s v="Non-Travel"/>
    <n v="8"/>
    <n v="12"/>
    <n v="3"/>
    <s v="Yes"/>
    <n v="6"/>
    <x v="1"/>
    <d v="2019-08-07T00:00:00"/>
    <m/>
    <s v="Active"/>
    <s v="26-35"/>
    <s v="6-10 Years"/>
  </r>
  <r>
    <s v="EMP0299"/>
    <n v="52"/>
    <s v="Female"/>
    <x v="3"/>
    <s v="Operations Manager"/>
    <s v="M.Tech"/>
    <n v="151030"/>
    <n v="27"/>
    <n v="29"/>
    <n v="5"/>
    <n v="3"/>
    <n v="3"/>
    <n v="1"/>
    <s v="No"/>
    <s v="Non-Travel"/>
    <n v="7"/>
    <n v="46"/>
    <n v="2"/>
    <s v="Yes"/>
    <n v="2"/>
    <x v="1"/>
    <d v="2023-04-26T00:00:00"/>
    <m/>
    <s v="Active"/>
    <s v="46-55"/>
    <s v="10+ Years"/>
  </r>
  <r>
    <s v="EMP0300"/>
    <n v="41"/>
    <s v="Female"/>
    <x v="2"/>
    <s v="Software Engineer"/>
    <s v="MBA"/>
    <n v="88442"/>
    <n v="8"/>
    <n v="19"/>
    <n v="3"/>
    <n v="1"/>
    <n v="1"/>
    <n v="3"/>
    <s v="Yes"/>
    <s v="Travel_Rarely"/>
    <n v="25"/>
    <n v="44"/>
    <n v="4"/>
    <s v="No"/>
    <n v="6"/>
    <x v="1"/>
    <d v="2016-11-16T00:00:00"/>
    <m/>
    <s v="Active"/>
    <s v="36-45"/>
    <s v="6-10 Years"/>
  </r>
  <r>
    <s v="EMP0301"/>
    <n v="54"/>
    <s v="Male"/>
    <x v="2"/>
    <s v="Data Analyst"/>
    <s v="B.A"/>
    <n v="121550"/>
    <n v="12"/>
    <n v="30"/>
    <n v="5"/>
    <n v="1"/>
    <n v="2"/>
    <n v="4"/>
    <s v="Yes"/>
    <s v="Travel_Frequently"/>
    <n v="9"/>
    <n v="49"/>
    <n v="2"/>
    <s v="Yes"/>
    <n v="4"/>
    <x v="1"/>
    <d v="2023-10-19T00:00:00"/>
    <m/>
    <s v="Active"/>
    <s v="46-55"/>
    <s v="10+ Years"/>
  </r>
  <r>
    <s v="EMP0302"/>
    <n v="37"/>
    <s v="Female"/>
    <x v="2"/>
    <s v="Software Engineer"/>
    <s v="MBA"/>
    <n v="77548"/>
    <n v="3"/>
    <n v="14"/>
    <n v="3"/>
    <n v="4"/>
    <n v="3"/>
    <n v="4"/>
    <s v="Yes"/>
    <s v="Travel_Rarely"/>
    <n v="21"/>
    <n v="23"/>
    <n v="3"/>
    <s v="No"/>
    <n v="3"/>
    <x v="1"/>
    <d v="2018-02-11T00:00:00"/>
    <m/>
    <s v="Active"/>
    <s v="36-45"/>
    <s v="2-3 Years"/>
  </r>
  <r>
    <s v="EMP0303"/>
    <n v="35"/>
    <s v="Male"/>
    <x v="3"/>
    <s v="Operations Executive"/>
    <s v="M.Tech"/>
    <n v="83513"/>
    <n v="7"/>
    <n v="12"/>
    <n v="3"/>
    <n v="3"/>
    <n v="2"/>
    <n v="2"/>
    <s v="No"/>
    <s v="Travel_Rarely"/>
    <n v="29"/>
    <n v="26"/>
    <n v="2"/>
    <s v="Yes"/>
    <n v="8"/>
    <x v="1"/>
    <d v="2022-10-27T00:00:00"/>
    <m/>
    <s v="Active"/>
    <s v="26-35"/>
    <s v="6-10 Years"/>
  </r>
  <r>
    <s v="EMP0304"/>
    <n v="37"/>
    <s v="Female"/>
    <x v="4"/>
    <s v="HR Manager"/>
    <s v="BBA"/>
    <n v="43068"/>
    <n v="2"/>
    <n v="13"/>
    <n v="1"/>
    <n v="2"/>
    <n v="3"/>
    <n v="4"/>
    <s v="Yes"/>
    <s v="Travel_Rarely"/>
    <n v="27"/>
    <n v="29"/>
    <n v="3"/>
    <s v="No"/>
    <n v="4"/>
    <x v="1"/>
    <d v="2015-01-29T00:00:00"/>
    <m/>
    <s v="Active"/>
    <s v="36-45"/>
    <s v="2-3 Years"/>
  </r>
  <r>
    <s v="EMP0305"/>
    <n v="27"/>
    <s v="Female"/>
    <x v="0"/>
    <s v="Finance Manager"/>
    <s v="B.Tech"/>
    <n v="57782"/>
    <n v="1"/>
    <n v="5"/>
    <n v="2"/>
    <n v="2"/>
    <n v="3"/>
    <n v="2"/>
    <s v="Yes"/>
    <s v="Travel_Rarely"/>
    <n v="17"/>
    <n v="23"/>
    <n v="3"/>
    <s v="No"/>
    <n v="5"/>
    <x v="0"/>
    <d v="2012-12-03T00:00:00"/>
    <d v="2015-08-07T00:00:00"/>
    <s v="2015-08-07"/>
    <s v="26-35"/>
    <s v="0-1 Year"/>
  </r>
  <r>
    <s v="EMP0306"/>
    <n v="39"/>
    <s v="Female"/>
    <x v="1"/>
    <s v="Sales Manager"/>
    <s v="B.Com"/>
    <n v="101301"/>
    <n v="7"/>
    <n v="15"/>
    <n v="4"/>
    <n v="2"/>
    <n v="2"/>
    <n v="3"/>
    <s v="Yes"/>
    <s v="Travel_Rarely"/>
    <n v="11"/>
    <n v="40"/>
    <n v="3"/>
    <s v="Yes"/>
    <n v="5"/>
    <x v="0"/>
    <d v="2022-02-07T00:00:00"/>
    <d v="2023-05-16T00:00:00"/>
    <s v="2023-05-16"/>
    <s v="36-45"/>
    <s v="6-10 Years"/>
  </r>
  <r>
    <s v="EMP0307"/>
    <n v="23"/>
    <s v="Female"/>
    <x v="5"/>
    <s v="Marketing Manager"/>
    <s v="BBA"/>
    <n v="39058"/>
    <n v="1"/>
    <n v="1"/>
    <n v="1"/>
    <n v="2"/>
    <n v="3"/>
    <n v="3"/>
    <s v="No"/>
    <s v="Travel_Frequently"/>
    <n v="11"/>
    <n v="46"/>
    <n v="3"/>
    <s v="No"/>
    <n v="2"/>
    <x v="1"/>
    <d v="2014-06-23T00:00:00"/>
    <m/>
    <s v="Active"/>
    <s v="18-25"/>
    <s v="0-1 Year"/>
  </r>
  <r>
    <s v="EMP0308"/>
    <n v="56"/>
    <s v="Male"/>
    <x v="5"/>
    <s v="Marketing Manager"/>
    <s v="B.Com"/>
    <n v="128531"/>
    <n v="13"/>
    <n v="35"/>
    <n v="5"/>
    <n v="3"/>
    <n v="3"/>
    <n v="1"/>
    <s v="No"/>
    <s v="Travel_Rarely"/>
    <n v="22"/>
    <n v="30"/>
    <n v="3"/>
    <s v="No"/>
    <n v="4"/>
    <x v="1"/>
    <d v="2023-06-28T00:00:00"/>
    <m/>
    <s v="Active"/>
    <s v="56+"/>
    <s v="10+ Years"/>
  </r>
  <r>
    <s v="EMP0309"/>
    <n v="42"/>
    <s v="Male"/>
    <x v="1"/>
    <s v="Sales Manager"/>
    <s v="B.Com"/>
    <n v="136262"/>
    <n v="16"/>
    <n v="21"/>
    <n v="5"/>
    <n v="2"/>
    <n v="2"/>
    <n v="2"/>
    <s v="No"/>
    <s v="Travel_Rarely"/>
    <n v="2"/>
    <n v="11"/>
    <n v="2"/>
    <s v="Yes"/>
    <n v="4"/>
    <x v="1"/>
    <d v="2021-02-15T00:00:00"/>
    <m/>
    <s v="Active"/>
    <s v="36-45"/>
    <s v="10+ Years"/>
  </r>
  <r>
    <s v="EMP0310"/>
    <n v="48"/>
    <s v="Male"/>
    <x v="0"/>
    <s v="Finance Manager"/>
    <s v="BBA"/>
    <n v="81974"/>
    <n v="7"/>
    <n v="26"/>
    <n v="3"/>
    <n v="3"/>
    <n v="2"/>
    <n v="2"/>
    <s v="No"/>
    <s v="Travel_Rarely"/>
    <n v="11"/>
    <n v="37"/>
    <n v="2"/>
    <s v="Yes"/>
    <n v="0"/>
    <x v="0"/>
    <d v="2017-04-14T00:00:00"/>
    <d v="2018-11-04T00:00:00"/>
    <s v="2018-11-04"/>
    <s v="46-55"/>
    <s v="6-10 Years"/>
  </r>
  <r>
    <s v="EMP0311"/>
    <n v="56"/>
    <s v="Female"/>
    <x v="2"/>
    <s v="IT Manager"/>
    <s v="MBA"/>
    <n v="133327"/>
    <n v="17"/>
    <n v="34"/>
    <n v="5"/>
    <n v="4"/>
    <n v="2"/>
    <n v="2"/>
    <s v="No"/>
    <s v="Travel_Rarely"/>
    <n v="5"/>
    <n v="42"/>
    <n v="2"/>
    <s v="Yes"/>
    <n v="3"/>
    <x v="1"/>
    <d v="2019-05-10T00:00:00"/>
    <m/>
    <s v="Active"/>
    <s v="56+"/>
    <s v="10+ Years"/>
  </r>
  <r>
    <s v="EMP0312"/>
    <n v="49"/>
    <s v="Female"/>
    <x v="5"/>
    <s v="Marketing Analyst"/>
    <s v="BBA"/>
    <n v="134715"/>
    <n v="17"/>
    <n v="28"/>
    <n v="5"/>
    <n v="2"/>
    <n v="2"/>
    <n v="4"/>
    <s v="No"/>
    <s v="Non-Travel"/>
    <n v="3"/>
    <n v="53"/>
    <n v="3"/>
    <s v="No"/>
    <n v="8"/>
    <x v="1"/>
    <d v="2015-02-12T00:00:00"/>
    <m/>
    <s v="Active"/>
    <s v="46-55"/>
    <s v="10+ Years"/>
  </r>
  <r>
    <s v="EMP0313"/>
    <n v="39"/>
    <s v="Male"/>
    <x v="0"/>
    <s v="Finance Manager"/>
    <s v="B.Tech"/>
    <n v="129936"/>
    <n v="13"/>
    <n v="15"/>
    <n v="5"/>
    <n v="3"/>
    <n v="3"/>
    <n v="3"/>
    <s v="No"/>
    <s v="Travel_Rarely"/>
    <n v="4"/>
    <n v="28"/>
    <n v="3"/>
    <s v="Yes"/>
    <n v="5"/>
    <x v="0"/>
    <d v="2022-08-29T00:00:00"/>
    <d v="2025-01-18T00:00:00"/>
    <s v="2025-01-18"/>
    <s v="36-45"/>
    <s v="10+ Years"/>
  </r>
  <r>
    <s v="EMP0314"/>
    <n v="50"/>
    <s v="Female"/>
    <x v="2"/>
    <s v="Software Engineer"/>
    <s v="MBA"/>
    <n v="52737"/>
    <n v="0"/>
    <n v="29"/>
    <n v="2"/>
    <n v="4"/>
    <n v="3"/>
    <n v="4"/>
    <s v="No"/>
    <s v="Travel_Frequently"/>
    <n v="12"/>
    <n v="49"/>
    <n v="3"/>
    <s v="No"/>
    <n v="4"/>
    <x v="1"/>
    <d v="2020-01-20T00:00:00"/>
    <m/>
    <s v="Active"/>
    <s v="46-55"/>
    <s v="0-1 Year"/>
  </r>
  <r>
    <s v="EMP0315"/>
    <n v="29"/>
    <s v="Female"/>
    <x v="2"/>
    <s v="Software Engineer"/>
    <s v="B.Com"/>
    <n v="85580"/>
    <n v="6"/>
    <n v="7"/>
    <n v="3"/>
    <n v="2"/>
    <n v="4"/>
    <n v="2"/>
    <s v="No"/>
    <s v="Travel_Rarely"/>
    <n v="24"/>
    <n v="43"/>
    <n v="4"/>
    <s v="No"/>
    <n v="7"/>
    <x v="1"/>
    <d v="2017-04-02T00:00:00"/>
    <m/>
    <s v="Active"/>
    <s v="26-35"/>
    <s v="6-10 Years"/>
  </r>
  <r>
    <s v="EMP0316"/>
    <n v="38"/>
    <s v="Female"/>
    <x v="3"/>
    <s v="Operations Manager"/>
    <s v="BBA"/>
    <n v="122824"/>
    <n v="12"/>
    <n v="14"/>
    <n v="5"/>
    <n v="4"/>
    <n v="1"/>
    <n v="1"/>
    <s v="No"/>
    <s v="Travel_Rarely"/>
    <n v="6"/>
    <n v="22"/>
    <n v="3"/>
    <s v="No"/>
    <n v="2"/>
    <x v="0"/>
    <d v="2018-02-20T00:00:00"/>
    <d v="2018-06-11T00:00:00"/>
    <s v="2018-06-11"/>
    <s v="36-45"/>
    <s v="10+ Years"/>
  </r>
  <r>
    <s v="EMP0317"/>
    <n v="31"/>
    <s v="Male"/>
    <x v="1"/>
    <s v="Sales Executive"/>
    <s v="B.Com"/>
    <n v="80622"/>
    <n v="5"/>
    <n v="9"/>
    <n v="3"/>
    <n v="1"/>
    <n v="2"/>
    <n v="2"/>
    <s v="Yes"/>
    <s v="Travel_Rarely"/>
    <n v="4"/>
    <n v="39"/>
    <n v="3"/>
    <s v="Yes"/>
    <n v="8"/>
    <x v="0"/>
    <d v="2013-01-30T00:00:00"/>
    <d v="2013-05-16T00:00:00"/>
    <s v="2013-05-16"/>
    <s v="26-35"/>
    <s v="4-5 Years"/>
  </r>
  <r>
    <s v="EMP0318"/>
    <n v="47"/>
    <s v="Male"/>
    <x v="1"/>
    <s v="Sales Manager"/>
    <s v="M.Tech"/>
    <n v="148459"/>
    <n v="22"/>
    <n v="26"/>
    <n v="5"/>
    <n v="1"/>
    <n v="4"/>
    <n v="4"/>
    <s v="No"/>
    <s v="Travel_Rarely"/>
    <n v="28"/>
    <n v="36"/>
    <n v="3"/>
    <s v="Yes"/>
    <n v="4"/>
    <x v="1"/>
    <d v="2013-10-26T00:00:00"/>
    <m/>
    <s v="Active"/>
    <s v="46-55"/>
    <s v="10+ Years"/>
  </r>
  <r>
    <s v="EMP0319"/>
    <n v="34"/>
    <s v="Female"/>
    <x v="0"/>
    <s v="Financial Analyst"/>
    <s v="M.Tech"/>
    <n v="102869"/>
    <n v="9"/>
    <n v="10"/>
    <n v="4"/>
    <n v="1"/>
    <n v="1"/>
    <n v="4"/>
    <s v="No"/>
    <s v="Travel_Frequently"/>
    <n v="7"/>
    <n v="47"/>
    <n v="3"/>
    <s v="No"/>
    <n v="7"/>
    <x v="1"/>
    <d v="2021-01-22T00:00:00"/>
    <m/>
    <s v="Active"/>
    <s v="26-35"/>
    <s v="6-10 Years"/>
  </r>
  <r>
    <s v="EMP0320"/>
    <n v="48"/>
    <s v="Male"/>
    <x v="5"/>
    <s v="Marketing Manager"/>
    <s v="M.Tech"/>
    <n v="152548"/>
    <n v="26"/>
    <n v="27"/>
    <n v="5"/>
    <n v="2"/>
    <n v="4"/>
    <n v="4"/>
    <s v="No"/>
    <s v="Travel_Rarely"/>
    <n v="6"/>
    <n v="47"/>
    <n v="2"/>
    <s v="No"/>
    <n v="4"/>
    <x v="1"/>
    <d v="2022-12-23T00:00:00"/>
    <m/>
    <s v="Active"/>
    <s v="46-55"/>
    <s v="10+ Years"/>
  </r>
  <r>
    <s v="EMP0321"/>
    <n v="33"/>
    <s v="Female"/>
    <x v="2"/>
    <s v="IT Manager"/>
    <s v="BBA"/>
    <n v="108211"/>
    <n v="11"/>
    <n v="11"/>
    <n v="4"/>
    <n v="3"/>
    <n v="2"/>
    <n v="2"/>
    <s v="Yes"/>
    <s v="Travel_Frequently"/>
    <n v="16"/>
    <n v="17"/>
    <n v="3"/>
    <s v="Yes"/>
    <n v="5"/>
    <x v="1"/>
    <d v="2017-04-23T00:00:00"/>
    <m/>
    <s v="Active"/>
    <s v="26-35"/>
    <s v="10+ Years"/>
  </r>
  <r>
    <s v="EMP0322"/>
    <n v="26"/>
    <s v="Male"/>
    <x v="2"/>
    <s v="IT Manager"/>
    <s v="M.Tech"/>
    <n v="55813"/>
    <n v="1"/>
    <n v="2"/>
    <n v="2"/>
    <n v="4"/>
    <n v="4"/>
    <n v="3"/>
    <s v="Yes"/>
    <s v="Travel_Rarely"/>
    <n v="2"/>
    <n v="20"/>
    <n v="3"/>
    <s v="No"/>
    <n v="4"/>
    <x v="1"/>
    <d v="2020-05-19T00:00:00"/>
    <m/>
    <s v="Active"/>
    <s v="26-35"/>
    <s v="0-1 Year"/>
  </r>
  <r>
    <s v="EMP0323"/>
    <n v="44"/>
    <s v="Female"/>
    <x v="3"/>
    <s v="Operations Executive"/>
    <s v="M.Tech"/>
    <n v="78441"/>
    <n v="5"/>
    <n v="21"/>
    <n v="3"/>
    <n v="1"/>
    <n v="4"/>
    <n v="4"/>
    <s v="No"/>
    <s v="Travel_Rarely"/>
    <n v="20"/>
    <n v="27"/>
    <n v="3"/>
    <s v="Yes"/>
    <n v="5"/>
    <x v="1"/>
    <d v="2013-11-17T00:00:00"/>
    <m/>
    <s v="Active"/>
    <s v="36-45"/>
    <s v="4-5 Years"/>
  </r>
  <r>
    <s v="EMP0324"/>
    <n v="55"/>
    <s v="Female"/>
    <x v="1"/>
    <s v="Sales Manager"/>
    <s v="BBA"/>
    <n v="138810"/>
    <n v="20"/>
    <n v="31"/>
    <n v="5"/>
    <n v="3"/>
    <n v="2"/>
    <n v="1"/>
    <s v="Yes"/>
    <s v="Travel_Rarely"/>
    <n v="8"/>
    <n v="57"/>
    <n v="3"/>
    <s v="Yes"/>
    <n v="6"/>
    <x v="0"/>
    <d v="2012-10-19T00:00:00"/>
    <d v="2014-10-16T00:00:00"/>
    <s v="2014-10-16"/>
    <s v="46-55"/>
    <s v="10+ Years"/>
  </r>
  <r>
    <s v="EMP0325"/>
    <n v="45"/>
    <s v="Male"/>
    <x v="2"/>
    <s v="Software Engineer"/>
    <s v="M.Tech"/>
    <n v="79966"/>
    <n v="6"/>
    <n v="23"/>
    <n v="3"/>
    <n v="2"/>
    <n v="4"/>
    <n v="3"/>
    <s v="No"/>
    <s v="Travel_Rarely"/>
    <n v="28"/>
    <n v="22"/>
    <n v="2"/>
    <s v="Yes"/>
    <n v="6"/>
    <x v="0"/>
    <d v="2015-10-14T00:00:00"/>
    <d v="2017-07-01T00:00:00"/>
    <s v="2017-07-01"/>
    <s v="36-45"/>
    <s v="6-10 Years"/>
  </r>
  <r>
    <s v="EMP0326"/>
    <n v="32"/>
    <s v="Female"/>
    <x v="5"/>
    <s v="Marketing Analyst"/>
    <s v="M.Tech"/>
    <n v="85948"/>
    <n v="6"/>
    <n v="10"/>
    <n v="3"/>
    <n v="1"/>
    <n v="1"/>
    <n v="4"/>
    <s v="Yes"/>
    <s v="Travel_Rarely"/>
    <n v="5"/>
    <n v="11"/>
    <n v="3"/>
    <s v="No"/>
    <n v="4"/>
    <x v="1"/>
    <d v="2012-12-24T00:00:00"/>
    <m/>
    <s v="Active"/>
    <s v="26-35"/>
    <s v="6-10 Years"/>
  </r>
  <r>
    <s v="EMP0327"/>
    <n v="23"/>
    <s v="Female"/>
    <x v="2"/>
    <s v="Data Analyst"/>
    <s v="B.Tech"/>
    <n v="38627"/>
    <n v="0"/>
    <n v="2"/>
    <n v="1"/>
    <n v="2"/>
    <n v="3"/>
    <n v="1"/>
    <s v="No"/>
    <s v="Travel_Rarely"/>
    <n v="18"/>
    <n v="19"/>
    <n v="2"/>
    <s v="No"/>
    <n v="4"/>
    <x v="1"/>
    <d v="2014-03-09T00:00:00"/>
    <m/>
    <s v="Active"/>
    <s v="18-25"/>
    <s v="0-1 Year"/>
  </r>
  <r>
    <s v="EMP0328"/>
    <n v="48"/>
    <s v="Female"/>
    <x v="3"/>
    <s v="Operations Executive"/>
    <s v="B.A"/>
    <n v="153800"/>
    <n v="25"/>
    <n v="27"/>
    <n v="5"/>
    <n v="2"/>
    <n v="1"/>
    <n v="1"/>
    <s v="No"/>
    <s v="Travel_Rarely"/>
    <n v="6"/>
    <n v="30"/>
    <n v="3"/>
    <s v="No"/>
    <n v="3"/>
    <x v="1"/>
    <d v="2012-08-15T00:00:00"/>
    <m/>
    <s v="Active"/>
    <s v="46-55"/>
    <s v="10+ Years"/>
  </r>
  <r>
    <s v="EMP0329"/>
    <n v="38"/>
    <s v="Male"/>
    <x v="3"/>
    <s v="Operations Manager"/>
    <s v="B.A"/>
    <n v="102530"/>
    <n v="7"/>
    <n v="17"/>
    <n v="4"/>
    <n v="1"/>
    <n v="3"/>
    <n v="1"/>
    <s v="No"/>
    <s v="Travel_Rarely"/>
    <n v="22"/>
    <n v="55"/>
    <n v="4"/>
    <s v="No"/>
    <n v="4"/>
    <x v="1"/>
    <d v="2021-04-13T00:00:00"/>
    <m/>
    <s v="Active"/>
    <s v="36-45"/>
    <s v="6-10 Years"/>
  </r>
  <r>
    <s v="EMP0330"/>
    <n v="51"/>
    <s v="Male"/>
    <x v="3"/>
    <s v="Operations Manager"/>
    <s v="B.A"/>
    <n v="104855"/>
    <n v="10"/>
    <n v="27"/>
    <n v="4"/>
    <n v="1"/>
    <n v="1"/>
    <n v="1"/>
    <s v="Yes"/>
    <s v="Travel_Rarely"/>
    <n v="2"/>
    <n v="19"/>
    <n v="4"/>
    <s v="No"/>
    <n v="5"/>
    <x v="1"/>
    <d v="2018-09-03T00:00:00"/>
    <m/>
    <s v="Active"/>
    <s v="46-55"/>
    <s v="6-10 Years"/>
  </r>
  <r>
    <s v="EMP0331"/>
    <n v="43"/>
    <s v="Female"/>
    <x v="1"/>
    <s v="Sales Executive"/>
    <s v="MBA"/>
    <n v="139319"/>
    <n v="18"/>
    <n v="19"/>
    <n v="5"/>
    <n v="2"/>
    <n v="1"/>
    <n v="2"/>
    <s v="No"/>
    <s v="Travel_Frequently"/>
    <n v="4"/>
    <n v="21"/>
    <n v="3"/>
    <s v="No"/>
    <n v="7"/>
    <x v="1"/>
    <d v="2023-02-24T00:00:00"/>
    <m/>
    <s v="Active"/>
    <s v="36-45"/>
    <s v="10+ Years"/>
  </r>
  <r>
    <s v="EMP0332"/>
    <n v="31"/>
    <s v="Male"/>
    <x v="3"/>
    <s v="Operations Executive"/>
    <s v="B.Com"/>
    <n v="63079"/>
    <n v="5"/>
    <n v="8"/>
    <n v="2"/>
    <n v="3"/>
    <n v="3"/>
    <n v="3"/>
    <s v="No"/>
    <s v="Travel_Rarely"/>
    <n v="25"/>
    <n v="59"/>
    <n v="3"/>
    <s v="No"/>
    <n v="5"/>
    <x v="1"/>
    <d v="2019-04-07T00:00:00"/>
    <m/>
    <s v="Active"/>
    <s v="26-35"/>
    <s v="4-5 Years"/>
  </r>
  <r>
    <s v="EMP0333"/>
    <n v="26"/>
    <s v="Male"/>
    <x v="2"/>
    <s v="Software Engineer"/>
    <s v="B.Com"/>
    <n v="82740"/>
    <n v="4"/>
    <n v="4"/>
    <n v="3"/>
    <n v="3"/>
    <n v="1"/>
    <n v="4"/>
    <s v="No"/>
    <s v="Travel_Rarely"/>
    <n v="1"/>
    <n v="39"/>
    <n v="2"/>
    <s v="No"/>
    <n v="3"/>
    <x v="1"/>
    <d v="2012-11-06T00:00:00"/>
    <m/>
    <s v="Active"/>
    <s v="26-35"/>
    <s v="4-5 Years"/>
  </r>
  <r>
    <s v="EMP0334"/>
    <n v="34"/>
    <s v="Female"/>
    <x v="0"/>
    <s v="Finance Manager"/>
    <s v="BBA"/>
    <n v="54421"/>
    <n v="1"/>
    <n v="12"/>
    <n v="2"/>
    <n v="2"/>
    <n v="1"/>
    <n v="1"/>
    <s v="Yes"/>
    <s v="Travel_Rarely"/>
    <n v="17"/>
    <n v="48"/>
    <n v="3"/>
    <s v="No"/>
    <n v="6"/>
    <x v="1"/>
    <d v="2015-12-10T00:00:00"/>
    <m/>
    <s v="Active"/>
    <s v="26-35"/>
    <s v="0-1 Year"/>
  </r>
  <r>
    <s v="EMP0335"/>
    <n v="47"/>
    <s v="Female"/>
    <x v="0"/>
    <s v="Finance Manager"/>
    <s v="MBA"/>
    <n v="133471"/>
    <n v="16"/>
    <n v="25"/>
    <n v="5"/>
    <n v="3"/>
    <n v="3"/>
    <n v="4"/>
    <s v="No"/>
    <s v="Travel_Frequently"/>
    <n v="1"/>
    <n v="18"/>
    <n v="3"/>
    <s v="No"/>
    <n v="4"/>
    <x v="1"/>
    <d v="2014-05-23T00:00:00"/>
    <m/>
    <s v="Active"/>
    <s v="46-55"/>
    <s v="10+ Years"/>
  </r>
  <r>
    <s v="EMP0336"/>
    <n v="30"/>
    <s v="Male"/>
    <x v="3"/>
    <s v="Operations Executive"/>
    <s v="M.Tech"/>
    <n v="44716"/>
    <n v="0"/>
    <n v="6"/>
    <n v="1"/>
    <n v="3"/>
    <n v="3"/>
    <n v="2"/>
    <s v="No"/>
    <s v="Travel_Rarely"/>
    <n v="8"/>
    <n v="42"/>
    <n v="3"/>
    <s v="No"/>
    <n v="2"/>
    <x v="1"/>
    <d v="2018-02-27T00:00:00"/>
    <m/>
    <s v="Active"/>
    <s v="26-35"/>
    <s v="0-1 Year"/>
  </r>
  <r>
    <s v="EMP0337"/>
    <n v="45"/>
    <s v="Male"/>
    <x v="0"/>
    <s v="Finance Manager"/>
    <s v="M.Tech"/>
    <n v="123812"/>
    <n v="12"/>
    <n v="24"/>
    <n v="5"/>
    <n v="3"/>
    <n v="4"/>
    <n v="2"/>
    <s v="No"/>
    <s v="Travel_Frequently"/>
    <n v="3"/>
    <n v="48"/>
    <n v="2"/>
    <s v="No"/>
    <n v="5"/>
    <x v="1"/>
    <d v="2020-12-30T00:00:00"/>
    <m/>
    <s v="Active"/>
    <s v="36-45"/>
    <s v="10+ Years"/>
  </r>
  <r>
    <s v="EMP0338"/>
    <n v="28"/>
    <s v="Male"/>
    <x v="5"/>
    <s v="Marketing Analyst"/>
    <s v="B.Com"/>
    <n v="63185"/>
    <n v="5"/>
    <n v="7"/>
    <n v="2"/>
    <n v="3"/>
    <n v="1"/>
    <n v="4"/>
    <s v="No"/>
    <s v="Travel_Rarely"/>
    <n v="5"/>
    <n v="40"/>
    <n v="2"/>
    <s v="Yes"/>
    <n v="6"/>
    <x v="1"/>
    <d v="2020-12-23T00:00:00"/>
    <m/>
    <s v="Active"/>
    <s v="26-35"/>
    <s v="4-5 Years"/>
  </r>
  <r>
    <s v="EMP0339"/>
    <n v="43"/>
    <s v="Female"/>
    <x v="4"/>
    <s v="HR Manager"/>
    <s v="BBA"/>
    <n v="66782"/>
    <n v="4"/>
    <n v="21"/>
    <n v="2"/>
    <n v="2"/>
    <n v="2"/>
    <n v="2"/>
    <s v="No"/>
    <s v="Travel_Rarely"/>
    <n v="15"/>
    <n v="13"/>
    <n v="2"/>
    <s v="No"/>
    <n v="7"/>
    <x v="1"/>
    <d v="2014-02-21T00:00:00"/>
    <m/>
    <s v="Active"/>
    <s v="36-45"/>
    <s v="4-5 Years"/>
  </r>
  <r>
    <s v="EMP0340"/>
    <n v="49"/>
    <s v="Female"/>
    <x v="0"/>
    <s v="Financial Analyst"/>
    <s v="B.Tech"/>
    <n v="42722"/>
    <n v="1"/>
    <n v="28"/>
    <n v="1"/>
    <n v="4"/>
    <n v="2"/>
    <n v="4"/>
    <s v="No"/>
    <s v="Travel_Frequently"/>
    <n v="15"/>
    <n v="18"/>
    <n v="3"/>
    <s v="No"/>
    <n v="4"/>
    <x v="1"/>
    <d v="2020-06-18T00:00:00"/>
    <m/>
    <s v="Active"/>
    <s v="46-55"/>
    <s v="0-1 Year"/>
  </r>
  <r>
    <s v="EMP0341"/>
    <n v="30"/>
    <s v="Male"/>
    <x v="1"/>
    <s v="Sales Manager"/>
    <s v="B.A"/>
    <n v="89408"/>
    <n v="8"/>
    <n v="8"/>
    <n v="3"/>
    <n v="2"/>
    <n v="3"/>
    <n v="4"/>
    <s v="No"/>
    <s v="Non-Travel"/>
    <n v="6"/>
    <n v="59"/>
    <n v="3"/>
    <s v="Yes"/>
    <n v="5"/>
    <x v="1"/>
    <d v="2021-04-24T00:00:00"/>
    <m/>
    <s v="Active"/>
    <s v="26-35"/>
    <s v="6-10 Years"/>
  </r>
  <r>
    <s v="EMP0342"/>
    <n v="26"/>
    <s v="Male"/>
    <x v="3"/>
    <s v="Operations Executive"/>
    <s v="B.Com"/>
    <n v="57939"/>
    <n v="2"/>
    <n v="5"/>
    <n v="2"/>
    <n v="1"/>
    <n v="2"/>
    <n v="1"/>
    <s v="No"/>
    <s v="Travel_Rarely"/>
    <n v="14"/>
    <n v="40"/>
    <n v="3"/>
    <s v="No"/>
    <n v="4"/>
    <x v="0"/>
    <d v="2023-08-11T00:00:00"/>
    <d v="2024-08-19T00:00:00"/>
    <s v="2024-08-19"/>
    <s v="26-35"/>
    <s v="2-3 Years"/>
  </r>
  <r>
    <s v="EMP0343"/>
    <n v="27"/>
    <s v="Male"/>
    <x v="4"/>
    <s v="HR Manager"/>
    <s v="BBA"/>
    <n v="57734"/>
    <n v="2"/>
    <n v="6"/>
    <n v="2"/>
    <n v="2"/>
    <n v="4"/>
    <n v="2"/>
    <s v="No"/>
    <s v="Travel_Rarely"/>
    <n v="4"/>
    <n v="32"/>
    <n v="4"/>
    <s v="No"/>
    <n v="4"/>
    <x v="1"/>
    <d v="2019-10-17T00:00:00"/>
    <m/>
    <s v="Active"/>
    <s v="26-35"/>
    <s v="2-3 Years"/>
  </r>
  <r>
    <s v="EMP0344"/>
    <n v="42"/>
    <s v="Male"/>
    <x v="2"/>
    <s v="IT Manager"/>
    <s v="B.Tech"/>
    <n v="57167"/>
    <n v="1"/>
    <n v="18"/>
    <n v="2"/>
    <n v="2"/>
    <n v="4"/>
    <n v="2"/>
    <s v="No"/>
    <s v="Travel_Rarely"/>
    <n v="23"/>
    <n v="13"/>
    <n v="3"/>
    <s v="No"/>
    <n v="5"/>
    <x v="1"/>
    <d v="2015-07-17T00:00:00"/>
    <m/>
    <s v="Active"/>
    <s v="36-45"/>
    <s v="0-1 Year"/>
  </r>
  <r>
    <s v="EMP0345"/>
    <n v="55"/>
    <s v="Male"/>
    <x v="2"/>
    <s v="Data Analyst"/>
    <s v="MBA"/>
    <n v="134352"/>
    <n v="17"/>
    <n v="31"/>
    <n v="5"/>
    <n v="3"/>
    <n v="1"/>
    <n v="3"/>
    <s v="No"/>
    <s v="Travel_Frequently"/>
    <n v="12"/>
    <n v="31"/>
    <n v="4"/>
    <s v="No"/>
    <n v="6"/>
    <x v="1"/>
    <d v="2014-08-05T00:00:00"/>
    <m/>
    <s v="Active"/>
    <s v="46-55"/>
    <s v="10+ Years"/>
  </r>
  <r>
    <s v="EMP0346"/>
    <n v="29"/>
    <s v="Female"/>
    <x v="5"/>
    <s v="Marketing Manager"/>
    <s v="BBA"/>
    <n v="81655"/>
    <n v="5"/>
    <n v="6"/>
    <n v="3"/>
    <n v="4"/>
    <n v="3"/>
    <n v="1"/>
    <s v="No"/>
    <s v="Travel_Rarely"/>
    <n v="29"/>
    <n v="18"/>
    <n v="4"/>
    <s v="No"/>
    <n v="6"/>
    <x v="1"/>
    <d v="2020-08-14T00:00:00"/>
    <m/>
    <s v="Active"/>
    <s v="26-35"/>
    <s v="4-5 Years"/>
  </r>
  <r>
    <s v="EMP0347"/>
    <n v="49"/>
    <s v="Female"/>
    <x v="2"/>
    <s v="Data Analyst"/>
    <s v="BBA"/>
    <n v="150808"/>
    <n v="25"/>
    <n v="28"/>
    <n v="5"/>
    <n v="2"/>
    <n v="1"/>
    <n v="4"/>
    <s v="No"/>
    <s v="Travel_Frequently"/>
    <n v="13"/>
    <n v="56"/>
    <n v="2"/>
    <s v="No"/>
    <n v="3"/>
    <x v="1"/>
    <d v="2018-02-02T00:00:00"/>
    <m/>
    <s v="Active"/>
    <s v="46-55"/>
    <s v="10+ Years"/>
  </r>
  <r>
    <s v="EMP0348"/>
    <n v="54"/>
    <s v="Female"/>
    <x v="5"/>
    <s v="Marketing Analyst"/>
    <s v="MBA"/>
    <n v="152814"/>
    <n v="27"/>
    <n v="31"/>
    <n v="5"/>
    <n v="2"/>
    <n v="2"/>
    <n v="1"/>
    <s v="No"/>
    <s v="Travel_Rarely"/>
    <n v="10"/>
    <n v="55"/>
    <n v="4"/>
    <s v="No"/>
    <n v="5"/>
    <x v="1"/>
    <d v="2020-08-03T00:00:00"/>
    <m/>
    <s v="Active"/>
    <s v="46-55"/>
    <s v="10+ Years"/>
  </r>
  <r>
    <s v="EMP0349"/>
    <n v="43"/>
    <s v="Male"/>
    <x v="1"/>
    <s v="Sales Manager"/>
    <s v="B.Tech"/>
    <n v="60060"/>
    <n v="4"/>
    <n v="21"/>
    <n v="2"/>
    <n v="1"/>
    <n v="4"/>
    <n v="4"/>
    <s v="No"/>
    <s v="Travel_Frequently"/>
    <n v="1"/>
    <n v="31"/>
    <n v="3"/>
    <s v="No"/>
    <n v="7"/>
    <x v="1"/>
    <d v="2016-07-06T00:00:00"/>
    <m/>
    <s v="Active"/>
    <s v="36-45"/>
    <s v="4-5 Years"/>
  </r>
  <r>
    <s v="EMP0350"/>
    <n v="26"/>
    <s v="Female"/>
    <x v="1"/>
    <s v="Sales Manager"/>
    <s v="M.Tech"/>
    <n v="43916"/>
    <n v="2"/>
    <n v="3"/>
    <n v="1"/>
    <n v="3"/>
    <n v="4"/>
    <n v="2"/>
    <s v="Yes"/>
    <s v="Travel_Frequently"/>
    <n v="7"/>
    <n v="35"/>
    <n v="3"/>
    <s v="No"/>
    <n v="4"/>
    <x v="1"/>
    <d v="2021-11-30T00:00:00"/>
    <m/>
    <s v="Active"/>
    <s v="26-35"/>
    <s v="2-3 Years"/>
  </r>
  <r>
    <s v="EMP0351"/>
    <n v="57"/>
    <s v="Female"/>
    <x v="4"/>
    <s v="HR Executive"/>
    <s v="M.Tech"/>
    <n v="132467"/>
    <n v="14"/>
    <n v="33"/>
    <n v="5"/>
    <n v="2"/>
    <n v="4"/>
    <n v="1"/>
    <s v="Yes"/>
    <s v="Travel_Frequently"/>
    <n v="4"/>
    <n v="29"/>
    <n v="2"/>
    <s v="Yes"/>
    <n v="8"/>
    <x v="1"/>
    <d v="2016-09-21T00:00:00"/>
    <m/>
    <s v="Active"/>
    <s v="56+"/>
    <s v="10+ Years"/>
  </r>
  <r>
    <s v="EMP0352"/>
    <n v="46"/>
    <s v="Female"/>
    <x v="1"/>
    <s v="Sales Manager"/>
    <s v="B.Tech"/>
    <n v="146863"/>
    <n v="24"/>
    <n v="25"/>
    <n v="5"/>
    <n v="1"/>
    <n v="1"/>
    <n v="1"/>
    <s v="No"/>
    <s v="Travel_Rarely"/>
    <n v="18"/>
    <n v="25"/>
    <n v="4"/>
    <s v="Yes"/>
    <n v="8"/>
    <x v="1"/>
    <d v="2022-11-13T00:00:00"/>
    <m/>
    <s v="Active"/>
    <s v="46-55"/>
    <s v="10+ Years"/>
  </r>
  <r>
    <s v="EMP0353"/>
    <n v="48"/>
    <s v="Female"/>
    <x v="1"/>
    <s v="Sales Manager"/>
    <s v="B.A"/>
    <n v="80614"/>
    <n v="3"/>
    <n v="25"/>
    <n v="3"/>
    <n v="1"/>
    <n v="2"/>
    <n v="1"/>
    <s v="No"/>
    <s v="Travel_Rarely"/>
    <n v="17"/>
    <n v="35"/>
    <n v="3"/>
    <s v="No"/>
    <n v="6"/>
    <x v="1"/>
    <d v="2014-11-04T00:00:00"/>
    <m/>
    <s v="Active"/>
    <s v="46-55"/>
    <s v="2-3 Years"/>
  </r>
  <r>
    <s v="EMP0354"/>
    <n v="31"/>
    <s v="Male"/>
    <x v="5"/>
    <s v="Marketing Analyst"/>
    <s v="B.A"/>
    <n v="61088"/>
    <n v="3"/>
    <n v="7"/>
    <n v="2"/>
    <n v="3"/>
    <n v="4"/>
    <n v="2"/>
    <s v="No"/>
    <s v="Travel_Rarely"/>
    <n v="6"/>
    <n v="48"/>
    <n v="3"/>
    <s v="No"/>
    <n v="2"/>
    <x v="0"/>
    <d v="2017-02-08T00:00:00"/>
    <d v="2017-07-11T00:00:00"/>
    <s v="2017-07-11"/>
    <s v="26-35"/>
    <s v="2-3 Years"/>
  </r>
  <r>
    <s v="EMP0355"/>
    <n v="41"/>
    <s v="Male"/>
    <x v="2"/>
    <s v="Software Engineer"/>
    <s v="MBA"/>
    <n v="131390"/>
    <n v="15"/>
    <n v="19"/>
    <n v="5"/>
    <n v="4"/>
    <n v="2"/>
    <n v="1"/>
    <s v="No"/>
    <s v="Travel_Rarely"/>
    <n v="20"/>
    <n v="46"/>
    <n v="4"/>
    <s v="Yes"/>
    <n v="5"/>
    <x v="1"/>
    <d v="2015-05-30T00:00:00"/>
    <m/>
    <s v="Active"/>
    <s v="36-45"/>
    <s v="10+ Years"/>
  </r>
  <r>
    <s v="EMP0356"/>
    <n v="54"/>
    <s v="Male"/>
    <x v="1"/>
    <s v="Sales Executive"/>
    <s v="BBA"/>
    <n v="133801"/>
    <n v="17"/>
    <n v="32"/>
    <n v="5"/>
    <n v="2"/>
    <n v="4"/>
    <n v="2"/>
    <s v="No"/>
    <s v="Travel_Rarely"/>
    <n v="11"/>
    <n v="54"/>
    <n v="3"/>
    <s v="Yes"/>
    <n v="5"/>
    <x v="0"/>
    <d v="2015-04-01T00:00:00"/>
    <d v="2017-08-30T00:00:00"/>
    <s v="2017-08-30"/>
    <s v="46-55"/>
    <s v="10+ Years"/>
  </r>
  <r>
    <s v="EMP0357"/>
    <n v="53"/>
    <s v="Male"/>
    <x v="0"/>
    <s v="Financial Analyst"/>
    <s v="B.Tech"/>
    <n v="140344"/>
    <n v="19"/>
    <n v="29"/>
    <n v="5"/>
    <n v="4"/>
    <n v="3"/>
    <n v="1"/>
    <s v="Yes"/>
    <s v="Travel_Frequently"/>
    <n v="11"/>
    <n v="24"/>
    <n v="4"/>
    <s v="Yes"/>
    <n v="4"/>
    <x v="1"/>
    <d v="2017-07-08T00:00:00"/>
    <m/>
    <s v="Active"/>
    <s v="46-55"/>
    <s v="10+ Years"/>
  </r>
  <r>
    <s v="EMP0358"/>
    <n v="27"/>
    <s v="Female"/>
    <x v="2"/>
    <s v="Software Engineer"/>
    <s v="M.Tech"/>
    <n v="58786"/>
    <n v="3"/>
    <n v="4"/>
    <n v="2"/>
    <n v="1"/>
    <n v="3"/>
    <n v="2"/>
    <s v="No"/>
    <s v="Non-Travel"/>
    <n v="24"/>
    <n v="27"/>
    <n v="2"/>
    <s v="No"/>
    <n v="5"/>
    <x v="1"/>
    <d v="2020-09-17T00:00:00"/>
    <m/>
    <s v="Active"/>
    <s v="26-35"/>
    <s v="2-3 Years"/>
  </r>
  <r>
    <s v="EMP0359"/>
    <n v="23"/>
    <s v="Male"/>
    <x v="1"/>
    <s v="Sales Manager"/>
    <s v="MBA"/>
    <n v="39648"/>
    <n v="0"/>
    <n v="1"/>
    <n v="1"/>
    <n v="2"/>
    <n v="2"/>
    <n v="1"/>
    <s v="No"/>
    <s v="Travel_Rarely"/>
    <n v="9"/>
    <n v="46"/>
    <n v="3"/>
    <s v="No"/>
    <n v="6"/>
    <x v="0"/>
    <d v="2015-07-08T00:00:00"/>
    <d v="2018-03-20T00:00:00"/>
    <s v="2018-03-20"/>
    <s v="18-25"/>
    <s v="0-1 Year"/>
  </r>
  <r>
    <s v="EMP0360"/>
    <n v="52"/>
    <s v="Male"/>
    <x v="5"/>
    <s v="Marketing Manager"/>
    <s v="MBA"/>
    <n v="148276"/>
    <n v="22"/>
    <n v="31"/>
    <n v="5"/>
    <n v="4"/>
    <n v="2"/>
    <n v="2"/>
    <s v="Yes"/>
    <s v="Travel_Rarely"/>
    <n v="17"/>
    <n v="16"/>
    <n v="3"/>
    <s v="Yes"/>
    <n v="7"/>
    <x v="0"/>
    <d v="2023-12-18T00:00:00"/>
    <d v="2025-10-02T00:00:00"/>
    <s v="2025-10-02"/>
    <s v="46-55"/>
    <s v="10+ Years"/>
  </r>
  <r>
    <s v="EMP0361"/>
    <n v="37"/>
    <s v="Male"/>
    <x v="5"/>
    <s v="Marketing Manager"/>
    <s v="B.Tech"/>
    <n v="127107"/>
    <n v="14"/>
    <n v="14"/>
    <n v="5"/>
    <n v="1"/>
    <n v="3"/>
    <n v="2"/>
    <s v="No"/>
    <s v="Travel_Rarely"/>
    <n v="24"/>
    <n v="23"/>
    <n v="4"/>
    <s v="Yes"/>
    <n v="3"/>
    <x v="1"/>
    <d v="2020-03-25T00:00:00"/>
    <m/>
    <s v="Active"/>
    <s v="36-45"/>
    <s v="10+ Years"/>
  </r>
  <r>
    <s v="EMP0362"/>
    <n v="36"/>
    <s v="Male"/>
    <x v="5"/>
    <s v="Marketing Analyst"/>
    <s v="B.Tech"/>
    <n v="118901"/>
    <n v="10"/>
    <n v="15"/>
    <n v="5"/>
    <n v="2"/>
    <n v="3"/>
    <n v="2"/>
    <s v="Yes"/>
    <s v="Non-Travel"/>
    <n v="26"/>
    <n v="57"/>
    <n v="3"/>
    <s v="Yes"/>
    <n v="6"/>
    <x v="1"/>
    <d v="2013-10-01T00:00:00"/>
    <m/>
    <s v="Active"/>
    <s v="36-45"/>
    <s v="6-10 Years"/>
  </r>
  <r>
    <s v="EMP0363"/>
    <n v="26"/>
    <s v="Male"/>
    <x v="2"/>
    <s v="IT Manager"/>
    <s v="MBA"/>
    <n v="60992"/>
    <n v="1"/>
    <n v="2"/>
    <n v="2"/>
    <n v="2"/>
    <n v="1"/>
    <n v="4"/>
    <s v="No"/>
    <s v="Travel_Rarely"/>
    <n v="25"/>
    <n v="35"/>
    <n v="3"/>
    <s v="No"/>
    <n v="8"/>
    <x v="0"/>
    <d v="2019-10-11T00:00:00"/>
    <d v="2020-10-01T00:00:00"/>
    <s v="2020-10-01"/>
    <s v="26-35"/>
    <s v="0-1 Year"/>
  </r>
  <r>
    <s v="EMP0364"/>
    <n v="53"/>
    <s v="Female"/>
    <x v="4"/>
    <s v="HR Executive"/>
    <s v="B.Com"/>
    <n v="106529"/>
    <n v="10"/>
    <n v="29"/>
    <n v="4"/>
    <n v="2"/>
    <n v="1"/>
    <n v="4"/>
    <s v="Yes"/>
    <s v="Travel_Rarely"/>
    <n v="17"/>
    <n v="21"/>
    <n v="3"/>
    <s v="No"/>
    <n v="4"/>
    <x v="1"/>
    <d v="2012-09-03T00:00:00"/>
    <m/>
    <s v="Active"/>
    <s v="46-55"/>
    <s v="6-10 Years"/>
  </r>
  <r>
    <s v="EMP0365"/>
    <n v="41"/>
    <s v="Male"/>
    <x v="0"/>
    <s v="Finance Manager"/>
    <s v="BBA"/>
    <n v="43183"/>
    <n v="1"/>
    <n v="17"/>
    <n v="1"/>
    <n v="4"/>
    <n v="1"/>
    <n v="2"/>
    <s v="No"/>
    <s v="Travel_Rarely"/>
    <n v="15"/>
    <n v="39"/>
    <n v="3"/>
    <s v="No"/>
    <n v="5"/>
    <x v="1"/>
    <d v="2023-11-11T00:00:00"/>
    <m/>
    <s v="Active"/>
    <s v="36-45"/>
    <s v="0-1 Year"/>
  </r>
  <r>
    <s v="EMP0366"/>
    <n v="56"/>
    <s v="Male"/>
    <x v="3"/>
    <s v="Operations Executive"/>
    <s v="MBA"/>
    <n v="97034"/>
    <n v="6"/>
    <n v="32"/>
    <n v="4"/>
    <n v="4"/>
    <n v="3"/>
    <n v="1"/>
    <s v="No"/>
    <s v="Travel_Rarely"/>
    <n v="22"/>
    <n v="26"/>
    <n v="3"/>
    <s v="No"/>
    <n v="6"/>
    <x v="1"/>
    <d v="2020-02-17T00:00:00"/>
    <m/>
    <s v="Active"/>
    <s v="56+"/>
    <s v="6-10 Years"/>
  </r>
  <r>
    <s v="EMP0367"/>
    <n v="57"/>
    <s v="Female"/>
    <x v="1"/>
    <s v="Sales Executive"/>
    <s v="MBA"/>
    <n v="154499"/>
    <n v="27"/>
    <n v="35"/>
    <n v="5"/>
    <n v="4"/>
    <n v="3"/>
    <n v="1"/>
    <s v="No"/>
    <s v="Travel_Rarely"/>
    <n v="9"/>
    <n v="22"/>
    <n v="3"/>
    <s v="No"/>
    <n v="4"/>
    <x v="1"/>
    <d v="2018-07-12T00:00:00"/>
    <m/>
    <s v="Active"/>
    <s v="56+"/>
    <s v="10+ Years"/>
  </r>
  <r>
    <s v="EMP0368"/>
    <n v="45"/>
    <s v="Male"/>
    <x v="5"/>
    <s v="Marketing Analyst"/>
    <s v="B.Com"/>
    <n v="85028"/>
    <n v="8"/>
    <n v="22"/>
    <n v="3"/>
    <n v="2"/>
    <n v="4"/>
    <n v="2"/>
    <s v="No"/>
    <s v="Travel_Rarely"/>
    <n v="11"/>
    <n v="40"/>
    <n v="4"/>
    <s v="No"/>
    <n v="4"/>
    <x v="1"/>
    <d v="2023-05-05T00:00:00"/>
    <m/>
    <s v="Active"/>
    <s v="36-45"/>
    <s v="6-10 Years"/>
  </r>
  <r>
    <s v="EMP0369"/>
    <n v="35"/>
    <s v="Male"/>
    <x v="4"/>
    <s v="HR Manager"/>
    <s v="B.Com"/>
    <n v="119181"/>
    <n v="10"/>
    <n v="14"/>
    <n v="5"/>
    <n v="3"/>
    <n v="1"/>
    <n v="1"/>
    <s v="No"/>
    <s v="Travel_Rarely"/>
    <n v="22"/>
    <n v="14"/>
    <n v="2"/>
    <s v="No"/>
    <n v="3"/>
    <x v="1"/>
    <d v="2013-07-10T00:00:00"/>
    <m/>
    <s v="Active"/>
    <s v="26-35"/>
    <s v="6-10 Years"/>
  </r>
  <r>
    <s v="EMP0370"/>
    <n v="33"/>
    <s v="Male"/>
    <x v="4"/>
    <s v="HR Executive"/>
    <s v="B.A"/>
    <n v="120138"/>
    <n v="10"/>
    <n v="11"/>
    <n v="5"/>
    <n v="1"/>
    <n v="1"/>
    <n v="4"/>
    <s v="No"/>
    <s v="Travel_Rarely"/>
    <n v="4"/>
    <n v="37"/>
    <n v="2"/>
    <s v="No"/>
    <n v="3"/>
    <x v="1"/>
    <d v="2014-11-12T00:00:00"/>
    <m/>
    <s v="Active"/>
    <s v="26-35"/>
    <s v="6-10 Years"/>
  </r>
  <r>
    <s v="EMP0371"/>
    <n v="39"/>
    <s v="Male"/>
    <x v="0"/>
    <s v="Finance Manager"/>
    <s v="B.Com"/>
    <n v="44234"/>
    <n v="0"/>
    <n v="15"/>
    <n v="1"/>
    <n v="1"/>
    <n v="3"/>
    <n v="1"/>
    <s v="Yes"/>
    <s v="Non-Travel"/>
    <n v="26"/>
    <n v="13"/>
    <n v="2"/>
    <s v="No"/>
    <n v="8"/>
    <x v="0"/>
    <d v="2021-02-20T00:00:00"/>
    <d v="2022-11-22T00:00:00"/>
    <s v="2022-11-22"/>
    <s v="36-45"/>
    <s v="0-1 Year"/>
  </r>
  <r>
    <s v="EMP0372"/>
    <n v="24"/>
    <s v="Male"/>
    <x v="0"/>
    <s v="Finance Manager"/>
    <s v="B.Com"/>
    <n v="54381"/>
    <n v="0"/>
    <n v="2"/>
    <n v="2"/>
    <n v="1"/>
    <n v="1"/>
    <n v="3"/>
    <s v="No"/>
    <s v="Travel_Rarely"/>
    <n v="17"/>
    <n v="21"/>
    <n v="3"/>
    <s v="No"/>
    <n v="4"/>
    <x v="0"/>
    <d v="2014-05-14T00:00:00"/>
    <d v="2016-08-07T00:00:00"/>
    <s v="2016-08-07"/>
    <s v="18-25"/>
    <s v="0-1 Year"/>
  </r>
  <r>
    <s v="EMP0373"/>
    <n v="31"/>
    <s v="Male"/>
    <x v="1"/>
    <s v="Sales Executive"/>
    <s v="M.Tech"/>
    <n v="58001"/>
    <n v="1"/>
    <n v="8"/>
    <n v="2"/>
    <n v="1"/>
    <n v="4"/>
    <n v="3"/>
    <s v="No"/>
    <s v="Travel_Rarely"/>
    <n v="1"/>
    <n v="14"/>
    <n v="3"/>
    <s v="No"/>
    <n v="7"/>
    <x v="1"/>
    <d v="2020-03-31T00:00:00"/>
    <m/>
    <s v="Active"/>
    <s v="26-35"/>
    <s v="0-1 Year"/>
  </r>
  <r>
    <s v="EMP0374"/>
    <n v="49"/>
    <s v="Female"/>
    <x v="5"/>
    <s v="Marketing Manager"/>
    <s v="MBA"/>
    <n v="42316"/>
    <n v="0"/>
    <n v="28"/>
    <n v="1"/>
    <n v="2"/>
    <n v="2"/>
    <n v="2"/>
    <s v="No"/>
    <s v="Travel_Rarely"/>
    <n v="26"/>
    <n v="42"/>
    <n v="4"/>
    <s v="No"/>
    <n v="4"/>
    <x v="1"/>
    <d v="2020-07-30T00:00:00"/>
    <m/>
    <s v="Active"/>
    <s v="46-55"/>
    <s v="0-1 Year"/>
  </r>
  <r>
    <s v="EMP0375"/>
    <n v="52"/>
    <s v="Male"/>
    <x v="5"/>
    <s v="Marketing Analyst"/>
    <s v="MBA"/>
    <n v="63282"/>
    <n v="2"/>
    <n v="31"/>
    <n v="2"/>
    <n v="2"/>
    <n v="1"/>
    <n v="2"/>
    <s v="No"/>
    <s v="Travel_Rarely"/>
    <n v="3"/>
    <n v="43"/>
    <n v="3"/>
    <s v="No"/>
    <n v="4"/>
    <x v="1"/>
    <d v="2013-02-19T00:00:00"/>
    <m/>
    <s v="Active"/>
    <s v="46-55"/>
    <s v="2-3 Years"/>
  </r>
  <r>
    <s v="EMP0376"/>
    <n v="42"/>
    <s v="Female"/>
    <x v="5"/>
    <s v="Marketing Manager"/>
    <s v="MBA"/>
    <n v="89616"/>
    <n v="8"/>
    <n v="21"/>
    <n v="3"/>
    <n v="1"/>
    <n v="2"/>
    <n v="3"/>
    <s v="No"/>
    <s v="Travel_Rarely"/>
    <n v="6"/>
    <n v="26"/>
    <n v="3"/>
    <s v="Yes"/>
    <n v="8"/>
    <x v="1"/>
    <d v="2023-09-08T00:00:00"/>
    <m/>
    <s v="Active"/>
    <s v="36-45"/>
    <s v="6-10 Years"/>
  </r>
  <r>
    <s v="EMP0377"/>
    <n v="25"/>
    <s v="Male"/>
    <x v="2"/>
    <s v="Data Analyst"/>
    <s v="B.Com"/>
    <n v="37380"/>
    <n v="0"/>
    <n v="4"/>
    <n v="1"/>
    <n v="4"/>
    <n v="3"/>
    <n v="4"/>
    <s v="Yes"/>
    <s v="Travel_Frequently"/>
    <n v="2"/>
    <n v="28"/>
    <n v="3"/>
    <s v="No"/>
    <n v="7"/>
    <x v="1"/>
    <d v="2012-04-06T00:00:00"/>
    <m/>
    <s v="Active"/>
    <s v="18-25"/>
    <s v="0-1 Year"/>
  </r>
  <r>
    <s v="EMP0378"/>
    <n v="40"/>
    <s v="Male"/>
    <x v="1"/>
    <s v="Sales Executive"/>
    <s v="B.Tech"/>
    <n v="133088"/>
    <n v="16"/>
    <n v="17"/>
    <n v="5"/>
    <n v="1"/>
    <n v="4"/>
    <n v="4"/>
    <s v="No"/>
    <s v="Travel_Rarely"/>
    <n v="6"/>
    <n v="50"/>
    <n v="3"/>
    <s v="Yes"/>
    <n v="5"/>
    <x v="0"/>
    <d v="2016-09-14T00:00:00"/>
    <d v="2018-11-02T00:00:00"/>
    <s v="2018-11-02"/>
    <s v="36-45"/>
    <s v="10+ Years"/>
  </r>
  <r>
    <s v="EMP0379"/>
    <n v="40"/>
    <s v="Male"/>
    <x v="0"/>
    <s v="Financial Analyst"/>
    <s v="B.Tech"/>
    <n v="131952"/>
    <n v="17"/>
    <n v="17"/>
    <n v="5"/>
    <n v="3"/>
    <n v="4"/>
    <n v="3"/>
    <s v="No"/>
    <s v="Travel_Rarely"/>
    <n v="11"/>
    <n v="57"/>
    <n v="3"/>
    <s v="Yes"/>
    <n v="6"/>
    <x v="0"/>
    <d v="2016-12-01T00:00:00"/>
    <d v="2017-12-03T00:00:00"/>
    <s v="2017-12-03"/>
    <s v="36-45"/>
    <s v="10+ Years"/>
  </r>
  <r>
    <s v="EMP0380"/>
    <n v="24"/>
    <s v="Female"/>
    <x v="1"/>
    <s v="Sales Manager"/>
    <s v="MBA"/>
    <n v="43584"/>
    <n v="1"/>
    <n v="1"/>
    <n v="1"/>
    <n v="2"/>
    <n v="2"/>
    <n v="1"/>
    <s v="No"/>
    <s v="Travel_Rarely"/>
    <n v="2"/>
    <n v="55"/>
    <n v="3"/>
    <s v="No"/>
    <n v="4"/>
    <x v="1"/>
    <d v="2016-05-08T00:00:00"/>
    <m/>
    <s v="Active"/>
    <s v="18-25"/>
    <s v="0-1 Year"/>
  </r>
  <r>
    <s v="EMP0381"/>
    <n v="31"/>
    <s v="Male"/>
    <x v="1"/>
    <s v="Sales Manager"/>
    <s v="M.Tech"/>
    <n v="84888"/>
    <n v="5"/>
    <n v="10"/>
    <n v="3"/>
    <n v="3"/>
    <n v="2"/>
    <n v="4"/>
    <s v="No"/>
    <s v="Travel_Frequently"/>
    <n v="18"/>
    <n v="31"/>
    <n v="3"/>
    <s v="No"/>
    <n v="5"/>
    <x v="0"/>
    <d v="2021-09-12T00:00:00"/>
    <d v="2023-12-18T00:00:00"/>
    <s v="2023-12-18"/>
    <s v="26-35"/>
    <s v="4-5 Years"/>
  </r>
  <r>
    <s v="EMP0382"/>
    <n v="26"/>
    <s v="Male"/>
    <x v="3"/>
    <s v="Operations Executive"/>
    <s v="BBA"/>
    <n v="60308"/>
    <n v="2"/>
    <n v="5"/>
    <n v="2"/>
    <n v="2"/>
    <n v="2"/>
    <n v="4"/>
    <s v="No"/>
    <s v="Travel_Rarely"/>
    <n v="15"/>
    <n v="55"/>
    <n v="3"/>
    <s v="No"/>
    <n v="8"/>
    <x v="1"/>
    <d v="2014-11-04T00:00:00"/>
    <m/>
    <s v="Active"/>
    <s v="26-35"/>
    <s v="2-3 Years"/>
  </r>
  <r>
    <s v="EMP0383"/>
    <n v="24"/>
    <s v="Male"/>
    <x v="2"/>
    <s v="IT Manager"/>
    <s v="B.Com"/>
    <n v="74831"/>
    <n v="3"/>
    <n v="3"/>
    <n v="3"/>
    <n v="1"/>
    <n v="1"/>
    <n v="2"/>
    <s v="Yes"/>
    <s v="Travel_Frequently"/>
    <n v="11"/>
    <n v="24"/>
    <n v="3"/>
    <s v="No"/>
    <n v="6"/>
    <x v="1"/>
    <d v="2022-01-18T00:00:00"/>
    <m/>
    <s v="Active"/>
    <s v="18-25"/>
    <s v="2-3 Years"/>
  </r>
  <r>
    <s v="EMP0384"/>
    <n v="35"/>
    <s v="Female"/>
    <x v="5"/>
    <s v="Marketing Analyst"/>
    <s v="BBA"/>
    <n v="45318"/>
    <n v="2"/>
    <n v="11"/>
    <n v="1"/>
    <n v="1"/>
    <n v="1"/>
    <n v="1"/>
    <s v="Yes"/>
    <s v="Travel_Rarely"/>
    <n v="16"/>
    <n v="40"/>
    <n v="3"/>
    <s v="No"/>
    <n v="7"/>
    <x v="1"/>
    <d v="2018-11-02T00:00:00"/>
    <m/>
    <s v="Active"/>
    <s v="26-35"/>
    <s v="2-3 Years"/>
  </r>
  <r>
    <s v="EMP0385"/>
    <n v="59"/>
    <s v="Male"/>
    <x v="4"/>
    <s v="HR Executive"/>
    <s v="B.Com"/>
    <n v="101955"/>
    <n v="7"/>
    <n v="36"/>
    <n v="4"/>
    <n v="3"/>
    <n v="4"/>
    <n v="1"/>
    <s v="Yes"/>
    <s v="Travel_Rarely"/>
    <n v="21"/>
    <n v="35"/>
    <n v="3"/>
    <s v="No"/>
    <n v="3"/>
    <x v="1"/>
    <d v="2012-06-27T00:00:00"/>
    <m/>
    <s v="Active"/>
    <s v="56+"/>
    <s v="6-10 Years"/>
  </r>
  <r>
    <s v="EMP0386"/>
    <n v="53"/>
    <s v="Male"/>
    <x v="2"/>
    <s v="Software Engineer"/>
    <s v="B.A"/>
    <n v="153809"/>
    <n v="28"/>
    <n v="29"/>
    <n v="5"/>
    <n v="1"/>
    <n v="4"/>
    <n v="1"/>
    <s v="No"/>
    <s v="Travel_Frequently"/>
    <n v="6"/>
    <n v="42"/>
    <n v="3"/>
    <s v="No"/>
    <n v="4"/>
    <x v="1"/>
    <d v="2015-07-16T00:00:00"/>
    <m/>
    <s v="Active"/>
    <s v="46-55"/>
    <s v="10+ Years"/>
  </r>
  <r>
    <s v="EMP0387"/>
    <n v="28"/>
    <s v="Female"/>
    <x v="3"/>
    <s v="Operations Executive"/>
    <s v="B.Com"/>
    <n v="64182"/>
    <n v="4"/>
    <n v="7"/>
    <n v="2"/>
    <n v="2"/>
    <n v="2"/>
    <n v="1"/>
    <s v="Yes"/>
    <s v="Non-Travel"/>
    <n v="3"/>
    <n v="19"/>
    <n v="4"/>
    <s v="No"/>
    <n v="5"/>
    <x v="0"/>
    <d v="2014-04-07T00:00:00"/>
    <d v="2015-09-19T00:00:00"/>
    <s v="2015-09-19"/>
    <s v="26-35"/>
    <s v="4-5 Years"/>
  </r>
  <r>
    <s v="EMP0388"/>
    <n v="28"/>
    <s v="Male"/>
    <x v="4"/>
    <s v="HR Manager"/>
    <s v="BBA"/>
    <n v="60768"/>
    <n v="4"/>
    <n v="7"/>
    <n v="2"/>
    <n v="3"/>
    <n v="3"/>
    <n v="1"/>
    <s v="No"/>
    <s v="Travel_Rarely"/>
    <n v="20"/>
    <n v="50"/>
    <n v="3"/>
    <s v="No"/>
    <n v="0"/>
    <x v="0"/>
    <d v="2021-05-28T00:00:00"/>
    <d v="2023-10-10T00:00:00"/>
    <s v="2023-10-10"/>
    <s v="26-35"/>
    <s v="4-5 Years"/>
  </r>
  <r>
    <s v="EMP0389"/>
    <n v="54"/>
    <s v="Male"/>
    <x v="0"/>
    <s v="Financial Analyst"/>
    <s v="MBA"/>
    <n v="105892"/>
    <n v="11"/>
    <n v="33"/>
    <n v="4"/>
    <n v="3"/>
    <n v="4"/>
    <n v="4"/>
    <s v="Yes"/>
    <s v="Travel_Rarely"/>
    <n v="25"/>
    <n v="48"/>
    <n v="4"/>
    <s v="No"/>
    <n v="3"/>
    <x v="1"/>
    <d v="2021-05-17T00:00:00"/>
    <m/>
    <s v="Active"/>
    <s v="46-55"/>
    <s v="10+ Years"/>
  </r>
  <r>
    <s v="EMP0390"/>
    <n v="53"/>
    <s v="Female"/>
    <x v="2"/>
    <s v="IT Manager"/>
    <s v="MBA"/>
    <n v="138885"/>
    <n v="20"/>
    <n v="31"/>
    <n v="5"/>
    <n v="4"/>
    <n v="3"/>
    <n v="3"/>
    <s v="No"/>
    <s v="Travel_Rarely"/>
    <n v="20"/>
    <n v="59"/>
    <n v="3"/>
    <s v="Yes"/>
    <n v="3"/>
    <x v="0"/>
    <d v="2018-06-25T00:00:00"/>
    <d v="2019-11-07T00:00:00"/>
    <s v="2019-11-07"/>
    <s v="46-55"/>
    <s v="10+ Years"/>
  </r>
  <r>
    <s v="EMP0391"/>
    <n v="35"/>
    <s v="Male"/>
    <x v="4"/>
    <s v="HR Manager"/>
    <s v="M.Tech"/>
    <n v="121023"/>
    <n v="10"/>
    <n v="12"/>
    <n v="5"/>
    <n v="3"/>
    <n v="1"/>
    <n v="4"/>
    <s v="No"/>
    <s v="Travel_Rarely"/>
    <n v="13"/>
    <n v="45"/>
    <n v="3"/>
    <s v="No"/>
    <n v="5"/>
    <x v="1"/>
    <d v="2015-06-09T00:00:00"/>
    <m/>
    <s v="Active"/>
    <s v="26-35"/>
    <s v="6-10 Years"/>
  </r>
  <r>
    <s v="EMP0392"/>
    <n v="52"/>
    <s v="Male"/>
    <x v="0"/>
    <s v="Finance Manager"/>
    <s v="B.A"/>
    <n v="77799"/>
    <n v="5"/>
    <n v="31"/>
    <n v="3"/>
    <n v="4"/>
    <n v="2"/>
    <n v="2"/>
    <s v="No"/>
    <s v="Travel_Rarely"/>
    <n v="8"/>
    <n v="52"/>
    <n v="3"/>
    <s v="Yes"/>
    <n v="3"/>
    <x v="1"/>
    <d v="2017-08-02T00:00:00"/>
    <m/>
    <s v="Active"/>
    <s v="46-55"/>
    <s v="4-5 Years"/>
  </r>
  <r>
    <s v="EMP0393"/>
    <n v="27"/>
    <s v="Male"/>
    <x v="4"/>
    <s v="HR Manager"/>
    <s v="B.Tech"/>
    <n v="60590"/>
    <n v="3"/>
    <n v="3"/>
    <n v="2"/>
    <n v="1"/>
    <n v="2"/>
    <n v="3"/>
    <s v="No"/>
    <s v="Travel_Rarely"/>
    <n v="16"/>
    <n v="57"/>
    <n v="3"/>
    <s v="No"/>
    <n v="4"/>
    <x v="0"/>
    <d v="2019-12-27T00:00:00"/>
    <d v="2021-09-19T00:00:00"/>
    <s v="2021-09-19"/>
    <s v="26-35"/>
    <s v="2-3 Years"/>
  </r>
  <r>
    <s v="EMP0394"/>
    <n v="56"/>
    <s v="Female"/>
    <x v="4"/>
    <s v="HR Executive"/>
    <s v="M.Tech"/>
    <n v="38884"/>
    <n v="0"/>
    <n v="33"/>
    <n v="1"/>
    <n v="4"/>
    <n v="4"/>
    <n v="1"/>
    <s v="Yes"/>
    <s v="Travel_Frequently"/>
    <n v="24"/>
    <n v="47"/>
    <n v="3"/>
    <s v="No"/>
    <n v="8"/>
    <x v="1"/>
    <d v="2015-10-06T00:00:00"/>
    <m/>
    <s v="Active"/>
    <s v="56+"/>
    <s v="0-1 Year"/>
  </r>
  <r>
    <s v="EMP0395"/>
    <n v="53"/>
    <s v="Male"/>
    <x v="4"/>
    <s v="HR Executive"/>
    <s v="B.A"/>
    <n v="53690"/>
    <n v="0"/>
    <n v="30"/>
    <n v="2"/>
    <n v="1"/>
    <n v="3"/>
    <n v="4"/>
    <s v="No"/>
    <s v="Travel_Frequently"/>
    <n v="13"/>
    <n v="24"/>
    <n v="3"/>
    <s v="No"/>
    <n v="4"/>
    <x v="1"/>
    <d v="2018-01-07T00:00:00"/>
    <m/>
    <s v="Active"/>
    <s v="46-55"/>
    <s v="0-1 Year"/>
  </r>
  <r>
    <s v="EMP0396"/>
    <n v="31"/>
    <s v="Female"/>
    <x v="1"/>
    <s v="Sales Executive"/>
    <s v="B.Tech"/>
    <n v="102828"/>
    <n v="7"/>
    <n v="10"/>
    <n v="4"/>
    <n v="2"/>
    <n v="4"/>
    <n v="2"/>
    <s v="No"/>
    <s v="Travel_Rarely"/>
    <n v="19"/>
    <n v="16"/>
    <n v="3"/>
    <s v="No"/>
    <n v="12"/>
    <x v="1"/>
    <d v="2021-11-21T00:00:00"/>
    <m/>
    <s v="Active"/>
    <s v="26-35"/>
    <s v="6-10 Years"/>
  </r>
  <r>
    <s v="EMP0397"/>
    <n v="47"/>
    <s v="Female"/>
    <x v="0"/>
    <s v="Financial Analyst"/>
    <s v="BBA"/>
    <n v="141354"/>
    <n v="20"/>
    <n v="24"/>
    <n v="5"/>
    <n v="3"/>
    <n v="2"/>
    <n v="3"/>
    <s v="No"/>
    <s v="Travel_Rarely"/>
    <n v="9"/>
    <n v="51"/>
    <n v="4"/>
    <s v="No"/>
    <n v="8"/>
    <x v="1"/>
    <d v="2015-01-23T00:00:00"/>
    <m/>
    <s v="Active"/>
    <s v="46-55"/>
    <s v="10+ Years"/>
  </r>
  <r>
    <s v="EMP0398"/>
    <n v="51"/>
    <s v="Male"/>
    <x v="5"/>
    <s v="Marketing Analyst"/>
    <s v="MBA"/>
    <n v="100529"/>
    <n v="8"/>
    <n v="29"/>
    <n v="4"/>
    <n v="3"/>
    <n v="4"/>
    <n v="3"/>
    <s v="No"/>
    <s v="Travel_Rarely"/>
    <n v="18"/>
    <n v="51"/>
    <n v="3"/>
    <s v="No"/>
    <n v="3"/>
    <x v="1"/>
    <d v="2014-07-11T00:00:00"/>
    <m/>
    <s v="Active"/>
    <s v="46-55"/>
    <s v="6-10 Years"/>
  </r>
  <r>
    <s v="EMP0399"/>
    <n v="23"/>
    <s v="Female"/>
    <x v="5"/>
    <s v="Marketing Analyst"/>
    <s v="M.Tech"/>
    <n v="57109"/>
    <n v="0"/>
    <n v="1"/>
    <n v="2"/>
    <n v="4"/>
    <n v="3"/>
    <n v="4"/>
    <s v="No"/>
    <s v="Travel_Rarely"/>
    <n v="21"/>
    <n v="51"/>
    <n v="3"/>
    <s v="No"/>
    <n v="7"/>
    <x v="1"/>
    <d v="2022-10-22T00:00:00"/>
    <m/>
    <s v="Active"/>
    <s v="18-25"/>
    <s v="0-1 Year"/>
  </r>
  <r>
    <s v="EMP0400"/>
    <n v="39"/>
    <s v="Male"/>
    <x v="1"/>
    <s v="Sales Executive"/>
    <s v="B.Tech"/>
    <n v="123081"/>
    <n v="13"/>
    <n v="16"/>
    <n v="5"/>
    <n v="4"/>
    <n v="3"/>
    <n v="2"/>
    <s v="No"/>
    <s v="Non-Travel"/>
    <n v="26"/>
    <n v="59"/>
    <n v="3"/>
    <s v="Yes"/>
    <n v="5"/>
    <x v="1"/>
    <d v="2013-08-17T00:00:00"/>
    <m/>
    <s v="Active"/>
    <s v="36-45"/>
    <s v="10+ Years"/>
  </r>
  <r>
    <s v="EMP0401"/>
    <n v="46"/>
    <s v="Female"/>
    <x v="5"/>
    <s v="Marketing Analyst"/>
    <s v="M.Tech"/>
    <n v="42957"/>
    <n v="0"/>
    <n v="22"/>
    <n v="1"/>
    <n v="4"/>
    <n v="4"/>
    <n v="1"/>
    <s v="No"/>
    <s v="Travel_Rarely"/>
    <n v="20"/>
    <n v="13"/>
    <n v="3"/>
    <s v="No"/>
    <n v="3"/>
    <x v="1"/>
    <d v="2019-01-19T00:00:00"/>
    <m/>
    <s v="Active"/>
    <s v="46-55"/>
    <s v="0-1 Year"/>
  </r>
  <r>
    <s v="EMP0402"/>
    <n v="38"/>
    <s v="Male"/>
    <x v="2"/>
    <s v="IT Manager"/>
    <s v="MBA"/>
    <n v="43414"/>
    <n v="1"/>
    <n v="17"/>
    <n v="1"/>
    <n v="3"/>
    <n v="1"/>
    <n v="2"/>
    <s v="No"/>
    <s v="Travel_Rarely"/>
    <n v="10"/>
    <n v="38"/>
    <n v="3"/>
    <s v="No"/>
    <n v="9"/>
    <x v="1"/>
    <d v="2020-08-14T00:00:00"/>
    <m/>
    <s v="Active"/>
    <s v="36-45"/>
    <s v="0-1 Year"/>
  </r>
  <r>
    <s v="EMP0403"/>
    <n v="37"/>
    <s v="Male"/>
    <x v="0"/>
    <s v="Finance Manager"/>
    <s v="MBA"/>
    <n v="81770"/>
    <n v="7"/>
    <n v="14"/>
    <n v="3"/>
    <n v="4"/>
    <n v="2"/>
    <n v="1"/>
    <s v="Yes"/>
    <s v="Travel_Rarely"/>
    <n v="26"/>
    <n v="21"/>
    <n v="3"/>
    <s v="No"/>
    <n v="3"/>
    <x v="1"/>
    <d v="2019-11-21T00:00:00"/>
    <m/>
    <s v="Active"/>
    <s v="36-45"/>
    <s v="6-10 Years"/>
  </r>
  <r>
    <s v="EMP0404"/>
    <n v="47"/>
    <s v="Female"/>
    <x v="3"/>
    <s v="Operations Manager"/>
    <s v="BBA"/>
    <n v="105741"/>
    <n v="9"/>
    <n v="24"/>
    <n v="4"/>
    <n v="2"/>
    <n v="4"/>
    <n v="3"/>
    <s v="No"/>
    <s v="Travel_Frequently"/>
    <n v="22"/>
    <n v="34"/>
    <n v="3"/>
    <s v="Yes"/>
    <n v="4"/>
    <x v="1"/>
    <d v="2019-05-06T00:00:00"/>
    <m/>
    <s v="Active"/>
    <s v="46-55"/>
    <s v="6-10 Years"/>
  </r>
  <r>
    <s v="EMP0405"/>
    <n v="47"/>
    <s v="Female"/>
    <x v="5"/>
    <s v="Marketing Analyst"/>
    <s v="MBA"/>
    <n v="125629"/>
    <n v="11"/>
    <n v="26"/>
    <n v="5"/>
    <n v="1"/>
    <n v="2"/>
    <n v="1"/>
    <s v="Yes"/>
    <s v="Travel_Rarely"/>
    <n v="29"/>
    <n v="18"/>
    <n v="3"/>
    <s v="Yes"/>
    <n v="4"/>
    <x v="1"/>
    <d v="2015-10-22T00:00:00"/>
    <m/>
    <s v="Active"/>
    <s v="46-55"/>
    <s v="10+ Years"/>
  </r>
  <r>
    <s v="EMP0406"/>
    <n v="46"/>
    <s v="Male"/>
    <x v="2"/>
    <s v="Software Engineer"/>
    <s v="B.A"/>
    <n v="128399"/>
    <n v="15"/>
    <n v="22"/>
    <n v="5"/>
    <n v="3"/>
    <n v="4"/>
    <n v="3"/>
    <s v="No"/>
    <s v="Travel_Rarely"/>
    <n v="16"/>
    <n v="28"/>
    <n v="3"/>
    <s v="No"/>
    <n v="4"/>
    <x v="1"/>
    <d v="2018-07-24T00:00:00"/>
    <m/>
    <s v="Active"/>
    <s v="46-55"/>
    <s v="10+ Years"/>
  </r>
  <r>
    <s v="EMP0407"/>
    <n v="22"/>
    <s v="Female"/>
    <x v="2"/>
    <s v="Data Analyst"/>
    <s v="B.Com"/>
    <n v="59096"/>
    <n v="0"/>
    <n v="1"/>
    <n v="2"/>
    <n v="2"/>
    <n v="1"/>
    <n v="4"/>
    <s v="Yes"/>
    <s v="Travel_Rarely"/>
    <n v="15"/>
    <n v="52"/>
    <n v="3"/>
    <s v="No"/>
    <n v="3"/>
    <x v="1"/>
    <d v="2021-02-06T00:00:00"/>
    <m/>
    <s v="Active"/>
    <s v="18-25"/>
    <s v="0-1 Year"/>
  </r>
  <r>
    <s v="EMP0408"/>
    <n v="31"/>
    <s v="Male"/>
    <x v="3"/>
    <s v="Operations Executive"/>
    <s v="MBA"/>
    <n v="55753"/>
    <n v="1"/>
    <n v="10"/>
    <n v="2"/>
    <n v="1"/>
    <n v="2"/>
    <n v="4"/>
    <s v="No"/>
    <s v="Travel_Rarely"/>
    <n v="16"/>
    <n v="20"/>
    <n v="3"/>
    <s v="No"/>
    <n v="1"/>
    <x v="0"/>
    <d v="2015-04-03T00:00:00"/>
    <d v="2016-12-17T00:00:00"/>
    <s v="2016-12-17"/>
    <s v="26-35"/>
    <s v="0-1 Year"/>
  </r>
  <r>
    <s v="EMP0409"/>
    <n v="31"/>
    <s v="Female"/>
    <x v="3"/>
    <s v="Operations Executive"/>
    <s v="B.Tech"/>
    <n v="99894"/>
    <n v="8"/>
    <n v="8"/>
    <n v="4"/>
    <n v="2"/>
    <n v="4"/>
    <n v="4"/>
    <s v="No"/>
    <s v="Travel_Frequently"/>
    <n v="12"/>
    <n v="26"/>
    <n v="4"/>
    <s v="No"/>
    <n v="6"/>
    <x v="1"/>
    <d v="2012-09-27T00:00:00"/>
    <m/>
    <s v="Active"/>
    <s v="26-35"/>
    <s v="6-10 Years"/>
  </r>
  <r>
    <s v="EMP0410"/>
    <n v="22"/>
    <s v="Male"/>
    <x v="1"/>
    <s v="Sales Manager"/>
    <s v="B.Com"/>
    <n v="56858"/>
    <n v="0"/>
    <n v="1"/>
    <n v="2"/>
    <n v="2"/>
    <n v="4"/>
    <n v="3"/>
    <s v="No"/>
    <s v="Travel_Rarely"/>
    <n v="21"/>
    <n v="14"/>
    <n v="3"/>
    <s v="No"/>
    <n v="1"/>
    <x v="1"/>
    <d v="2016-07-07T00:00:00"/>
    <m/>
    <s v="Active"/>
    <s v="18-25"/>
    <s v="0-1 Year"/>
  </r>
  <r>
    <s v="EMP0411"/>
    <n v="45"/>
    <s v="Female"/>
    <x v="3"/>
    <s v="Operations Manager"/>
    <s v="M.Tech"/>
    <n v="60484"/>
    <n v="4"/>
    <n v="22"/>
    <n v="2"/>
    <n v="3"/>
    <n v="3"/>
    <n v="3"/>
    <s v="No"/>
    <s v="Non-Travel"/>
    <n v="18"/>
    <n v="45"/>
    <n v="3"/>
    <s v="No"/>
    <n v="6"/>
    <x v="1"/>
    <d v="2018-02-01T00:00:00"/>
    <m/>
    <s v="Active"/>
    <s v="36-45"/>
    <s v="4-5 Years"/>
  </r>
  <r>
    <s v="EMP0412"/>
    <n v="52"/>
    <s v="Female"/>
    <x v="2"/>
    <s v="IT Manager"/>
    <s v="B.A"/>
    <n v="80352"/>
    <n v="4"/>
    <n v="28"/>
    <n v="3"/>
    <n v="3"/>
    <n v="4"/>
    <n v="2"/>
    <s v="No"/>
    <s v="Travel_Rarely"/>
    <n v="29"/>
    <n v="18"/>
    <n v="3"/>
    <s v="No"/>
    <n v="2"/>
    <x v="1"/>
    <d v="2022-06-17T00:00:00"/>
    <m/>
    <s v="Active"/>
    <s v="46-55"/>
    <s v="4-5 Years"/>
  </r>
  <r>
    <s v="EMP0413"/>
    <n v="54"/>
    <s v="Male"/>
    <x v="1"/>
    <s v="Sales Executive"/>
    <s v="B.Com"/>
    <n v="84666"/>
    <n v="5"/>
    <n v="31"/>
    <n v="3"/>
    <n v="3"/>
    <n v="1"/>
    <n v="4"/>
    <s v="No"/>
    <s v="Travel_Frequently"/>
    <n v="21"/>
    <n v="19"/>
    <n v="4"/>
    <s v="No"/>
    <n v="7"/>
    <x v="1"/>
    <d v="2012-05-16T00:00:00"/>
    <m/>
    <s v="Active"/>
    <s v="46-55"/>
    <s v="4-5 Years"/>
  </r>
  <r>
    <s v="EMP0414"/>
    <n v="43"/>
    <s v="Male"/>
    <x v="5"/>
    <s v="Marketing Analyst"/>
    <s v="B.A"/>
    <n v="63810"/>
    <n v="5"/>
    <n v="21"/>
    <n v="2"/>
    <n v="4"/>
    <n v="3"/>
    <n v="3"/>
    <s v="No"/>
    <s v="Travel_Rarely"/>
    <n v="13"/>
    <n v="27"/>
    <n v="3"/>
    <s v="Yes"/>
    <n v="3"/>
    <x v="1"/>
    <d v="2019-11-07T00:00:00"/>
    <m/>
    <s v="Active"/>
    <s v="36-45"/>
    <s v="4-5 Years"/>
  </r>
  <r>
    <s v="EMP0415"/>
    <n v="46"/>
    <s v="Female"/>
    <x v="1"/>
    <s v="Sales Manager"/>
    <s v="M.Tech"/>
    <n v="140508"/>
    <n v="20"/>
    <n v="24"/>
    <n v="5"/>
    <n v="4"/>
    <n v="4"/>
    <n v="4"/>
    <s v="No"/>
    <s v="Travel_Rarely"/>
    <n v="6"/>
    <n v="14"/>
    <n v="3"/>
    <s v="Yes"/>
    <n v="9"/>
    <x v="1"/>
    <d v="2013-02-20T00:00:00"/>
    <m/>
    <s v="Active"/>
    <s v="46-55"/>
    <s v="10+ Years"/>
  </r>
  <r>
    <s v="EMP0416"/>
    <n v="52"/>
    <s v="Male"/>
    <x v="3"/>
    <s v="Operations Manager"/>
    <s v="MBA"/>
    <n v="144439"/>
    <n v="20"/>
    <n v="28"/>
    <n v="5"/>
    <n v="3"/>
    <n v="4"/>
    <n v="1"/>
    <s v="No"/>
    <s v="Travel_Frequently"/>
    <n v="19"/>
    <n v="52"/>
    <n v="3"/>
    <s v="Yes"/>
    <n v="5"/>
    <x v="1"/>
    <d v="2020-01-26T00:00:00"/>
    <m/>
    <s v="Active"/>
    <s v="46-55"/>
    <s v="10+ Years"/>
  </r>
  <r>
    <s v="EMP0417"/>
    <n v="55"/>
    <s v="Female"/>
    <x v="1"/>
    <s v="Sales Manager"/>
    <s v="B.Tech"/>
    <n v="97506"/>
    <n v="6"/>
    <n v="33"/>
    <n v="4"/>
    <n v="1"/>
    <n v="1"/>
    <n v="4"/>
    <s v="No"/>
    <s v="Travel_Rarely"/>
    <n v="18"/>
    <n v="39"/>
    <n v="3"/>
    <s v="No"/>
    <n v="4"/>
    <x v="1"/>
    <d v="2019-06-29T00:00:00"/>
    <m/>
    <s v="Active"/>
    <s v="46-55"/>
    <s v="6-10 Years"/>
  </r>
  <r>
    <s v="EMP0418"/>
    <n v="51"/>
    <s v="Female"/>
    <x v="3"/>
    <s v="Operations Manager"/>
    <s v="B.A"/>
    <n v="122387"/>
    <n v="12"/>
    <n v="27"/>
    <n v="5"/>
    <n v="3"/>
    <n v="2"/>
    <n v="3"/>
    <s v="No"/>
    <s v="Travel_Frequently"/>
    <n v="19"/>
    <n v="18"/>
    <n v="3"/>
    <s v="No"/>
    <n v="5"/>
    <x v="0"/>
    <d v="2018-08-25T00:00:00"/>
    <d v="2018-12-16T00:00:00"/>
    <s v="2018-12-16"/>
    <s v="46-55"/>
    <s v="10+ Years"/>
  </r>
  <r>
    <s v="EMP0419"/>
    <n v="50"/>
    <s v="Male"/>
    <x v="0"/>
    <s v="Financial Analyst"/>
    <s v="MBA"/>
    <n v="126866"/>
    <n v="11"/>
    <n v="27"/>
    <n v="5"/>
    <n v="1"/>
    <n v="4"/>
    <n v="3"/>
    <s v="No"/>
    <s v="Travel_Frequently"/>
    <n v="26"/>
    <n v="17"/>
    <n v="4"/>
    <s v="No"/>
    <n v="4"/>
    <x v="1"/>
    <d v="2013-09-26T00:00:00"/>
    <m/>
    <s v="Active"/>
    <s v="46-55"/>
    <s v="10+ Years"/>
  </r>
  <r>
    <s v="EMP0420"/>
    <n v="57"/>
    <s v="Male"/>
    <x v="4"/>
    <s v="HR Executive"/>
    <s v="M.Tech"/>
    <n v="132324"/>
    <n v="15"/>
    <n v="33"/>
    <n v="5"/>
    <n v="3"/>
    <n v="2"/>
    <n v="3"/>
    <s v="Yes"/>
    <s v="Travel_Rarely"/>
    <n v="28"/>
    <n v="23"/>
    <n v="2"/>
    <s v="No"/>
    <n v="5"/>
    <x v="1"/>
    <d v="2016-09-20T00:00:00"/>
    <m/>
    <s v="Active"/>
    <s v="56+"/>
    <s v="10+ Years"/>
  </r>
  <r>
    <s v="EMP0421"/>
    <n v="54"/>
    <s v="Female"/>
    <x v="3"/>
    <s v="Operations Executive"/>
    <s v="MBA"/>
    <n v="132344"/>
    <n v="14"/>
    <n v="31"/>
    <n v="5"/>
    <n v="3"/>
    <n v="3"/>
    <n v="3"/>
    <s v="No"/>
    <s v="Travel_Frequently"/>
    <n v="26"/>
    <n v="44"/>
    <n v="4"/>
    <s v="Yes"/>
    <n v="7"/>
    <x v="1"/>
    <d v="2015-04-13T00:00:00"/>
    <m/>
    <s v="Active"/>
    <s v="46-55"/>
    <s v="10+ Years"/>
  </r>
  <r>
    <s v="EMP0422"/>
    <n v="37"/>
    <s v="Female"/>
    <x v="1"/>
    <s v="Sales Manager"/>
    <s v="MBA"/>
    <n v="126980"/>
    <n v="11"/>
    <n v="13"/>
    <n v="5"/>
    <n v="4"/>
    <n v="4"/>
    <n v="3"/>
    <s v="Yes"/>
    <s v="Travel_Rarely"/>
    <n v="21"/>
    <n v="48"/>
    <n v="3"/>
    <s v="Yes"/>
    <n v="0"/>
    <x v="1"/>
    <d v="2012-01-24T00:00:00"/>
    <m/>
    <s v="Active"/>
    <s v="36-45"/>
    <s v="10+ Years"/>
  </r>
  <r>
    <s v="EMP0423"/>
    <n v="36"/>
    <s v="Male"/>
    <x v="4"/>
    <s v="HR Manager"/>
    <s v="M.Tech"/>
    <n v="81488"/>
    <n v="7"/>
    <n v="13"/>
    <n v="3"/>
    <n v="2"/>
    <n v="2"/>
    <n v="4"/>
    <s v="No"/>
    <s v="Travel_Frequently"/>
    <n v="21"/>
    <n v="38"/>
    <n v="2"/>
    <s v="Yes"/>
    <n v="3"/>
    <x v="1"/>
    <d v="2012-09-15T00:00:00"/>
    <m/>
    <s v="Active"/>
    <s v="36-45"/>
    <s v="6-10 Years"/>
  </r>
  <r>
    <s v="EMP0424"/>
    <n v="36"/>
    <s v="Female"/>
    <x v="2"/>
    <s v="Data Analyst"/>
    <s v="M.Tech"/>
    <n v="117924"/>
    <n v="10"/>
    <n v="13"/>
    <n v="5"/>
    <n v="1"/>
    <n v="1"/>
    <n v="4"/>
    <s v="Yes"/>
    <s v="Travel_Rarely"/>
    <n v="18"/>
    <n v="20"/>
    <n v="4"/>
    <s v="Yes"/>
    <n v="8"/>
    <x v="1"/>
    <d v="2016-01-18T00:00:00"/>
    <m/>
    <s v="Active"/>
    <s v="36-45"/>
    <s v="6-10 Years"/>
  </r>
  <r>
    <s v="EMP0425"/>
    <n v="47"/>
    <s v="Male"/>
    <x v="1"/>
    <s v="Sales Executive"/>
    <s v="B.A"/>
    <n v="142144"/>
    <n v="20"/>
    <n v="26"/>
    <n v="5"/>
    <n v="3"/>
    <n v="3"/>
    <n v="1"/>
    <s v="No"/>
    <s v="Travel_Rarely"/>
    <n v="10"/>
    <n v="56"/>
    <n v="3"/>
    <s v="No"/>
    <n v="8"/>
    <x v="1"/>
    <d v="2020-03-08T00:00:00"/>
    <m/>
    <s v="Active"/>
    <s v="46-55"/>
    <s v="10+ Years"/>
  </r>
  <r>
    <s v="EMP0426"/>
    <n v="44"/>
    <s v="Male"/>
    <x v="5"/>
    <s v="Marketing Manager"/>
    <s v="M.Tech"/>
    <n v="120632"/>
    <n v="10"/>
    <n v="23"/>
    <n v="5"/>
    <n v="1"/>
    <n v="3"/>
    <n v="2"/>
    <s v="No"/>
    <s v="Travel_Rarely"/>
    <n v="4"/>
    <n v="36"/>
    <n v="4"/>
    <s v="No"/>
    <n v="6"/>
    <x v="1"/>
    <d v="2019-05-16T00:00:00"/>
    <m/>
    <s v="Active"/>
    <s v="36-45"/>
    <s v="6-10 Years"/>
  </r>
  <r>
    <s v="EMP0427"/>
    <n v="32"/>
    <s v="Male"/>
    <x v="5"/>
    <s v="Marketing Manager"/>
    <s v="B.Tech"/>
    <n v="58513"/>
    <n v="3"/>
    <n v="10"/>
    <n v="2"/>
    <n v="2"/>
    <n v="3"/>
    <n v="2"/>
    <s v="No"/>
    <s v="Travel_Rarely"/>
    <n v="5"/>
    <n v="18"/>
    <n v="2"/>
    <s v="No"/>
    <n v="4"/>
    <x v="1"/>
    <d v="2017-10-11T00:00:00"/>
    <m/>
    <s v="Active"/>
    <s v="26-35"/>
    <s v="2-3 Years"/>
  </r>
  <r>
    <s v="EMP0428"/>
    <n v="44"/>
    <s v="Female"/>
    <x v="1"/>
    <s v="Sales Executive"/>
    <s v="B.Com"/>
    <n v="59331"/>
    <n v="2"/>
    <n v="21"/>
    <n v="2"/>
    <n v="4"/>
    <n v="3"/>
    <n v="1"/>
    <s v="No"/>
    <s v="Travel_Rarely"/>
    <n v="9"/>
    <n v="26"/>
    <n v="3"/>
    <s v="No"/>
    <n v="6"/>
    <x v="1"/>
    <d v="2017-03-29T00:00:00"/>
    <m/>
    <s v="Active"/>
    <s v="36-45"/>
    <s v="2-3 Years"/>
  </r>
  <r>
    <s v="EMP0429"/>
    <n v="31"/>
    <s v="Female"/>
    <x v="0"/>
    <s v="Financial Analyst"/>
    <s v="B.Tech"/>
    <n v="104557"/>
    <n v="9"/>
    <n v="9"/>
    <n v="4"/>
    <n v="4"/>
    <n v="2"/>
    <n v="4"/>
    <s v="No"/>
    <s v="Travel_Rarely"/>
    <n v="29"/>
    <n v="10"/>
    <n v="3"/>
    <s v="Yes"/>
    <n v="8"/>
    <x v="1"/>
    <d v="2019-06-18T00:00:00"/>
    <m/>
    <s v="Active"/>
    <s v="26-35"/>
    <s v="6-10 Years"/>
  </r>
  <r>
    <s v="EMP0430"/>
    <n v="56"/>
    <s v="Female"/>
    <x v="4"/>
    <s v="HR Executive"/>
    <s v="MBA"/>
    <n v="125110"/>
    <n v="14"/>
    <n v="33"/>
    <n v="5"/>
    <n v="2"/>
    <n v="3"/>
    <n v="4"/>
    <s v="Yes"/>
    <s v="Travel_Rarely"/>
    <n v="25"/>
    <n v="58"/>
    <n v="3"/>
    <s v="No"/>
    <n v="3"/>
    <x v="1"/>
    <d v="2017-03-21T00:00:00"/>
    <m/>
    <s v="Active"/>
    <s v="56+"/>
    <s v="10+ Years"/>
  </r>
  <r>
    <s v="EMP0431"/>
    <n v="35"/>
    <s v="Male"/>
    <x v="1"/>
    <s v="Sales Executive"/>
    <s v="B.A"/>
    <n v="60521"/>
    <n v="3"/>
    <n v="11"/>
    <n v="2"/>
    <n v="4"/>
    <n v="2"/>
    <n v="1"/>
    <s v="No"/>
    <s v="Travel_Rarely"/>
    <n v="21"/>
    <n v="17"/>
    <n v="3"/>
    <s v="No"/>
    <n v="2"/>
    <x v="1"/>
    <d v="2012-07-28T00:00:00"/>
    <m/>
    <s v="Active"/>
    <s v="26-35"/>
    <s v="2-3 Years"/>
  </r>
  <r>
    <s v="EMP0432"/>
    <n v="40"/>
    <s v="Female"/>
    <x v="2"/>
    <s v="IT Manager"/>
    <s v="B.A"/>
    <n v="44254"/>
    <n v="1"/>
    <n v="17"/>
    <n v="1"/>
    <n v="3"/>
    <n v="4"/>
    <n v="3"/>
    <s v="No"/>
    <s v="Travel_Rarely"/>
    <n v="5"/>
    <n v="32"/>
    <n v="2"/>
    <s v="No"/>
    <n v="2"/>
    <x v="1"/>
    <d v="2014-08-07T00:00:00"/>
    <m/>
    <s v="Active"/>
    <s v="36-45"/>
    <s v="0-1 Year"/>
  </r>
  <r>
    <s v="EMP0433"/>
    <n v="49"/>
    <s v="Male"/>
    <x v="3"/>
    <s v="Operations Manager"/>
    <s v="M.Tech"/>
    <n v="42371"/>
    <n v="1"/>
    <n v="26"/>
    <n v="1"/>
    <n v="2"/>
    <n v="4"/>
    <n v="1"/>
    <s v="Yes"/>
    <s v="Travel_Rarely"/>
    <n v="17"/>
    <n v="35"/>
    <n v="3"/>
    <s v="No"/>
    <n v="8"/>
    <x v="1"/>
    <d v="2016-06-14T00:00:00"/>
    <m/>
    <s v="Active"/>
    <s v="46-55"/>
    <s v="0-1 Year"/>
  </r>
  <r>
    <s v="EMP0434"/>
    <n v="36"/>
    <s v="Female"/>
    <x v="4"/>
    <s v="HR Manager"/>
    <s v="M.Tech"/>
    <n v="122553"/>
    <n v="11"/>
    <n v="14"/>
    <n v="5"/>
    <n v="2"/>
    <n v="4"/>
    <n v="1"/>
    <s v="No"/>
    <s v="Travel_Rarely"/>
    <n v="12"/>
    <n v="37"/>
    <n v="3"/>
    <s v="Yes"/>
    <n v="6"/>
    <x v="1"/>
    <d v="2022-03-24T00:00:00"/>
    <m/>
    <s v="Active"/>
    <s v="36-45"/>
    <s v="10+ Years"/>
  </r>
  <r>
    <s v="EMP0435"/>
    <n v="45"/>
    <s v="Female"/>
    <x v="4"/>
    <s v="HR Executive"/>
    <s v="B.Com"/>
    <n v="118527"/>
    <n v="9"/>
    <n v="21"/>
    <n v="5"/>
    <n v="4"/>
    <n v="4"/>
    <n v="4"/>
    <s v="No"/>
    <s v="Travel_Rarely"/>
    <n v="11"/>
    <n v="17"/>
    <n v="3"/>
    <s v="No"/>
    <n v="3"/>
    <x v="1"/>
    <d v="2013-04-04T00:00:00"/>
    <m/>
    <s v="Active"/>
    <s v="36-45"/>
    <s v="6-10 Years"/>
  </r>
  <r>
    <s v="EMP0436"/>
    <n v="57"/>
    <s v="Male"/>
    <x v="4"/>
    <s v="HR Executive"/>
    <s v="B.Com"/>
    <n v="131331"/>
    <n v="16"/>
    <n v="35"/>
    <n v="5"/>
    <n v="3"/>
    <n v="2"/>
    <n v="2"/>
    <s v="No"/>
    <s v="Travel_Frequently"/>
    <n v="22"/>
    <n v="57"/>
    <n v="3"/>
    <s v="Yes"/>
    <n v="3"/>
    <x v="1"/>
    <d v="2013-02-08T00:00:00"/>
    <m/>
    <s v="Active"/>
    <s v="56+"/>
    <s v="10+ Years"/>
  </r>
  <r>
    <s v="EMP0437"/>
    <n v="22"/>
    <s v="Male"/>
    <x v="0"/>
    <s v="Finance Manager"/>
    <s v="B.Tech"/>
    <n v="43622"/>
    <n v="0"/>
    <n v="1"/>
    <n v="1"/>
    <n v="3"/>
    <n v="3"/>
    <n v="2"/>
    <s v="No"/>
    <s v="Travel_Frequently"/>
    <n v="16"/>
    <n v="35"/>
    <n v="2"/>
    <s v="No"/>
    <n v="5"/>
    <x v="1"/>
    <d v="2013-06-24T00:00:00"/>
    <m/>
    <s v="Active"/>
    <s v="18-25"/>
    <s v="0-1 Year"/>
  </r>
  <r>
    <s v="EMP0438"/>
    <n v="40"/>
    <s v="Male"/>
    <x v="0"/>
    <s v="Finance Manager"/>
    <s v="B.Com"/>
    <n v="56185"/>
    <n v="2"/>
    <n v="17"/>
    <n v="2"/>
    <n v="1"/>
    <n v="4"/>
    <n v="1"/>
    <s v="No"/>
    <s v="Travel_Rarely"/>
    <n v="20"/>
    <n v="57"/>
    <n v="3"/>
    <s v="No"/>
    <n v="2"/>
    <x v="1"/>
    <d v="2019-08-02T00:00:00"/>
    <m/>
    <s v="Active"/>
    <s v="36-45"/>
    <s v="2-3 Years"/>
  </r>
  <r>
    <s v="EMP0439"/>
    <n v="27"/>
    <s v="Male"/>
    <x v="2"/>
    <s v="Data Analyst"/>
    <s v="BBA"/>
    <n v="78109"/>
    <n v="3"/>
    <n v="3"/>
    <n v="3"/>
    <n v="2"/>
    <n v="1"/>
    <n v="1"/>
    <s v="Yes"/>
    <s v="Travel_Rarely"/>
    <n v="16"/>
    <n v="16"/>
    <n v="2"/>
    <s v="No"/>
    <n v="7"/>
    <x v="1"/>
    <d v="2016-10-15T00:00:00"/>
    <m/>
    <s v="Active"/>
    <s v="26-35"/>
    <s v="2-3 Years"/>
  </r>
  <r>
    <s v="EMP0440"/>
    <n v="27"/>
    <s v="Male"/>
    <x v="3"/>
    <s v="Operations Manager"/>
    <s v="MBA"/>
    <n v="62188"/>
    <n v="2"/>
    <n v="3"/>
    <n v="2"/>
    <n v="1"/>
    <n v="2"/>
    <n v="4"/>
    <s v="No"/>
    <s v="Travel_Rarely"/>
    <n v="27"/>
    <n v="47"/>
    <n v="3"/>
    <s v="No"/>
    <n v="4"/>
    <x v="0"/>
    <d v="2017-01-14T00:00:00"/>
    <d v="2017-10-09T00:00:00"/>
    <s v="2017-10-09"/>
    <s v="26-35"/>
    <s v="2-3 Years"/>
  </r>
  <r>
    <s v="EMP0441"/>
    <n v="34"/>
    <s v="Female"/>
    <x v="3"/>
    <s v="Operations Executive"/>
    <s v="B.Tech"/>
    <n v="74540"/>
    <n v="3"/>
    <n v="12"/>
    <n v="3"/>
    <n v="3"/>
    <n v="2"/>
    <n v="2"/>
    <s v="No"/>
    <s v="Travel_Rarely"/>
    <n v="17"/>
    <n v="31"/>
    <n v="4"/>
    <s v="No"/>
    <n v="7"/>
    <x v="1"/>
    <d v="2014-02-01T00:00:00"/>
    <m/>
    <s v="Active"/>
    <s v="26-35"/>
    <s v="2-3 Years"/>
  </r>
  <r>
    <s v="EMP0442"/>
    <n v="47"/>
    <s v="Female"/>
    <x v="3"/>
    <s v="Operations Manager"/>
    <s v="BBA"/>
    <n v="130998"/>
    <n v="13"/>
    <n v="24"/>
    <n v="5"/>
    <n v="4"/>
    <n v="3"/>
    <n v="4"/>
    <s v="No"/>
    <s v="Non-Travel"/>
    <n v="13"/>
    <n v="21"/>
    <n v="3"/>
    <s v="Yes"/>
    <n v="0"/>
    <x v="0"/>
    <d v="2013-12-15T00:00:00"/>
    <d v="2015-02-02T00:00:00"/>
    <s v="2015-02-02"/>
    <s v="46-55"/>
    <s v="10+ Years"/>
  </r>
  <r>
    <s v="EMP0443"/>
    <n v="52"/>
    <s v="Male"/>
    <x v="3"/>
    <s v="Operations Executive"/>
    <s v="M.Tech"/>
    <n v="147144"/>
    <n v="24"/>
    <n v="30"/>
    <n v="5"/>
    <n v="2"/>
    <n v="3"/>
    <n v="4"/>
    <s v="Yes"/>
    <s v="Travel_Rarely"/>
    <n v="25"/>
    <n v="24"/>
    <n v="3"/>
    <s v="No"/>
    <n v="4"/>
    <x v="1"/>
    <d v="2015-05-08T00:00:00"/>
    <m/>
    <s v="Active"/>
    <s v="46-55"/>
    <s v="10+ Years"/>
  </r>
  <r>
    <s v="EMP0444"/>
    <n v="35"/>
    <s v="Female"/>
    <x v="0"/>
    <s v="Financial Analyst"/>
    <s v="B.A"/>
    <n v="42709"/>
    <n v="1"/>
    <n v="14"/>
    <n v="1"/>
    <n v="3"/>
    <n v="4"/>
    <n v="4"/>
    <s v="No"/>
    <s v="Travel_Frequently"/>
    <n v="29"/>
    <n v="17"/>
    <n v="3"/>
    <s v="No"/>
    <n v="3"/>
    <x v="1"/>
    <d v="2019-08-25T00:00:00"/>
    <m/>
    <s v="Active"/>
    <s v="26-35"/>
    <s v="0-1 Year"/>
  </r>
  <r>
    <s v="EMP0445"/>
    <n v="52"/>
    <s v="Male"/>
    <x v="0"/>
    <s v="Finance Manager"/>
    <s v="B.A"/>
    <n v="122963"/>
    <n v="12"/>
    <n v="31"/>
    <n v="5"/>
    <n v="4"/>
    <n v="1"/>
    <n v="3"/>
    <s v="No"/>
    <s v="Travel_Rarely"/>
    <n v="11"/>
    <n v="58"/>
    <n v="3"/>
    <s v="No"/>
    <n v="5"/>
    <x v="1"/>
    <d v="2015-04-18T00:00:00"/>
    <m/>
    <s v="Active"/>
    <s v="46-55"/>
    <s v="10+ Years"/>
  </r>
  <r>
    <s v="EMP0446"/>
    <n v="29"/>
    <s v="Female"/>
    <x v="1"/>
    <s v="Sales Manager"/>
    <s v="B.A"/>
    <n v="78944"/>
    <n v="3"/>
    <n v="6"/>
    <n v="3"/>
    <n v="3"/>
    <n v="2"/>
    <n v="2"/>
    <s v="Yes"/>
    <s v="Travel_Rarely"/>
    <n v="5"/>
    <n v="40"/>
    <n v="3"/>
    <s v="No"/>
    <n v="6"/>
    <x v="0"/>
    <d v="2021-01-10T00:00:00"/>
    <d v="2021-10-06T00:00:00"/>
    <s v="2021-10-06"/>
    <s v="26-35"/>
    <s v="2-3 Years"/>
  </r>
  <r>
    <s v="EMP0447"/>
    <n v="43"/>
    <s v="Female"/>
    <x v="2"/>
    <s v="Data Analyst"/>
    <s v="BBA"/>
    <n v="132546"/>
    <n v="14"/>
    <n v="19"/>
    <n v="5"/>
    <n v="1"/>
    <n v="3"/>
    <n v="2"/>
    <s v="No"/>
    <s v="Travel_Frequently"/>
    <n v="9"/>
    <n v="57"/>
    <n v="4"/>
    <s v="No"/>
    <n v="2"/>
    <x v="1"/>
    <d v="2022-10-07T00:00:00"/>
    <m/>
    <s v="Active"/>
    <s v="36-45"/>
    <s v="10+ Years"/>
  </r>
  <r>
    <s v="EMP0448"/>
    <n v="41"/>
    <s v="Male"/>
    <x v="5"/>
    <s v="Marketing Manager"/>
    <s v="B.A"/>
    <n v="126511"/>
    <n v="12"/>
    <n v="19"/>
    <n v="5"/>
    <n v="4"/>
    <n v="1"/>
    <n v="3"/>
    <s v="No"/>
    <s v="Travel_Rarely"/>
    <n v="12"/>
    <n v="40"/>
    <n v="3"/>
    <s v="No"/>
    <n v="6"/>
    <x v="1"/>
    <d v="2019-12-01T00:00:00"/>
    <m/>
    <s v="Active"/>
    <s v="36-45"/>
    <s v="10+ Years"/>
  </r>
  <r>
    <s v="EMP0449"/>
    <n v="42"/>
    <s v="Female"/>
    <x v="0"/>
    <s v="Finance Manager"/>
    <s v="MBA"/>
    <n v="76614"/>
    <n v="4"/>
    <n v="18"/>
    <n v="3"/>
    <n v="4"/>
    <n v="1"/>
    <n v="1"/>
    <s v="No"/>
    <s v="Travel_Rarely"/>
    <n v="17"/>
    <n v="29"/>
    <n v="3"/>
    <s v="No"/>
    <n v="4"/>
    <x v="1"/>
    <d v="2015-11-09T00:00:00"/>
    <m/>
    <s v="Active"/>
    <s v="36-45"/>
    <s v="4-5 Years"/>
  </r>
  <r>
    <s v="EMP0450"/>
    <n v="34"/>
    <s v="Male"/>
    <x v="3"/>
    <s v="Operations Executive"/>
    <s v="BBA"/>
    <n v="126554"/>
    <n v="13"/>
    <n v="13"/>
    <n v="5"/>
    <n v="3"/>
    <n v="2"/>
    <n v="3"/>
    <s v="Yes"/>
    <s v="Travel_Rarely"/>
    <n v="19"/>
    <n v="51"/>
    <n v="3"/>
    <s v="Yes"/>
    <n v="4"/>
    <x v="1"/>
    <d v="2014-01-27T00:00:00"/>
    <m/>
    <s v="Active"/>
    <s v="26-35"/>
    <s v="10+ Years"/>
  </r>
  <r>
    <s v="EMP0451"/>
    <n v="40"/>
    <s v="Female"/>
    <x v="5"/>
    <s v="Marketing Manager"/>
    <s v="M.Tech"/>
    <n v="128104"/>
    <n v="15"/>
    <n v="18"/>
    <n v="5"/>
    <n v="2"/>
    <n v="1"/>
    <n v="4"/>
    <s v="Yes"/>
    <s v="Travel_Rarely"/>
    <n v="22"/>
    <n v="27"/>
    <n v="3"/>
    <s v="No"/>
    <n v="2"/>
    <x v="1"/>
    <d v="2014-11-15T00:00:00"/>
    <m/>
    <s v="Active"/>
    <s v="36-45"/>
    <s v="10+ Years"/>
  </r>
  <r>
    <s v="EMP0452"/>
    <n v="55"/>
    <s v="Female"/>
    <x v="4"/>
    <s v="HR Manager"/>
    <s v="BBA"/>
    <n v="127804"/>
    <n v="14"/>
    <n v="33"/>
    <n v="5"/>
    <n v="2"/>
    <n v="4"/>
    <n v="2"/>
    <s v="Yes"/>
    <s v="Travel_Rarely"/>
    <n v="15"/>
    <n v="33"/>
    <n v="3"/>
    <s v="Yes"/>
    <n v="5"/>
    <x v="1"/>
    <d v="2018-05-26T00:00:00"/>
    <m/>
    <s v="Active"/>
    <s v="46-55"/>
    <s v="10+ Years"/>
  </r>
  <r>
    <s v="EMP0453"/>
    <n v="38"/>
    <s v="Female"/>
    <x v="0"/>
    <s v="Financial Analyst"/>
    <s v="BBA"/>
    <n v="129337"/>
    <n v="15"/>
    <n v="15"/>
    <n v="5"/>
    <n v="4"/>
    <n v="4"/>
    <n v="3"/>
    <s v="No"/>
    <s v="Travel_Frequently"/>
    <n v="6"/>
    <n v="41"/>
    <n v="2"/>
    <s v="Yes"/>
    <n v="6"/>
    <x v="1"/>
    <d v="2017-12-11T00:00:00"/>
    <m/>
    <s v="Active"/>
    <s v="36-45"/>
    <s v="10+ Years"/>
  </r>
  <r>
    <s v="EMP0454"/>
    <n v="39"/>
    <s v="Male"/>
    <x v="2"/>
    <s v="IT Manager"/>
    <s v="M.Tech"/>
    <n v="77215"/>
    <n v="3"/>
    <n v="18"/>
    <n v="3"/>
    <n v="2"/>
    <n v="4"/>
    <n v="3"/>
    <s v="No"/>
    <s v="Travel_Rarely"/>
    <n v="2"/>
    <n v="33"/>
    <n v="3"/>
    <s v="No"/>
    <n v="6"/>
    <x v="1"/>
    <d v="2018-06-26T00:00:00"/>
    <m/>
    <s v="Active"/>
    <s v="36-45"/>
    <s v="2-3 Years"/>
  </r>
  <r>
    <s v="EMP0455"/>
    <n v="48"/>
    <s v="Male"/>
    <x v="3"/>
    <s v="Operations Manager"/>
    <s v="B.Com"/>
    <n v="84691"/>
    <n v="7"/>
    <n v="25"/>
    <n v="3"/>
    <n v="3"/>
    <n v="2"/>
    <n v="1"/>
    <s v="No"/>
    <s v="Travel_Frequently"/>
    <n v="1"/>
    <n v="47"/>
    <n v="3"/>
    <s v="Yes"/>
    <n v="7"/>
    <x v="1"/>
    <d v="2023-06-24T00:00:00"/>
    <m/>
    <s v="Active"/>
    <s v="46-55"/>
    <s v="6-10 Years"/>
  </r>
  <r>
    <s v="EMP0456"/>
    <n v="47"/>
    <s v="Male"/>
    <x v="0"/>
    <s v="Financial Analyst"/>
    <s v="MBA"/>
    <n v="117921"/>
    <n v="9"/>
    <n v="23"/>
    <n v="5"/>
    <n v="1"/>
    <n v="2"/>
    <n v="2"/>
    <s v="No"/>
    <s v="Travel_Rarely"/>
    <n v="9"/>
    <n v="46"/>
    <n v="3"/>
    <s v="No"/>
    <n v="5"/>
    <x v="1"/>
    <d v="2012-09-17T00:00:00"/>
    <m/>
    <s v="Active"/>
    <s v="46-55"/>
    <s v="6-10 Years"/>
  </r>
  <r>
    <s v="EMP0457"/>
    <n v="46"/>
    <s v="Female"/>
    <x v="0"/>
    <s v="Finance Manager"/>
    <s v="B.Tech"/>
    <n v="135370"/>
    <n v="17"/>
    <n v="24"/>
    <n v="5"/>
    <n v="2"/>
    <n v="4"/>
    <n v="1"/>
    <s v="No"/>
    <s v="Travel_Frequently"/>
    <n v="11"/>
    <n v="17"/>
    <n v="4"/>
    <s v="No"/>
    <n v="3"/>
    <x v="1"/>
    <d v="2018-03-26T00:00:00"/>
    <m/>
    <s v="Active"/>
    <s v="46-55"/>
    <s v="10+ Years"/>
  </r>
  <r>
    <s v="EMP0458"/>
    <n v="41"/>
    <s v="Male"/>
    <x v="2"/>
    <s v="IT Manager"/>
    <s v="B.Com"/>
    <n v="85015"/>
    <n v="7"/>
    <n v="17"/>
    <n v="3"/>
    <n v="3"/>
    <n v="1"/>
    <n v="1"/>
    <s v="Yes"/>
    <s v="Travel_Rarely"/>
    <n v="2"/>
    <n v="18"/>
    <n v="3"/>
    <s v="Yes"/>
    <n v="1"/>
    <x v="0"/>
    <d v="2014-02-10T00:00:00"/>
    <d v="2016-05-29T00:00:00"/>
    <s v="2016-05-29"/>
    <s v="36-45"/>
    <s v="6-10 Years"/>
  </r>
  <r>
    <s v="EMP0459"/>
    <n v="31"/>
    <s v="Female"/>
    <x v="3"/>
    <s v="Operations Manager"/>
    <s v="B.Com"/>
    <n v="79579"/>
    <n v="3"/>
    <n v="7"/>
    <n v="3"/>
    <n v="4"/>
    <n v="3"/>
    <n v="2"/>
    <s v="No"/>
    <s v="Travel_Rarely"/>
    <n v="14"/>
    <n v="57"/>
    <n v="3"/>
    <s v="No"/>
    <n v="6"/>
    <x v="1"/>
    <d v="2020-01-22T00:00:00"/>
    <m/>
    <s v="Active"/>
    <s v="26-35"/>
    <s v="2-3 Years"/>
  </r>
  <r>
    <s v="EMP0460"/>
    <n v="56"/>
    <s v="Female"/>
    <x v="4"/>
    <s v="HR Manager"/>
    <s v="BBA"/>
    <n v="135215"/>
    <n v="18"/>
    <n v="32"/>
    <n v="5"/>
    <n v="2"/>
    <n v="1"/>
    <n v="4"/>
    <s v="No"/>
    <s v="Travel_Rarely"/>
    <n v="24"/>
    <n v="45"/>
    <n v="2"/>
    <s v="Yes"/>
    <n v="6"/>
    <x v="0"/>
    <d v="2020-11-21T00:00:00"/>
    <d v="2023-02-05T00:00:00"/>
    <s v="2023-02-05"/>
    <s v="56+"/>
    <s v="10+ Years"/>
  </r>
  <r>
    <s v="EMP0461"/>
    <n v="45"/>
    <s v="Male"/>
    <x v="3"/>
    <s v="Operations Manager"/>
    <s v="B.Com"/>
    <n v="142871"/>
    <n v="20"/>
    <n v="21"/>
    <n v="5"/>
    <n v="2"/>
    <n v="1"/>
    <n v="2"/>
    <s v="No"/>
    <s v="Travel_Rarely"/>
    <n v="18"/>
    <n v="40"/>
    <n v="3"/>
    <s v="No"/>
    <n v="3"/>
    <x v="1"/>
    <d v="2018-12-01T00:00:00"/>
    <m/>
    <s v="Active"/>
    <s v="36-45"/>
    <s v="10+ Years"/>
  </r>
  <r>
    <s v="EMP0462"/>
    <n v="50"/>
    <s v="Female"/>
    <x v="4"/>
    <s v="HR Manager"/>
    <s v="B.A"/>
    <n v="140896"/>
    <n v="18"/>
    <n v="28"/>
    <n v="5"/>
    <n v="4"/>
    <n v="2"/>
    <n v="4"/>
    <s v="No"/>
    <s v="Travel_Rarely"/>
    <n v="15"/>
    <n v="25"/>
    <n v="3"/>
    <s v="Yes"/>
    <n v="7"/>
    <x v="1"/>
    <d v="2013-07-21T00:00:00"/>
    <m/>
    <s v="Active"/>
    <s v="46-55"/>
    <s v="10+ Years"/>
  </r>
  <r>
    <s v="EMP0463"/>
    <n v="25"/>
    <s v="Male"/>
    <x v="1"/>
    <s v="Sales Executive"/>
    <s v="B.A"/>
    <n v="60531"/>
    <n v="3"/>
    <n v="3"/>
    <n v="2"/>
    <n v="2"/>
    <n v="1"/>
    <n v="4"/>
    <s v="No"/>
    <s v="Travel_Frequently"/>
    <n v="29"/>
    <n v="23"/>
    <n v="3"/>
    <s v="No"/>
    <n v="10"/>
    <x v="1"/>
    <d v="2015-12-11T00:00:00"/>
    <m/>
    <s v="Active"/>
    <s v="18-25"/>
    <s v="2-3 Years"/>
  </r>
  <r>
    <s v="EMP0464"/>
    <n v="52"/>
    <s v="Male"/>
    <x v="4"/>
    <s v="HR Manager"/>
    <s v="M.Tech"/>
    <n v="150467"/>
    <n v="25"/>
    <n v="30"/>
    <n v="5"/>
    <n v="2"/>
    <n v="1"/>
    <n v="3"/>
    <s v="Yes"/>
    <s v="Travel_Rarely"/>
    <n v="11"/>
    <n v="10"/>
    <n v="3"/>
    <s v="No"/>
    <n v="6"/>
    <x v="0"/>
    <d v="2014-10-25T00:00:00"/>
    <d v="2016-09-17T00:00:00"/>
    <s v="2016-09-17"/>
    <s v="46-55"/>
    <s v="10+ Years"/>
  </r>
  <r>
    <s v="EMP0465"/>
    <n v="24"/>
    <s v="Male"/>
    <x v="1"/>
    <s v="Sales Manager"/>
    <s v="BBA"/>
    <n v="57773"/>
    <n v="0"/>
    <n v="1"/>
    <n v="2"/>
    <n v="2"/>
    <n v="4"/>
    <n v="3"/>
    <s v="No"/>
    <s v="Travel_Rarely"/>
    <n v="29"/>
    <n v="46"/>
    <n v="3"/>
    <s v="No"/>
    <n v="7"/>
    <x v="1"/>
    <d v="2023-10-23T00:00:00"/>
    <m/>
    <s v="Active"/>
    <s v="18-25"/>
    <s v="0-1 Year"/>
  </r>
  <r>
    <s v="EMP0466"/>
    <n v="48"/>
    <s v="Female"/>
    <x v="1"/>
    <s v="Sales Executive"/>
    <s v="M.Tech"/>
    <n v="127367"/>
    <n v="15"/>
    <n v="26"/>
    <n v="5"/>
    <n v="3"/>
    <n v="2"/>
    <n v="4"/>
    <s v="Yes"/>
    <s v="Travel_Rarely"/>
    <n v="26"/>
    <n v="18"/>
    <n v="4"/>
    <s v="Yes"/>
    <n v="6"/>
    <x v="1"/>
    <d v="2021-09-08T00:00:00"/>
    <m/>
    <s v="Active"/>
    <s v="46-55"/>
    <s v="10+ Years"/>
  </r>
  <r>
    <s v="EMP0467"/>
    <n v="23"/>
    <s v="Female"/>
    <x v="2"/>
    <s v="IT Manager"/>
    <s v="MBA"/>
    <n v="46371"/>
    <n v="1"/>
    <n v="1"/>
    <n v="1"/>
    <n v="4"/>
    <n v="3"/>
    <n v="2"/>
    <s v="No"/>
    <s v="Non-Travel"/>
    <n v="13"/>
    <n v="45"/>
    <n v="3"/>
    <s v="No"/>
    <n v="1"/>
    <x v="0"/>
    <d v="2020-04-21T00:00:00"/>
    <d v="2020-10-08T00:00:00"/>
    <s v="2020-10-08"/>
    <s v="18-25"/>
    <s v="0-1 Year"/>
  </r>
  <r>
    <s v="EMP0468"/>
    <n v="28"/>
    <s v="Female"/>
    <x v="4"/>
    <s v="HR Executive"/>
    <s v="MBA"/>
    <n v="81228"/>
    <n v="6"/>
    <n v="6"/>
    <n v="3"/>
    <n v="2"/>
    <n v="1"/>
    <n v="3"/>
    <s v="No"/>
    <s v="Travel_Rarely"/>
    <n v="25"/>
    <n v="36"/>
    <n v="3"/>
    <s v="No"/>
    <n v="3"/>
    <x v="0"/>
    <d v="2013-12-03T00:00:00"/>
    <d v="2014-06-01T00:00:00"/>
    <s v="2014-06-01"/>
    <s v="26-35"/>
    <s v="6-10 Years"/>
  </r>
  <r>
    <s v="EMP0469"/>
    <n v="52"/>
    <s v="Male"/>
    <x v="3"/>
    <s v="Operations Manager"/>
    <s v="BBA"/>
    <n v="140380"/>
    <n v="20"/>
    <n v="31"/>
    <n v="5"/>
    <n v="3"/>
    <n v="2"/>
    <n v="4"/>
    <s v="No"/>
    <s v="Travel_Frequently"/>
    <n v="10"/>
    <n v="16"/>
    <n v="3"/>
    <s v="No"/>
    <n v="3"/>
    <x v="1"/>
    <d v="2021-04-06T00:00:00"/>
    <m/>
    <s v="Active"/>
    <s v="46-55"/>
    <s v="10+ Years"/>
  </r>
  <r>
    <s v="EMP0470"/>
    <n v="28"/>
    <s v="Female"/>
    <x v="1"/>
    <s v="Sales Executive"/>
    <s v="BBA"/>
    <n v="79666"/>
    <n v="4"/>
    <n v="7"/>
    <n v="3"/>
    <n v="1"/>
    <n v="4"/>
    <n v="4"/>
    <s v="No"/>
    <s v="Travel_Frequently"/>
    <n v="7"/>
    <n v="52"/>
    <n v="3"/>
    <s v="No"/>
    <n v="5"/>
    <x v="1"/>
    <d v="2014-03-26T00:00:00"/>
    <m/>
    <s v="Active"/>
    <s v="26-35"/>
    <s v="4-5 Years"/>
  </r>
  <r>
    <s v="EMP0471"/>
    <n v="27"/>
    <s v="Male"/>
    <x v="3"/>
    <s v="Operations Manager"/>
    <s v="BBA"/>
    <n v="38579"/>
    <n v="0"/>
    <n v="3"/>
    <n v="1"/>
    <n v="1"/>
    <n v="4"/>
    <n v="2"/>
    <s v="Yes"/>
    <s v="Travel_Frequently"/>
    <n v="8"/>
    <n v="49"/>
    <n v="2"/>
    <s v="No"/>
    <n v="3"/>
    <x v="1"/>
    <d v="2020-06-19T00:00:00"/>
    <m/>
    <s v="Active"/>
    <s v="26-35"/>
    <s v="0-1 Year"/>
  </r>
  <r>
    <s v="EMP0472"/>
    <n v="48"/>
    <s v="Female"/>
    <x v="2"/>
    <s v="Data Analyst"/>
    <s v="MBA"/>
    <n v="58131"/>
    <n v="3"/>
    <n v="27"/>
    <n v="2"/>
    <n v="4"/>
    <n v="2"/>
    <n v="4"/>
    <s v="No"/>
    <s v="Travel_Frequently"/>
    <n v="5"/>
    <n v="54"/>
    <n v="3"/>
    <s v="No"/>
    <n v="9"/>
    <x v="1"/>
    <d v="2013-04-20T00:00:00"/>
    <m/>
    <s v="Active"/>
    <s v="46-55"/>
    <s v="2-3 Years"/>
  </r>
  <r>
    <s v="EMP0473"/>
    <n v="31"/>
    <s v="Male"/>
    <x v="4"/>
    <s v="HR Manager"/>
    <s v="B.Tech"/>
    <n v="96063"/>
    <n v="6"/>
    <n v="9"/>
    <n v="4"/>
    <n v="1"/>
    <n v="4"/>
    <n v="4"/>
    <s v="Yes"/>
    <s v="Travel_Rarely"/>
    <n v="6"/>
    <n v="37"/>
    <n v="3"/>
    <s v="Yes"/>
    <n v="7"/>
    <x v="0"/>
    <d v="2018-01-21T00:00:00"/>
    <d v="2020-09-24T00:00:00"/>
    <s v="2020-09-24"/>
    <s v="26-35"/>
    <s v="6-10 Years"/>
  </r>
  <r>
    <s v="EMP0474"/>
    <n v="59"/>
    <s v="Male"/>
    <x v="3"/>
    <s v="Operations Manager"/>
    <s v="B.Tech"/>
    <n v="41811"/>
    <n v="2"/>
    <n v="37"/>
    <n v="1"/>
    <n v="3"/>
    <n v="3"/>
    <n v="1"/>
    <s v="No"/>
    <s v="Travel_Frequently"/>
    <n v="29"/>
    <n v="20"/>
    <n v="2"/>
    <s v="No"/>
    <n v="4"/>
    <x v="1"/>
    <d v="2021-05-23T00:00:00"/>
    <m/>
    <s v="Active"/>
    <s v="56+"/>
    <s v="2-3 Years"/>
  </r>
  <r>
    <s v="EMP0475"/>
    <n v="48"/>
    <s v="Male"/>
    <x v="2"/>
    <s v="Software Engineer"/>
    <s v="B.A"/>
    <n v="39824"/>
    <n v="1"/>
    <n v="24"/>
    <n v="1"/>
    <n v="1"/>
    <n v="2"/>
    <n v="3"/>
    <s v="Yes"/>
    <s v="Travel_Rarely"/>
    <n v="11"/>
    <n v="57"/>
    <n v="4"/>
    <s v="No"/>
    <n v="3"/>
    <x v="1"/>
    <d v="2023-10-26T00:00:00"/>
    <m/>
    <s v="Active"/>
    <s v="46-55"/>
    <s v="0-1 Year"/>
  </r>
  <r>
    <s v="EMP0476"/>
    <n v="40"/>
    <s v="Male"/>
    <x v="5"/>
    <s v="Marketing Manager"/>
    <s v="BBA"/>
    <n v="63446"/>
    <n v="4"/>
    <n v="18"/>
    <n v="2"/>
    <n v="2"/>
    <n v="2"/>
    <n v="2"/>
    <s v="Yes"/>
    <s v="Travel_Frequently"/>
    <n v="27"/>
    <n v="27"/>
    <n v="3"/>
    <s v="No"/>
    <n v="5"/>
    <x v="1"/>
    <d v="2013-08-13T00:00:00"/>
    <m/>
    <s v="Active"/>
    <s v="36-45"/>
    <s v="4-5 Years"/>
  </r>
  <r>
    <s v="EMP0477"/>
    <n v="41"/>
    <s v="Male"/>
    <x v="5"/>
    <s v="Marketing Analyst"/>
    <s v="BBA"/>
    <n v="119800"/>
    <n v="11"/>
    <n v="19"/>
    <n v="5"/>
    <n v="2"/>
    <n v="2"/>
    <n v="4"/>
    <s v="No"/>
    <s v="Travel_Rarely"/>
    <n v="11"/>
    <n v="11"/>
    <n v="3"/>
    <s v="No"/>
    <n v="5"/>
    <x v="0"/>
    <d v="2021-09-05T00:00:00"/>
    <d v="2022-04-26T00:00:00"/>
    <s v="2022-04-26"/>
    <s v="36-45"/>
    <s v="10+ Years"/>
  </r>
  <r>
    <s v="EMP0478"/>
    <n v="24"/>
    <s v="Male"/>
    <x v="0"/>
    <s v="Financial Analyst"/>
    <s v="MBA"/>
    <n v="55623"/>
    <n v="1"/>
    <n v="2"/>
    <n v="2"/>
    <n v="3"/>
    <n v="2"/>
    <n v="4"/>
    <s v="No"/>
    <s v="Travel_Rarely"/>
    <n v="8"/>
    <n v="15"/>
    <n v="3"/>
    <s v="No"/>
    <n v="5"/>
    <x v="1"/>
    <d v="2020-08-13T00:00:00"/>
    <m/>
    <s v="Active"/>
    <s v="18-25"/>
    <s v="0-1 Year"/>
  </r>
  <r>
    <s v="EMP0479"/>
    <n v="30"/>
    <s v="Male"/>
    <x v="0"/>
    <s v="Finance Manager"/>
    <s v="MBA"/>
    <n v="63460"/>
    <n v="4"/>
    <n v="7"/>
    <n v="2"/>
    <n v="3"/>
    <n v="2"/>
    <n v="4"/>
    <s v="Yes"/>
    <s v="Travel_Frequently"/>
    <n v="17"/>
    <n v="54"/>
    <n v="3"/>
    <s v="No"/>
    <n v="8"/>
    <x v="1"/>
    <d v="2015-12-25T00:00:00"/>
    <m/>
    <s v="Active"/>
    <s v="26-35"/>
    <s v="4-5 Years"/>
  </r>
  <r>
    <s v="EMP0480"/>
    <n v="34"/>
    <s v="Male"/>
    <x v="4"/>
    <s v="HR Executive"/>
    <s v="BBA"/>
    <n v="64426"/>
    <n v="5"/>
    <n v="10"/>
    <n v="2"/>
    <n v="4"/>
    <n v="1"/>
    <n v="4"/>
    <s v="No"/>
    <s v="Travel_Rarely"/>
    <n v="11"/>
    <n v="54"/>
    <n v="3"/>
    <s v="No"/>
    <n v="2"/>
    <x v="1"/>
    <d v="2017-05-08T00:00:00"/>
    <m/>
    <s v="Active"/>
    <s v="26-35"/>
    <s v="4-5 Years"/>
  </r>
  <r>
    <s v="EMP0481"/>
    <n v="45"/>
    <s v="Male"/>
    <x v="2"/>
    <s v="Data Analyst"/>
    <s v="B.A"/>
    <n v="80220"/>
    <n v="5"/>
    <n v="22"/>
    <n v="3"/>
    <n v="3"/>
    <n v="4"/>
    <n v="3"/>
    <s v="No"/>
    <s v="Travel_Rarely"/>
    <n v="23"/>
    <n v="42"/>
    <n v="3"/>
    <s v="No"/>
    <n v="5"/>
    <x v="1"/>
    <d v="2017-01-31T00:00:00"/>
    <m/>
    <s v="Active"/>
    <s v="36-45"/>
    <s v="4-5 Years"/>
  </r>
  <r>
    <s v="EMP0482"/>
    <n v="27"/>
    <s v="Female"/>
    <x v="2"/>
    <s v="IT Manager"/>
    <s v="B.Com"/>
    <n v="68349"/>
    <n v="5"/>
    <n v="6"/>
    <n v="2"/>
    <n v="2"/>
    <n v="1"/>
    <n v="4"/>
    <s v="No"/>
    <s v="Travel_Frequently"/>
    <n v="19"/>
    <n v="15"/>
    <n v="3"/>
    <s v="Yes"/>
    <n v="5"/>
    <x v="1"/>
    <d v="2022-01-26T00:00:00"/>
    <m/>
    <s v="Active"/>
    <s v="26-35"/>
    <s v="4-5 Years"/>
  </r>
  <r>
    <s v="EMP0483"/>
    <n v="44"/>
    <s v="Female"/>
    <x v="5"/>
    <s v="Marketing Analyst"/>
    <s v="BBA"/>
    <n v="125057"/>
    <n v="12"/>
    <n v="20"/>
    <n v="5"/>
    <n v="2"/>
    <n v="4"/>
    <n v="2"/>
    <s v="Yes"/>
    <s v="Travel_Rarely"/>
    <n v="3"/>
    <n v="23"/>
    <n v="3"/>
    <s v="Yes"/>
    <n v="5"/>
    <x v="1"/>
    <d v="2013-05-09T00:00:00"/>
    <m/>
    <s v="Active"/>
    <s v="36-45"/>
    <s v="10+ Years"/>
  </r>
  <r>
    <s v="EMP0484"/>
    <n v="54"/>
    <s v="Male"/>
    <x v="5"/>
    <s v="Marketing Manager"/>
    <s v="B.Com"/>
    <n v="160253"/>
    <n v="28"/>
    <n v="31"/>
    <n v="5"/>
    <n v="4"/>
    <n v="2"/>
    <n v="4"/>
    <s v="No"/>
    <s v="Travel_Rarely"/>
    <n v="18"/>
    <n v="31"/>
    <n v="3"/>
    <s v="Yes"/>
    <n v="4"/>
    <x v="1"/>
    <d v="2021-05-20T00:00:00"/>
    <m/>
    <s v="Active"/>
    <s v="46-55"/>
    <s v="10+ Years"/>
  </r>
  <r>
    <s v="EMP0485"/>
    <n v="46"/>
    <s v="Female"/>
    <x v="3"/>
    <s v="Operations Executive"/>
    <s v="M.Tech"/>
    <n v="131772"/>
    <n v="17"/>
    <n v="24"/>
    <n v="5"/>
    <n v="4"/>
    <n v="2"/>
    <n v="1"/>
    <s v="No"/>
    <s v="Travel_Rarely"/>
    <n v="6"/>
    <n v="25"/>
    <n v="4"/>
    <s v="No"/>
    <n v="7"/>
    <x v="1"/>
    <d v="2023-07-23T00:00:00"/>
    <m/>
    <s v="Active"/>
    <s v="46-55"/>
    <s v="10+ Years"/>
  </r>
  <r>
    <s v="EMP0486"/>
    <n v="29"/>
    <s v="Male"/>
    <x v="5"/>
    <s v="Marketing Manager"/>
    <s v="B.Tech"/>
    <n v="81606"/>
    <n v="5"/>
    <n v="8"/>
    <n v="3"/>
    <n v="3"/>
    <n v="1"/>
    <n v="1"/>
    <s v="No"/>
    <s v="Travel_Rarely"/>
    <n v="3"/>
    <n v="53"/>
    <n v="4"/>
    <s v="No"/>
    <n v="3"/>
    <x v="1"/>
    <d v="2015-05-09T00:00:00"/>
    <m/>
    <s v="Active"/>
    <s v="26-35"/>
    <s v="4-5 Years"/>
  </r>
  <r>
    <s v="EMP0487"/>
    <n v="30"/>
    <s v="Female"/>
    <x v="1"/>
    <s v="Sales Executive"/>
    <s v="MBA"/>
    <n v="59766"/>
    <n v="2"/>
    <n v="7"/>
    <n v="2"/>
    <n v="4"/>
    <n v="2"/>
    <n v="1"/>
    <s v="Yes"/>
    <s v="Travel_Frequently"/>
    <n v="11"/>
    <n v="43"/>
    <n v="4"/>
    <s v="No"/>
    <n v="6"/>
    <x v="1"/>
    <d v="2015-05-17T00:00:00"/>
    <m/>
    <s v="Active"/>
    <s v="26-35"/>
    <s v="2-3 Years"/>
  </r>
  <r>
    <s v="EMP0488"/>
    <n v="58"/>
    <s v="Male"/>
    <x v="2"/>
    <s v="Software Engineer"/>
    <s v="B.Tech"/>
    <n v="142587"/>
    <n v="19"/>
    <n v="34"/>
    <n v="5"/>
    <n v="1"/>
    <n v="3"/>
    <n v="4"/>
    <s v="Yes"/>
    <s v="Travel_Rarely"/>
    <n v="13"/>
    <n v="41"/>
    <n v="3"/>
    <s v="No"/>
    <n v="8"/>
    <x v="1"/>
    <d v="2012-08-04T00:00:00"/>
    <m/>
    <s v="Active"/>
    <s v="56+"/>
    <s v="10+ Years"/>
  </r>
  <r>
    <s v="EMP0489"/>
    <n v="25"/>
    <s v="Male"/>
    <x v="4"/>
    <s v="HR Executive"/>
    <s v="MBA"/>
    <n v="78674"/>
    <n v="3"/>
    <n v="4"/>
    <n v="3"/>
    <n v="1"/>
    <n v="4"/>
    <n v="4"/>
    <s v="Yes"/>
    <s v="Travel_Frequently"/>
    <n v="10"/>
    <n v="46"/>
    <n v="3"/>
    <s v="No"/>
    <n v="8"/>
    <x v="1"/>
    <d v="2020-09-22T00:00:00"/>
    <m/>
    <s v="Active"/>
    <s v="18-25"/>
    <s v="2-3 Years"/>
  </r>
  <r>
    <s v="EMP0490"/>
    <n v="39"/>
    <s v="Female"/>
    <x v="1"/>
    <s v="Sales Manager"/>
    <s v="B.Tech"/>
    <n v="55614"/>
    <n v="1"/>
    <n v="15"/>
    <n v="2"/>
    <n v="3"/>
    <n v="4"/>
    <n v="1"/>
    <s v="No"/>
    <s v="Travel_Rarely"/>
    <n v="13"/>
    <n v="10"/>
    <n v="3"/>
    <s v="No"/>
    <n v="7"/>
    <x v="1"/>
    <d v="2020-08-18T00:00:00"/>
    <m/>
    <s v="Active"/>
    <s v="36-45"/>
    <s v="0-1 Year"/>
  </r>
  <r>
    <s v="EMP0491"/>
    <n v="49"/>
    <s v="Female"/>
    <x v="3"/>
    <s v="Operations Manager"/>
    <s v="M.Tech"/>
    <n v="99166"/>
    <n v="6"/>
    <n v="25"/>
    <n v="4"/>
    <n v="3"/>
    <n v="2"/>
    <n v="1"/>
    <s v="No"/>
    <s v="Travel_Rarely"/>
    <n v="6"/>
    <n v="46"/>
    <n v="2"/>
    <s v="Yes"/>
    <n v="4"/>
    <x v="1"/>
    <d v="2021-04-27T00:00:00"/>
    <m/>
    <s v="Active"/>
    <s v="46-55"/>
    <s v="6-10 Years"/>
  </r>
  <r>
    <s v="EMP0492"/>
    <n v="34"/>
    <s v="Male"/>
    <x v="5"/>
    <s v="Marketing Manager"/>
    <s v="MBA"/>
    <n v="60383"/>
    <n v="2"/>
    <n v="13"/>
    <n v="2"/>
    <n v="2"/>
    <n v="2"/>
    <n v="4"/>
    <s v="Yes"/>
    <s v="Travel_Rarely"/>
    <n v="1"/>
    <n v="33"/>
    <n v="2"/>
    <s v="No"/>
    <n v="5"/>
    <x v="1"/>
    <d v="2014-06-02T00:00:00"/>
    <m/>
    <s v="Active"/>
    <s v="26-35"/>
    <s v="2-3 Years"/>
  </r>
  <r>
    <s v="EMP0493"/>
    <n v="44"/>
    <s v="Male"/>
    <x v="5"/>
    <s v="Marketing Manager"/>
    <s v="MBA"/>
    <n v="134763"/>
    <n v="17"/>
    <n v="21"/>
    <n v="5"/>
    <n v="4"/>
    <n v="1"/>
    <n v="2"/>
    <s v="Yes"/>
    <s v="Travel_Frequently"/>
    <n v="29"/>
    <n v="45"/>
    <n v="3"/>
    <s v="No"/>
    <n v="9"/>
    <x v="1"/>
    <d v="2021-08-28T00:00:00"/>
    <m/>
    <s v="Active"/>
    <s v="36-45"/>
    <s v="10+ Years"/>
  </r>
  <r>
    <s v="EMP0494"/>
    <n v="40"/>
    <s v="Male"/>
    <x v="2"/>
    <s v="Data Analyst"/>
    <s v="BBA"/>
    <n v="106811"/>
    <n v="11"/>
    <n v="18"/>
    <n v="4"/>
    <n v="3"/>
    <n v="3"/>
    <n v="2"/>
    <s v="No"/>
    <s v="Travel_Rarely"/>
    <n v="1"/>
    <n v="36"/>
    <n v="3"/>
    <s v="No"/>
    <n v="6"/>
    <x v="1"/>
    <d v="2013-04-17T00:00:00"/>
    <m/>
    <s v="Active"/>
    <s v="36-45"/>
    <s v="10+ Years"/>
  </r>
  <r>
    <s v="EMP0495"/>
    <n v="37"/>
    <s v="Female"/>
    <x v="0"/>
    <s v="Finance Manager"/>
    <s v="B.Tech"/>
    <n v="127071"/>
    <n v="12"/>
    <n v="13"/>
    <n v="5"/>
    <n v="4"/>
    <n v="4"/>
    <n v="1"/>
    <s v="Yes"/>
    <s v="Travel_Rarely"/>
    <n v="22"/>
    <n v="43"/>
    <n v="3"/>
    <s v="No"/>
    <n v="5"/>
    <x v="1"/>
    <d v="2017-03-28T00:00:00"/>
    <m/>
    <s v="Active"/>
    <s v="36-45"/>
    <s v="10+ Years"/>
  </r>
  <r>
    <s v="EMP0496"/>
    <n v="31"/>
    <s v="Female"/>
    <x v="0"/>
    <s v="Financial Analyst"/>
    <s v="B.A"/>
    <n v="46066"/>
    <n v="1"/>
    <n v="8"/>
    <n v="1"/>
    <n v="2"/>
    <n v="2"/>
    <n v="2"/>
    <s v="No"/>
    <s v="Travel_Frequently"/>
    <n v="18"/>
    <n v="48"/>
    <n v="2"/>
    <s v="No"/>
    <n v="6"/>
    <x v="0"/>
    <d v="2023-04-23T00:00:00"/>
    <d v="2024-01-09T00:00:00"/>
    <s v="2024-01-09"/>
    <s v="26-35"/>
    <s v="0-1 Year"/>
  </r>
  <r>
    <s v="EMP0497"/>
    <n v="43"/>
    <s v="Female"/>
    <x v="4"/>
    <s v="HR Manager"/>
    <s v="B.A"/>
    <n v="83242"/>
    <n v="6"/>
    <n v="20"/>
    <n v="3"/>
    <n v="2"/>
    <n v="4"/>
    <n v="3"/>
    <s v="Yes"/>
    <s v="Travel_Rarely"/>
    <n v="14"/>
    <n v="48"/>
    <n v="3"/>
    <s v="No"/>
    <n v="7"/>
    <x v="1"/>
    <d v="2020-11-28T00:00:00"/>
    <m/>
    <s v="Active"/>
    <s v="36-45"/>
    <s v="6-10 Years"/>
  </r>
  <r>
    <s v="EMP0498"/>
    <n v="53"/>
    <s v="Male"/>
    <x v="0"/>
    <s v="Finance Manager"/>
    <s v="BBA"/>
    <n v="154278"/>
    <n v="26"/>
    <n v="30"/>
    <n v="5"/>
    <n v="2"/>
    <n v="1"/>
    <n v="2"/>
    <s v="No"/>
    <s v="Travel_Frequently"/>
    <n v="11"/>
    <n v="31"/>
    <n v="3"/>
    <s v="Yes"/>
    <n v="3"/>
    <x v="1"/>
    <d v="2023-04-26T00:00:00"/>
    <m/>
    <s v="Active"/>
    <s v="46-55"/>
    <s v="10+ Years"/>
  </r>
  <r>
    <s v="EMP0499"/>
    <n v="42"/>
    <s v="Female"/>
    <x v="2"/>
    <s v="Data Analyst"/>
    <s v="B.Com"/>
    <n v="97515"/>
    <n v="6"/>
    <n v="18"/>
    <n v="4"/>
    <n v="4"/>
    <n v="3"/>
    <n v="2"/>
    <s v="No"/>
    <s v="Travel_Rarely"/>
    <n v="12"/>
    <n v="36"/>
    <n v="2"/>
    <s v="No"/>
    <n v="7"/>
    <x v="1"/>
    <d v="2019-10-24T00:00:00"/>
    <m/>
    <s v="Active"/>
    <s v="36-45"/>
    <s v="6-10 Years"/>
  </r>
  <r>
    <s v="EMP0500"/>
    <n v="38"/>
    <s v="Male"/>
    <x v="4"/>
    <s v="HR Manager"/>
    <s v="MBA"/>
    <n v="84770"/>
    <n v="7"/>
    <n v="15"/>
    <n v="3"/>
    <n v="2"/>
    <n v="4"/>
    <n v="1"/>
    <s v="No"/>
    <s v="Non-Travel"/>
    <n v="16"/>
    <n v="22"/>
    <n v="2"/>
    <s v="No"/>
    <n v="7"/>
    <x v="1"/>
    <d v="2022-07-02T00:00:00"/>
    <m/>
    <s v="Active"/>
    <s v="36-45"/>
    <s v="6-10 Years"/>
  </r>
  <r>
    <s v="EMP0501"/>
    <n v="29"/>
    <s v="Female"/>
    <x v="0"/>
    <s v="Financial Analyst"/>
    <s v="BBA"/>
    <n v="77625"/>
    <n v="4"/>
    <n v="5"/>
    <n v="3"/>
    <n v="3"/>
    <n v="3"/>
    <n v="3"/>
    <s v="No"/>
    <s v="Travel_Rarely"/>
    <n v="14"/>
    <n v="13"/>
    <n v="4"/>
    <s v="No"/>
    <n v="4"/>
    <x v="0"/>
    <d v="2021-04-30T00:00:00"/>
    <d v="2022-09-20T00:00:00"/>
    <s v="2022-09-20"/>
    <s v="26-35"/>
    <s v="4-5 Years"/>
  </r>
  <r>
    <s v="EMP0502"/>
    <n v="36"/>
    <s v="Female"/>
    <x v="3"/>
    <s v="Operations Manager"/>
    <s v="BBA"/>
    <n v="127369"/>
    <n v="13"/>
    <n v="14"/>
    <n v="5"/>
    <n v="4"/>
    <n v="3"/>
    <n v="2"/>
    <s v="Yes"/>
    <s v="Travel_Rarely"/>
    <n v="28"/>
    <n v="53"/>
    <n v="3"/>
    <s v="Yes"/>
    <n v="5"/>
    <x v="0"/>
    <d v="2015-09-13T00:00:00"/>
    <d v="2017-01-31T00:00:00"/>
    <s v="2017-01-31"/>
    <s v="36-45"/>
    <s v="10+ Years"/>
  </r>
  <r>
    <s v="EMP0503"/>
    <n v="41"/>
    <s v="Male"/>
    <x v="5"/>
    <s v="Marketing Analyst"/>
    <s v="B.Tech"/>
    <n v="63968"/>
    <n v="2"/>
    <n v="18"/>
    <n v="2"/>
    <n v="2"/>
    <n v="1"/>
    <n v="1"/>
    <s v="No"/>
    <s v="Travel_Rarely"/>
    <n v="14"/>
    <n v="11"/>
    <n v="2"/>
    <s v="No"/>
    <n v="3"/>
    <x v="1"/>
    <d v="2019-01-05T00:00:00"/>
    <m/>
    <s v="Active"/>
    <s v="36-45"/>
    <s v="2-3 Years"/>
  </r>
  <r>
    <s v="EMP0504"/>
    <n v="54"/>
    <s v="Female"/>
    <x v="3"/>
    <s v="Operations Manager"/>
    <s v="B.Com"/>
    <n v="128453"/>
    <n v="14"/>
    <n v="31"/>
    <n v="5"/>
    <n v="4"/>
    <n v="2"/>
    <n v="2"/>
    <s v="No"/>
    <s v="Travel_Rarely"/>
    <n v="18"/>
    <n v="50"/>
    <n v="2"/>
    <s v="No"/>
    <n v="5"/>
    <x v="1"/>
    <d v="2023-08-02T00:00:00"/>
    <m/>
    <s v="Active"/>
    <s v="46-55"/>
    <s v="10+ Years"/>
  </r>
  <r>
    <s v="EMP0505"/>
    <n v="26"/>
    <s v="Male"/>
    <x v="0"/>
    <s v="Finance Manager"/>
    <s v="BBA"/>
    <n v="40143"/>
    <n v="1"/>
    <n v="2"/>
    <n v="1"/>
    <n v="1"/>
    <n v="4"/>
    <n v="4"/>
    <s v="Yes"/>
    <s v="Travel_Rarely"/>
    <n v="16"/>
    <n v="33"/>
    <n v="3"/>
    <s v="No"/>
    <n v="7"/>
    <x v="1"/>
    <d v="2013-07-13T00:00:00"/>
    <m/>
    <s v="Active"/>
    <s v="26-35"/>
    <s v="0-1 Year"/>
  </r>
  <r>
    <s v="EMP0506"/>
    <n v="43"/>
    <s v="Female"/>
    <x v="1"/>
    <s v="Sales Manager"/>
    <s v="B.Tech"/>
    <n v="98072"/>
    <n v="7"/>
    <n v="21"/>
    <n v="4"/>
    <n v="2"/>
    <n v="4"/>
    <n v="3"/>
    <s v="No"/>
    <s v="Travel_Rarely"/>
    <n v="19"/>
    <n v="24"/>
    <n v="3"/>
    <s v="Yes"/>
    <n v="7"/>
    <x v="1"/>
    <d v="2017-09-25T00:00:00"/>
    <m/>
    <s v="Active"/>
    <s v="36-45"/>
    <s v="6-10 Years"/>
  </r>
  <r>
    <s v="EMP0507"/>
    <n v="57"/>
    <s v="Male"/>
    <x v="1"/>
    <s v="Sales Executive"/>
    <s v="M.Tech"/>
    <n v="137064"/>
    <n v="20"/>
    <n v="35"/>
    <n v="5"/>
    <n v="4"/>
    <n v="2"/>
    <n v="4"/>
    <s v="No"/>
    <s v="Travel_Frequently"/>
    <n v="21"/>
    <n v="30"/>
    <n v="2"/>
    <s v="Yes"/>
    <n v="7"/>
    <x v="1"/>
    <d v="2023-11-27T00:00:00"/>
    <m/>
    <s v="Active"/>
    <s v="56+"/>
    <s v="10+ Years"/>
  </r>
  <r>
    <s v="EMP0508"/>
    <n v="42"/>
    <s v="Male"/>
    <x v="1"/>
    <s v="Sales Manager"/>
    <s v="MBA"/>
    <n v="122494"/>
    <n v="12"/>
    <n v="20"/>
    <n v="5"/>
    <n v="1"/>
    <n v="2"/>
    <n v="1"/>
    <s v="No"/>
    <s v="Travel_Rarely"/>
    <n v="23"/>
    <n v="51"/>
    <n v="3"/>
    <s v="Yes"/>
    <n v="2"/>
    <x v="1"/>
    <d v="2015-06-28T00:00:00"/>
    <m/>
    <s v="Active"/>
    <s v="36-45"/>
    <s v="10+ Years"/>
  </r>
  <r>
    <s v="EMP0509"/>
    <n v="22"/>
    <s v="Male"/>
    <x v="5"/>
    <s v="Marketing Analyst"/>
    <s v="M.Tech"/>
    <n v="43266"/>
    <n v="0"/>
    <n v="1"/>
    <n v="1"/>
    <n v="3"/>
    <n v="2"/>
    <n v="4"/>
    <s v="No"/>
    <s v="Travel_Rarely"/>
    <n v="1"/>
    <n v="34"/>
    <n v="3"/>
    <s v="No"/>
    <n v="4"/>
    <x v="1"/>
    <d v="2015-05-10T00:00:00"/>
    <m/>
    <s v="Active"/>
    <s v="18-25"/>
    <s v="0-1 Year"/>
  </r>
  <r>
    <s v="EMP0510"/>
    <n v="58"/>
    <s v="Male"/>
    <x v="1"/>
    <s v="Sales Manager"/>
    <s v="MBA"/>
    <n v="140863"/>
    <n v="20"/>
    <n v="36"/>
    <n v="5"/>
    <n v="1"/>
    <n v="4"/>
    <n v="2"/>
    <s v="No"/>
    <s v="Travel_Rarely"/>
    <n v="22"/>
    <n v="55"/>
    <n v="4"/>
    <s v="Yes"/>
    <n v="6"/>
    <x v="1"/>
    <d v="2012-04-14T00:00:00"/>
    <m/>
    <s v="Active"/>
    <s v="56+"/>
    <s v="10+ Years"/>
  </r>
  <r>
    <s v="EMP0511"/>
    <n v="47"/>
    <s v="Male"/>
    <x v="3"/>
    <s v="Operations Manager"/>
    <s v="B.A"/>
    <n v="101988"/>
    <n v="9"/>
    <n v="24"/>
    <n v="4"/>
    <n v="2"/>
    <n v="1"/>
    <n v="1"/>
    <s v="No"/>
    <s v="Travel_Rarely"/>
    <n v="10"/>
    <n v="30"/>
    <n v="4"/>
    <s v="No"/>
    <n v="5"/>
    <x v="1"/>
    <d v="2019-09-22T00:00:00"/>
    <m/>
    <s v="Active"/>
    <s v="46-55"/>
    <s v="6-10 Years"/>
  </r>
  <r>
    <s v="EMP0512"/>
    <n v="44"/>
    <s v="Female"/>
    <x v="3"/>
    <s v="Operations Manager"/>
    <s v="B.Com"/>
    <n v="67452"/>
    <n v="5"/>
    <n v="21"/>
    <n v="2"/>
    <n v="3"/>
    <n v="4"/>
    <n v="2"/>
    <s v="No"/>
    <s v="Travel_Frequently"/>
    <n v="28"/>
    <n v="37"/>
    <n v="3"/>
    <s v="No"/>
    <n v="8"/>
    <x v="0"/>
    <d v="2022-10-04T00:00:00"/>
    <d v="2024-05-17T00:00:00"/>
    <s v="2024-05-17"/>
    <s v="36-45"/>
    <s v="4-5 Years"/>
  </r>
  <r>
    <s v="EMP0513"/>
    <n v="33"/>
    <s v="Male"/>
    <x v="1"/>
    <s v="Sales Executive"/>
    <s v="B.Tech"/>
    <n v="99946"/>
    <n v="7"/>
    <n v="12"/>
    <n v="4"/>
    <n v="4"/>
    <n v="2"/>
    <n v="4"/>
    <s v="No"/>
    <s v="Travel_Rarely"/>
    <n v="22"/>
    <n v="58"/>
    <n v="3"/>
    <s v="No"/>
    <n v="5"/>
    <x v="1"/>
    <d v="2018-11-30T00:00:00"/>
    <m/>
    <s v="Active"/>
    <s v="26-35"/>
    <s v="6-10 Years"/>
  </r>
  <r>
    <s v="EMP0514"/>
    <n v="34"/>
    <s v="Male"/>
    <x v="2"/>
    <s v="IT Manager"/>
    <s v="B.A"/>
    <n v="105181"/>
    <n v="8"/>
    <n v="11"/>
    <n v="4"/>
    <n v="2"/>
    <n v="4"/>
    <n v="4"/>
    <s v="No"/>
    <s v="Travel_Frequently"/>
    <n v="9"/>
    <n v="39"/>
    <n v="3"/>
    <s v="No"/>
    <n v="4"/>
    <x v="1"/>
    <d v="2014-05-29T00:00:00"/>
    <m/>
    <s v="Active"/>
    <s v="26-35"/>
    <s v="6-10 Years"/>
  </r>
  <r>
    <s v="EMP0515"/>
    <n v="25"/>
    <s v="Male"/>
    <x v="5"/>
    <s v="Marketing Analyst"/>
    <s v="BBA"/>
    <n v="59704"/>
    <n v="0"/>
    <n v="1"/>
    <n v="2"/>
    <n v="3"/>
    <n v="1"/>
    <n v="2"/>
    <s v="No"/>
    <s v="Travel_Rarely"/>
    <n v="7"/>
    <n v="39"/>
    <n v="3"/>
    <s v="No"/>
    <n v="4"/>
    <x v="1"/>
    <d v="2021-11-20T00:00:00"/>
    <m/>
    <s v="Active"/>
    <s v="18-25"/>
    <s v="0-1 Year"/>
  </r>
  <r>
    <s v="EMP0516"/>
    <n v="35"/>
    <s v="Male"/>
    <x v="5"/>
    <s v="Marketing Analyst"/>
    <s v="B.A"/>
    <n v="56776"/>
    <n v="0"/>
    <n v="12"/>
    <n v="2"/>
    <n v="3"/>
    <n v="3"/>
    <n v="4"/>
    <s v="No"/>
    <s v="Travel_Rarely"/>
    <n v="29"/>
    <n v="13"/>
    <n v="4"/>
    <s v="No"/>
    <n v="8"/>
    <x v="0"/>
    <d v="2023-03-24T00:00:00"/>
    <d v="2024-02-17T00:00:00"/>
    <s v="2024-02-17"/>
    <s v="26-35"/>
    <s v="0-1 Year"/>
  </r>
  <r>
    <s v="EMP0517"/>
    <n v="30"/>
    <s v="Female"/>
    <x v="0"/>
    <s v="Finance Manager"/>
    <s v="B.A"/>
    <n v="57890"/>
    <n v="1"/>
    <n v="6"/>
    <n v="2"/>
    <n v="1"/>
    <n v="1"/>
    <n v="4"/>
    <s v="No"/>
    <s v="Travel_Rarely"/>
    <n v="6"/>
    <n v="53"/>
    <n v="3"/>
    <s v="No"/>
    <n v="6"/>
    <x v="1"/>
    <d v="2023-09-10T00:00:00"/>
    <m/>
    <s v="Active"/>
    <s v="26-35"/>
    <s v="0-1 Year"/>
  </r>
  <r>
    <s v="EMP0518"/>
    <n v="41"/>
    <s v="Female"/>
    <x v="1"/>
    <s v="Sales Manager"/>
    <s v="B.A"/>
    <n v="79700"/>
    <n v="3"/>
    <n v="17"/>
    <n v="3"/>
    <n v="2"/>
    <n v="4"/>
    <n v="2"/>
    <s v="No"/>
    <s v="Travel_Rarely"/>
    <n v="7"/>
    <n v="47"/>
    <n v="3"/>
    <s v="No"/>
    <n v="5"/>
    <x v="0"/>
    <d v="2019-01-08T00:00:00"/>
    <d v="2019-06-24T00:00:00"/>
    <s v="2019-06-24"/>
    <s v="36-45"/>
    <s v="2-3 Years"/>
  </r>
  <r>
    <s v="EMP0519"/>
    <n v="57"/>
    <s v="Female"/>
    <x v="1"/>
    <s v="Sales Manager"/>
    <s v="B.Com"/>
    <n v="169029"/>
    <n v="33"/>
    <n v="36"/>
    <n v="5"/>
    <n v="4"/>
    <n v="4"/>
    <n v="3"/>
    <s v="No"/>
    <s v="Travel_Rarely"/>
    <n v="16"/>
    <n v="47"/>
    <n v="3"/>
    <s v="Yes"/>
    <n v="3"/>
    <x v="1"/>
    <d v="2022-12-22T00:00:00"/>
    <m/>
    <s v="Active"/>
    <s v="56+"/>
    <s v="10+ Years"/>
  </r>
  <r>
    <s v="EMP0520"/>
    <n v="36"/>
    <s v="Female"/>
    <x v="2"/>
    <s v="IT Manager"/>
    <s v="B.Com"/>
    <n v="82337"/>
    <n v="6"/>
    <n v="15"/>
    <n v="3"/>
    <n v="2"/>
    <n v="2"/>
    <n v="2"/>
    <s v="Yes"/>
    <s v="Travel_Rarely"/>
    <n v="13"/>
    <n v="18"/>
    <n v="3"/>
    <s v="No"/>
    <n v="2"/>
    <x v="1"/>
    <d v="2015-02-08T00:00:00"/>
    <m/>
    <s v="Active"/>
    <s v="36-45"/>
    <s v="6-10 Years"/>
  </r>
  <r>
    <s v="EMP0521"/>
    <n v="54"/>
    <s v="Male"/>
    <x v="4"/>
    <s v="HR Manager"/>
    <s v="BBA"/>
    <n v="139962"/>
    <n v="18"/>
    <n v="32"/>
    <n v="5"/>
    <n v="2"/>
    <n v="3"/>
    <n v="2"/>
    <s v="Yes"/>
    <s v="Travel_Rarely"/>
    <n v="20"/>
    <n v="28"/>
    <n v="3"/>
    <s v="Yes"/>
    <n v="3"/>
    <x v="1"/>
    <d v="2020-01-30T00:00:00"/>
    <m/>
    <s v="Active"/>
    <s v="46-55"/>
    <s v="10+ Years"/>
  </r>
  <r>
    <s v="EMP0522"/>
    <n v="33"/>
    <s v="Female"/>
    <x v="2"/>
    <s v="Data Analyst"/>
    <s v="MBA"/>
    <n v="64867"/>
    <n v="3"/>
    <n v="10"/>
    <n v="2"/>
    <n v="4"/>
    <n v="1"/>
    <n v="3"/>
    <s v="Yes"/>
    <s v="Travel_Rarely"/>
    <n v="13"/>
    <n v="31"/>
    <n v="3"/>
    <s v="No"/>
    <n v="2"/>
    <x v="1"/>
    <d v="2016-05-11T00:00:00"/>
    <m/>
    <s v="Active"/>
    <s v="26-35"/>
    <s v="2-3 Years"/>
  </r>
  <r>
    <s v="EMP0523"/>
    <n v="44"/>
    <s v="Male"/>
    <x v="1"/>
    <s v="Sales Manager"/>
    <s v="M.Tech"/>
    <n v="129004"/>
    <n v="13"/>
    <n v="23"/>
    <n v="5"/>
    <n v="4"/>
    <n v="3"/>
    <n v="4"/>
    <s v="No"/>
    <s v="Travel_Rarely"/>
    <n v="13"/>
    <n v="18"/>
    <n v="3"/>
    <s v="Yes"/>
    <n v="6"/>
    <x v="0"/>
    <d v="2020-12-11T00:00:00"/>
    <d v="2021-10-09T00:00:00"/>
    <s v="2021-10-09"/>
    <s v="36-45"/>
    <s v="10+ Years"/>
  </r>
  <r>
    <s v="EMP0524"/>
    <n v="42"/>
    <s v="Male"/>
    <x v="2"/>
    <s v="IT Manager"/>
    <s v="B.Com"/>
    <n v="109108"/>
    <n v="11"/>
    <n v="20"/>
    <n v="4"/>
    <n v="2"/>
    <n v="1"/>
    <n v="2"/>
    <s v="No"/>
    <s v="Non-Travel"/>
    <n v="20"/>
    <n v="38"/>
    <n v="3"/>
    <s v="No"/>
    <n v="4"/>
    <x v="1"/>
    <d v="2016-02-28T00:00:00"/>
    <m/>
    <s v="Active"/>
    <s v="36-45"/>
    <s v="10+ Years"/>
  </r>
  <r>
    <s v="EMP0525"/>
    <n v="41"/>
    <s v="Male"/>
    <x v="2"/>
    <s v="IT Manager"/>
    <s v="M.Tech"/>
    <n v="98338"/>
    <n v="8"/>
    <n v="18"/>
    <n v="4"/>
    <n v="1"/>
    <n v="3"/>
    <n v="3"/>
    <s v="No"/>
    <s v="Travel_Rarely"/>
    <n v="27"/>
    <n v="48"/>
    <n v="3"/>
    <s v="No"/>
    <n v="2"/>
    <x v="1"/>
    <d v="2019-06-30T00:00:00"/>
    <m/>
    <s v="Active"/>
    <s v="36-45"/>
    <s v="6-10 Years"/>
  </r>
  <r>
    <s v="EMP0526"/>
    <n v="41"/>
    <s v="Male"/>
    <x v="2"/>
    <s v="IT Manager"/>
    <s v="BBA"/>
    <n v="123952"/>
    <n v="12"/>
    <n v="19"/>
    <n v="5"/>
    <n v="4"/>
    <n v="1"/>
    <n v="3"/>
    <s v="No"/>
    <s v="Travel_Rarely"/>
    <n v="2"/>
    <n v="35"/>
    <n v="3"/>
    <s v="Yes"/>
    <n v="8"/>
    <x v="0"/>
    <d v="2017-06-15T00:00:00"/>
    <d v="2020-03-08T00:00:00"/>
    <s v="2020-03-08"/>
    <s v="36-45"/>
    <s v="10+ Years"/>
  </r>
  <r>
    <s v="EMP0527"/>
    <n v="38"/>
    <s v="Female"/>
    <x v="0"/>
    <s v="Finance Manager"/>
    <s v="B.A"/>
    <n v="64427"/>
    <n v="5"/>
    <n v="17"/>
    <n v="2"/>
    <n v="3"/>
    <n v="3"/>
    <n v="2"/>
    <s v="No"/>
    <s v="Travel_Rarely"/>
    <n v="25"/>
    <n v="18"/>
    <n v="3"/>
    <s v="Yes"/>
    <n v="5"/>
    <x v="1"/>
    <d v="2013-12-05T00:00:00"/>
    <m/>
    <s v="Active"/>
    <s v="36-45"/>
    <s v="4-5 Years"/>
  </r>
  <r>
    <s v="EMP0528"/>
    <n v="34"/>
    <s v="Male"/>
    <x v="2"/>
    <s v="IT Manager"/>
    <s v="M.Tech"/>
    <n v="68413"/>
    <n v="5"/>
    <n v="11"/>
    <n v="2"/>
    <n v="4"/>
    <n v="3"/>
    <n v="1"/>
    <s v="Yes"/>
    <s v="Non-Travel"/>
    <n v="5"/>
    <n v="52"/>
    <n v="4"/>
    <s v="Yes"/>
    <n v="5"/>
    <x v="1"/>
    <d v="2015-07-10T00:00:00"/>
    <m/>
    <s v="Active"/>
    <s v="26-35"/>
    <s v="4-5 Years"/>
  </r>
  <r>
    <s v="EMP0529"/>
    <n v="38"/>
    <s v="Female"/>
    <x v="3"/>
    <s v="Operations Manager"/>
    <s v="B.A"/>
    <n v="127863"/>
    <n v="13"/>
    <n v="16"/>
    <n v="5"/>
    <n v="3"/>
    <n v="1"/>
    <n v="4"/>
    <s v="No"/>
    <s v="Non-Travel"/>
    <n v="9"/>
    <n v="36"/>
    <n v="3"/>
    <s v="Yes"/>
    <n v="4"/>
    <x v="1"/>
    <d v="2014-02-28T00:00:00"/>
    <m/>
    <s v="Active"/>
    <s v="36-45"/>
    <s v="10+ Years"/>
  </r>
  <r>
    <s v="EMP0530"/>
    <n v="33"/>
    <s v="Female"/>
    <x v="2"/>
    <s v="IT Manager"/>
    <s v="M.Tech"/>
    <n v="42706"/>
    <n v="1"/>
    <n v="10"/>
    <n v="1"/>
    <n v="2"/>
    <n v="3"/>
    <n v="1"/>
    <s v="No"/>
    <s v="Non-Travel"/>
    <n v="20"/>
    <n v="24"/>
    <n v="3"/>
    <s v="No"/>
    <n v="4"/>
    <x v="0"/>
    <d v="2019-09-18T00:00:00"/>
    <d v="2021-09-10T00:00:00"/>
    <s v="2021-09-10"/>
    <s v="26-35"/>
    <s v="0-1 Year"/>
  </r>
  <r>
    <s v="EMP0531"/>
    <n v="34"/>
    <s v="Male"/>
    <x v="2"/>
    <s v="Data Analyst"/>
    <s v="B.Tech"/>
    <n v="85383"/>
    <n v="6"/>
    <n v="12"/>
    <n v="3"/>
    <n v="1"/>
    <n v="3"/>
    <n v="4"/>
    <s v="Yes"/>
    <s v="Travel_Rarely"/>
    <n v="7"/>
    <n v="37"/>
    <n v="3"/>
    <s v="Yes"/>
    <n v="5"/>
    <x v="1"/>
    <d v="2021-09-06T00:00:00"/>
    <m/>
    <s v="Active"/>
    <s v="26-35"/>
    <s v="6-10 Years"/>
  </r>
  <r>
    <s v="EMP0532"/>
    <n v="43"/>
    <s v="Male"/>
    <x v="1"/>
    <s v="Sales Executive"/>
    <s v="MBA"/>
    <n v="120825"/>
    <n v="9"/>
    <n v="19"/>
    <n v="5"/>
    <n v="3"/>
    <n v="2"/>
    <n v="4"/>
    <s v="No"/>
    <s v="Non-Travel"/>
    <n v="28"/>
    <n v="37"/>
    <n v="4"/>
    <s v="No"/>
    <n v="1"/>
    <x v="1"/>
    <d v="2016-09-30T00:00:00"/>
    <m/>
    <s v="Active"/>
    <s v="36-45"/>
    <s v="6-10 Years"/>
  </r>
  <r>
    <s v="EMP0533"/>
    <n v="26"/>
    <s v="Female"/>
    <x v="3"/>
    <s v="Operations Manager"/>
    <s v="B.Com"/>
    <n v="45118"/>
    <n v="1"/>
    <n v="5"/>
    <n v="1"/>
    <n v="3"/>
    <n v="1"/>
    <n v="2"/>
    <s v="No"/>
    <s v="Travel_Rarely"/>
    <n v="14"/>
    <n v="23"/>
    <n v="2"/>
    <s v="No"/>
    <n v="5"/>
    <x v="0"/>
    <d v="2018-03-13T00:00:00"/>
    <d v="2019-04-06T00:00:00"/>
    <s v="2019-04-06"/>
    <s v="26-35"/>
    <s v="0-1 Year"/>
  </r>
  <r>
    <s v="EMP0534"/>
    <n v="49"/>
    <s v="Female"/>
    <x v="1"/>
    <s v="Sales Executive"/>
    <s v="B.Tech"/>
    <n v="80167"/>
    <n v="6"/>
    <n v="25"/>
    <n v="3"/>
    <n v="1"/>
    <n v="2"/>
    <n v="4"/>
    <s v="No"/>
    <s v="Travel_Frequently"/>
    <n v="13"/>
    <n v="33"/>
    <n v="2"/>
    <s v="No"/>
    <n v="3"/>
    <x v="1"/>
    <d v="2016-12-04T00:00:00"/>
    <m/>
    <s v="Active"/>
    <s v="46-55"/>
    <s v="6-10 Years"/>
  </r>
  <r>
    <s v="EMP0535"/>
    <n v="50"/>
    <s v="Female"/>
    <x v="3"/>
    <s v="Operations Manager"/>
    <s v="B.A"/>
    <n v="128172"/>
    <n v="15"/>
    <n v="27"/>
    <n v="5"/>
    <n v="1"/>
    <n v="4"/>
    <n v="2"/>
    <s v="No"/>
    <s v="Travel_Frequently"/>
    <n v="16"/>
    <n v="10"/>
    <n v="3"/>
    <s v="Yes"/>
    <n v="2"/>
    <x v="1"/>
    <d v="2021-08-02T00:00:00"/>
    <m/>
    <s v="Active"/>
    <s v="46-55"/>
    <s v="10+ Years"/>
  </r>
  <r>
    <s v="EMP0536"/>
    <n v="42"/>
    <s v="Male"/>
    <x v="0"/>
    <s v="Financial Analyst"/>
    <s v="B.Com"/>
    <n v="83800"/>
    <n v="6"/>
    <n v="18"/>
    <n v="3"/>
    <n v="1"/>
    <n v="1"/>
    <n v="2"/>
    <s v="No"/>
    <s v="Travel_Rarely"/>
    <n v="22"/>
    <n v="14"/>
    <n v="3"/>
    <s v="No"/>
    <n v="2"/>
    <x v="1"/>
    <d v="2023-12-16T00:00:00"/>
    <m/>
    <s v="Active"/>
    <s v="36-45"/>
    <s v="6-10 Years"/>
  </r>
  <r>
    <s v="EMP0537"/>
    <n v="41"/>
    <s v="Female"/>
    <x v="2"/>
    <s v="Data Analyst"/>
    <s v="MBA"/>
    <n v="45554"/>
    <n v="2"/>
    <n v="17"/>
    <n v="1"/>
    <n v="3"/>
    <n v="1"/>
    <n v="2"/>
    <s v="Yes"/>
    <s v="Travel_Rarely"/>
    <n v="21"/>
    <n v="19"/>
    <n v="2"/>
    <s v="No"/>
    <n v="5"/>
    <x v="1"/>
    <d v="2012-11-13T00:00:00"/>
    <m/>
    <s v="Active"/>
    <s v="36-45"/>
    <s v="2-3 Years"/>
  </r>
  <r>
    <s v="EMP0538"/>
    <n v="26"/>
    <s v="Male"/>
    <x v="2"/>
    <s v="Software Engineer"/>
    <s v="BBA"/>
    <n v="58542"/>
    <n v="2"/>
    <n v="2"/>
    <n v="2"/>
    <n v="3"/>
    <n v="3"/>
    <n v="2"/>
    <s v="Yes"/>
    <s v="Travel_Rarely"/>
    <n v="3"/>
    <n v="11"/>
    <n v="2"/>
    <s v="No"/>
    <n v="4"/>
    <x v="0"/>
    <d v="2015-05-31T00:00:00"/>
    <d v="2017-09-25T00:00:00"/>
    <s v="2017-09-25"/>
    <s v="26-35"/>
    <s v="2-3 Years"/>
  </r>
  <r>
    <s v="EMP0539"/>
    <n v="29"/>
    <s v="Female"/>
    <x v="2"/>
    <s v="Data Analyst"/>
    <s v="B.A"/>
    <n v="56531"/>
    <n v="2"/>
    <n v="7"/>
    <n v="2"/>
    <n v="2"/>
    <n v="1"/>
    <n v="4"/>
    <s v="No"/>
    <s v="Travel_Rarely"/>
    <n v="13"/>
    <n v="50"/>
    <n v="3"/>
    <s v="No"/>
    <n v="3"/>
    <x v="0"/>
    <d v="2014-07-30T00:00:00"/>
    <d v="2016-04-17T00:00:00"/>
    <s v="2016-04-17"/>
    <s v="26-35"/>
    <s v="2-3 Years"/>
  </r>
  <r>
    <s v="EMP0540"/>
    <n v="35"/>
    <s v="Male"/>
    <x v="3"/>
    <s v="Operations Manager"/>
    <s v="M.Tech"/>
    <n v="77001"/>
    <n v="3"/>
    <n v="12"/>
    <n v="3"/>
    <n v="4"/>
    <n v="1"/>
    <n v="4"/>
    <s v="Yes"/>
    <s v="Travel_Rarely"/>
    <n v="20"/>
    <n v="25"/>
    <n v="4"/>
    <s v="No"/>
    <n v="5"/>
    <x v="1"/>
    <d v="2019-08-23T00:00:00"/>
    <m/>
    <s v="Active"/>
    <s v="26-35"/>
    <s v="2-3 Years"/>
  </r>
  <r>
    <s v="EMP0541"/>
    <n v="26"/>
    <s v="Male"/>
    <x v="4"/>
    <s v="HR Executive"/>
    <s v="B.Tech"/>
    <n v="59298"/>
    <n v="3"/>
    <n v="4"/>
    <n v="2"/>
    <n v="4"/>
    <n v="2"/>
    <n v="2"/>
    <s v="Yes"/>
    <s v="Travel_Rarely"/>
    <n v="10"/>
    <n v="37"/>
    <n v="3"/>
    <s v="No"/>
    <n v="6"/>
    <x v="0"/>
    <d v="2020-10-11T00:00:00"/>
    <d v="2023-05-12T00:00:00"/>
    <s v="2023-05-12"/>
    <s v="26-35"/>
    <s v="2-3 Years"/>
  </r>
  <r>
    <s v="EMP0542"/>
    <n v="55"/>
    <s v="Female"/>
    <x v="0"/>
    <s v="Financial Analyst"/>
    <s v="B.Com"/>
    <n v="172053"/>
    <n v="34"/>
    <n v="34"/>
    <n v="5"/>
    <n v="4"/>
    <n v="1"/>
    <n v="3"/>
    <s v="No"/>
    <s v="Travel_Rarely"/>
    <n v="20"/>
    <n v="33"/>
    <n v="3"/>
    <s v="No"/>
    <n v="5"/>
    <x v="1"/>
    <d v="2017-05-24T00:00:00"/>
    <m/>
    <s v="Active"/>
    <s v="46-55"/>
    <s v="10+ Years"/>
  </r>
  <r>
    <s v="EMP0543"/>
    <n v="45"/>
    <s v="Female"/>
    <x v="1"/>
    <s v="Sales Executive"/>
    <s v="B.Tech"/>
    <n v="136190"/>
    <n v="17"/>
    <n v="23"/>
    <n v="5"/>
    <n v="1"/>
    <n v="3"/>
    <n v="4"/>
    <s v="No"/>
    <s v="Travel_Frequently"/>
    <n v="4"/>
    <n v="47"/>
    <n v="3"/>
    <s v="No"/>
    <n v="4"/>
    <x v="1"/>
    <d v="2023-01-22T00:00:00"/>
    <m/>
    <s v="Active"/>
    <s v="36-45"/>
    <s v="10+ Years"/>
  </r>
  <r>
    <s v="EMP0544"/>
    <n v="46"/>
    <s v="Female"/>
    <x v="2"/>
    <s v="IT Manager"/>
    <s v="B.A"/>
    <n v="135294"/>
    <n v="17"/>
    <n v="22"/>
    <n v="5"/>
    <n v="4"/>
    <n v="2"/>
    <n v="4"/>
    <s v="No"/>
    <s v="Travel_Rarely"/>
    <n v="18"/>
    <n v="40"/>
    <n v="3"/>
    <s v="No"/>
    <n v="8"/>
    <x v="1"/>
    <d v="2012-04-02T00:00:00"/>
    <m/>
    <s v="Active"/>
    <s v="46-55"/>
    <s v="10+ Years"/>
  </r>
  <r>
    <s v="EMP0545"/>
    <n v="28"/>
    <s v="Male"/>
    <x v="3"/>
    <s v="Operations Manager"/>
    <s v="MBA"/>
    <n v="82476"/>
    <n v="4"/>
    <n v="4"/>
    <n v="3"/>
    <n v="2"/>
    <n v="1"/>
    <n v="3"/>
    <s v="No"/>
    <s v="Non-Travel"/>
    <n v="11"/>
    <n v="59"/>
    <n v="4"/>
    <s v="No"/>
    <n v="6"/>
    <x v="1"/>
    <d v="2014-08-12T00:00:00"/>
    <m/>
    <s v="Active"/>
    <s v="26-35"/>
    <s v="4-5 Years"/>
  </r>
  <r>
    <s v="EMP0546"/>
    <n v="26"/>
    <s v="Female"/>
    <x v="3"/>
    <s v="Operations Manager"/>
    <s v="B.A"/>
    <n v="40266"/>
    <n v="1"/>
    <n v="4"/>
    <n v="1"/>
    <n v="1"/>
    <n v="4"/>
    <n v="2"/>
    <s v="No"/>
    <s v="Travel_Rarely"/>
    <n v="26"/>
    <n v="59"/>
    <n v="3"/>
    <s v="No"/>
    <n v="5"/>
    <x v="1"/>
    <d v="2022-01-27T00:00:00"/>
    <m/>
    <s v="Active"/>
    <s v="26-35"/>
    <s v="0-1 Year"/>
  </r>
  <r>
    <s v="EMP0547"/>
    <n v="57"/>
    <s v="Male"/>
    <x v="2"/>
    <s v="Data Analyst"/>
    <s v="BBA"/>
    <n v="141939"/>
    <n v="20"/>
    <n v="36"/>
    <n v="5"/>
    <n v="1"/>
    <n v="2"/>
    <n v="2"/>
    <s v="No"/>
    <s v="Travel_Rarely"/>
    <n v="26"/>
    <n v="34"/>
    <n v="3"/>
    <s v="Yes"/>
    <n v="9"/>
    <x v="1"/>
    <d v="2015-09-22T00:00:00"/>
    <m/>
    <s v="Active"/>
    <s v="56+"/>
    <s v="10+ Years"/>
  </r>
  <r>
    <s v="EMP0548"/>
    <n v="40"/>
    <s v="Male"/>
    <x v="4"/>
    <s v="HR Executive"/>
    <s v="MBA"/>
    <n v="56386"/>
    <n v="2"/>
    <n v="17"/>
    <n v="2"/>
    <n v="2"/>
    <n v="1"/>
    <n v="3"/>
    <s v="No"/>
    <s v="Non-Travel"/>
    <n v="15"/>
    <n v="48"/>
    <n v="3"/>
    <s v="No"/>
    <n v="7"/>
    <x v="0"/>
    <d v="2018-04-18T00:00:00"/>
    <d v="2019-07-02T00:00:00"/>
    <s v="2019-07-02"/>
    <s v="36-45"/>
    <s v="2-3 Years"/>
  </r>
  <r>
    <s v="EMP0549"/>
    <n v="23"/>
    <s v="Female"/>
    <x v="1"/>
    <s v="Sales Executive"/>
    <s v="BBA"/>
    <n v="53598"/>
    <n v="0"/>
    <n v="1"/>
    <n v="2"/>
    <n v="1"/>
    <n v="3"/>
    <n v="3"/>
    <s v="No"/>
    <s v="Travel_Frequently"/>
    <n v="28"/>
    <n v="23"/>
    <n v="3"/>
    <s v="No"/>
    <n v="10"/>
    <x v="1"/>
    <d v="2018-07-10T00:00:00"/>
    <m/>
    <s v="Active"/>
    <s v="18-25"/>
    <s v="0-1 Year"/>
  </r>
  <r>
    <s v="EMP0550"/>
    <n v="53"/>
    <s v="Male"/>
    <x v="2"/>
    <s v="Software Engineer"/>
    <s v="M.Tech"/>
    <n v="40281"/>
    <n v="0"/>
    <n v="29"/>
    <n v="1"/>
    <n v="4"/>
    <n v="3"/>
    <n v="2"/>
    <s v="No"/>
    <s v="Non-Travel"/>
    <n v="5"/>
    <n v="43"/>
    <n v="3"/>
    <s v="No"/>
    <n v="5"/>
    <x v="1"/>
    <d v="2012-02-22T00:00:00"/>
    <m/>
    <s v="Active"/>
    <s v="46-55"/>
    <s v="0-1 Year"/>
  </r>
  <r>
    <s v="EMP0551"/>
    <n v="42"/>
    <s v="Male"/>
    <x v="2"/>
    <s v="IT Manager"/>
    <s v="B.Tech"/>
    <n v="79226"/>
    <n v="3"/>
    <n v="18"/>
    <n v="3"/>
    <n v="2"/>
    <n v="2"/>
    <n v="2"/>
    <s v="No"/>
    <s v="Travel_Rarely"/>
    <n v="9"/>
    <n v="16"/>
    <n v="3"/>
    <s v="No"/>
    <n v="6"/>
    <x v="1"/>
    <d v="2021-02-12T00:00:00"/>
    <m/>
    <s v="Active"/>
    <s v="36-45"/>
    <s v="2-3 Years"/>
  </r>
  <r>
    <s v="EMP0552"/>
    <n v="55"/>
    <s v="Male"/>
    <x v="1"/>
    <s v="Sales Executive"/>
    <s v="B.Tech"/>
    <n v="153813"/>
    <n v="28"/>
    <n v="31"/>
    <n v="5"/>
    <n v="3"/>
    <n v="3"/>
    <n v="3"/>
    <s v="No"/>
    <s v="Travel_Frequently"/>
    <n v="19"/>
    <n v="13"/>
    <n v="3"/>
    <s v="No"/>
    <n v="7"/>
    <x v="1"/>
    <d v="2020-01-17T00:00:00"/>
    <m/>
    <s v="Active"/>
    <s v="46-55"/>
    <s v="10+ Years"/>
  </r>
  <r>
    <s v="EMP0553"/>
    <n v="31"/>
    <s v="Female"/>
    <x v="4"/>
    <s v="HR Executive"/>
    <s v="B.A"/>
    <n v="100920"/>
    <n v="7"/>
    <n v="10"/>
    <n v="4"/>
    <n v="4"/>
    <n v="4"/>
    <n v="4"/>
    <s v="Yes"/>
    <s v="Non-Travel"/>
    <n v="12"/>
    <n v="30"/>
    <n v="4"/>
    <s v="Yes"/>
    <n v="3"/>
    <x v="1"/>
    <d v="2013-01-24T00:00:00"/>
    <m/>
    <s v="Active"/>
    <s v="26-35"/>
    <s v="6-10 Years"/>
  </r>
  <r>
    <s v="EMP0554"/>
    <n v="22"/>
    <s v="Female"/>
    <x v="4"/>
    <s v="HR Executive"/>
    <s v="MBA"/>
    <n v="54190"/>
    <n v="1"/>
    <n v="1"/>
    <n v="2"/>
    <n v="4"/>
    <n v="1"/>
    <n v="2"/>
    <s v="No"/>
    <s v="Travel_Rarely"/>
    <n v="23"/>
    <n v="15"/>
    <n v="3"/>
    <s v="No"/>
    <n v="3"/>
    <x v="1"/>
    <d v="2013-06-29T00:00:00"/>
    <m/>
    <s v="Active"/>
    <s v="18-25"/>
    <s v="0-1 Year"/>
  </r>
  <r>
    <s v="EMP0555"/>
    <n v="43"/>
    <s v="Female"/>
    <x v="1"/>
    <s v="Sales Executive"/>
    <s v="B.A"/>
    <n v="104625"/>
    <n v="11"/>
    <n v="20"/>
    <n v="4"/>
    <n v="3"/>
    <n v="4"/>
    <n v="4"/>
    <s v="No"/>
    <s v="Travel_Rarely"/>
    <n v="13"/>
    <n v="13"/>
    <n v="3"/>
    <s v="Yes"/>
    <n v="6"/>
    <x v="1"/>
    <d v="2016-01-26T00:00:00"/>
    <m/>
    <s v="Active"/>
    <s v="36-45"/>
    <s v="10+ Years"/>
  </r>
  <r>
    <s v="EMP0556"/>
    <n v="36"/>
    <s v="Female"/>
    <x v="5"/>
    <s v="Marketing Manager"/>
    <s v="BBA"/>
    <n v="116532"/>
    <n v="9"/>
    <n v="14"/>
    <n v="5"/>
    <n v="3"/>
    <n v="3"/>
    <n v="2"/>
    <s v="Yes"/>
    <s v="Travel_Rarely"/>
    <n v="9"/>
    <n v="45"/>
    <n v="3"/>
    <s v="Yes"/>
    <n v="5"/>
    <x v="1"/>
    <d v="2018-10-29T00:00:00"/>
    <m/>
    <s v="Active"/>
    <s v="36-45"/>
    <s v="6-10 Years"/>
  </r>
  <r>
    <s v="EMP0557"/>
    <n v="25"/>
    <s v="Female"/>
    <x v="1"/>
    <s v="Sales Manager"/>
    <s v="BBA"/>
    <n v="38284"/>
    <n v="0"/>
    <n v="2"/>
    <n v="1"/>
    <n v="2"/>
    <n v="4"/>
    <n v="3"/>
    <s v="No"/>
    <s v="Travel_Frequently"/>
    <n v="1"/>
    <n v="31"/>
    <n v="3"/>
    <s v="No"/>
    <n v="2"/>
    <x v="1"/>
    <d v="2017-04-02T00:00:00"/>
    <m/>
    <s v="Active"/>
    <s v="18-25"/>
    <s v="0-1 Year"/>
  </r>
  <r>
    <s v="EMP0558"/>
    <n v="49"/>
    <s v="Male"/>
    <x v="0"/>
    <s v="Finance Manager"/>
    <s v="B.A"/>
    <n v="45580"/>
    <n v="1"/>
    <n v="27"/>
    <n v="1"/>
    <n v="4"/>
    <n v="3"/>
    <n v="1"/>
    <s v="No"/>
    <s v="Travel_Rarely"/>
    <n v="8"/>
    <n v="40"/>
    <n v="3"/>
    <s v="No"/>
    <n v="3"/>
    <x v="1"/>
    <d v="2016-01-05T00:00:00"/>
    <m/>
    <s v="Active"/>
    <s v="46-55"/>
    <s v="0-1 Year"/>
  </r>
  <r>
    <s v="EMP0559"/>
    <n v="29"/>
    <s v="Female"/>
    <x v="0"/>
    <s v="Financial Analyst"/>
    <s v="MBA"/>
    <n v="37742"/>
    <n v="0"/>
    <n v="6"/>
    <n v="1"/>
    <n v="1"/>
    <n v="3"/>
    <n v="1"/>
    <s v="No"/>
    <s v="Travel_Rarely"/>
    <n v="11"/>
    <n v="31"/>
    <n v="3"/>
    <s v="No"/>
    <n v="4"/>
    <x v="1"/>
    <d v="2012-09-09T00:00:00"/>
    <m/>
    <s v="Active"/>
    <s v="26-35"/>
    <s v="0-1 Year"/>
  </r>
  <r>
    <s v="EMP0560"/>
    <n v="59"/>
    <s v="Male"/>
    <x v="0"/>
    <s v="Financial Analyst"/>
    <s v="BBA"/>
    <n v="77304"/>
    <n v="5"/>
    <n v="37"/>
    <n v="3"/>
    <n v="3"/>
    <n v="3"/>
    <n v="1"/>
    <s v="No"/>
    <s v="Travel_Rarely"/>
    <n v="21"/>
    <n v="10"/>
    <n v="4"/>
    <s v="No"/>
    <n v="4"/>
    <x v="1"/>
    <d v="2019-12-04T00:00:00"/>
    <m/>
    <s v="Active"/>
    <s v="56+"/>
    <s v="4-5 Years"/>
  </r>
  <r>
    <s v="EMP0561"/>
    <n v="57"/>
    <s v="Female"/>
    <x v="4"/>
    <s v="HR Executive"/>
    <s v="BBA"/>
    <n v="161382"/>
    <n v="29"/>
    <n v="36"/>
    <n v="5"/>
    <n v="1"/>
    <n v="2"/>
    <n v="4"/>
    <s v="Yes"/>
    <s v="Travel_Rarely"/>
    <n v="13"/>
    <n v="44"/>
    <n v="3"/>
    <s v="Yes"/>
    <n v="5"/>
    <x v="0"/>
    <d v="2018-01-10T00:00:00"/>
    <d v="2019-11-10T00:00:00"/>
    <s v="2019-11-10"/>
    <s v="56+"/>
    <s v="10+ Years"/>
  </r>
  <r>
    <s v="EMP0562"/>
    <n v="41"/>
    <s v="Male"/>
    <x v="5"/>
    <s v="Marketing Manager"/>
    <s v="B.Com"/>
    <n v="55908"/>
    <n v="1"/>
    <n v="19"/>
    <n v="2"/>
    <n v="3"/>
    <n v="2"/>
    <n v="3"/>
    <s v="No"/>
    <s v="Travel_Frequently"/>
    <n v="7"/>
    <n v="50"/>
    <n v="3"/>
    <s v="No"/>
    <n v="3"/>
    <x v="1"/>
    <d v="2015-03-11T00:00:00"/>
    <m/>
    <s v="Active"/>
    <s v="36-45"/>
    <s v="0-1 Year"/>
  </r>
  <r>
    <s v="EMP0563"/>
    <n v="41"/>
    <s v="Male"/>
    <x v="1"/>
    <s v="Sales Manager"/>
    <s v="B.A"/>
    <n v="129742"/>
    <n v="13"/>
    <n v="18"/>
    <n v="5"/>
    <n v="4"/>
    <n v="4"/>
    <n v="3"/>
    <s v="Yes"/>
    <s v="Travel_Rarely"/>
    <n v="9"/>
    <n v="27"/>
    <n v="3"/>
    <s v="Yes"/>
    <n v="5"/>
    <x v="1"/>
    <d v="2012-08-20T00:00:00"/>
    <m/>
    <s v="Active"/>
    <s v="36-45"/>
    <s v="10+ Years"/>
  </r>
  <r>
    <s v="EMP0564"/>
    <n v="55"/>
    <s v="Male"/>
    <x v="4"/>
    <s v="HR Executive"/>
    <s v="B.Tech"/>
    <n v="130845"/>
    <n v="13"/>
    <n v="33"/>
    <n v="5"/>
    <n v="3"/>
    <n v="1"/>
    <n v="2"/>
    <s v="No"/>
    <s v="Travel_Rarely"/>
    <n v="28"/>
    <n v="59"/>
    <n v="3"/>
    <s v="No"/>
    <n v="9"/>
    <x v="1"/>
    <d v="2014-10-29T00:00:00"/>
    <m/>
    <s v="Active"/>
    <s v="46-55"/>
    <s v="10+ Years"/>
  </r>
  <r>
    <s v="EMP0565"/>
    <n v="58"/>
    <s v="Male"/>
    <x v="1"/>
    <s v="Sales Manager"/>
    <s v="B.Com"/>
    <n v="96443"/>
    <n v="7"/>
    <n v="35"/>
    <n v="4"/>
    <n v="3"/>
    <n v="3"/>
    <n v="3"/>
    <s v="No"/>
    <s v="Travel_Rarely"/>
    <n v="23"/>
    <n v="51"/>
    <n v="4"/>
    <s v="No"/>
    <n v="7"/>
    <x v="0"/>
    <d v="2017-04-13T00:00:00"/>
    <d v="2018-05-15T00:00:00"/>
    <s v="2018-05-15"/>
    <s v="56+"/>
    <s v="6-10 Years"/>
  </r>
  <r>
    <s v="EMP0566"/>
    <n v="58"/>
    <s v="Male"/>
    <x v="5"/>
    <s v="Marketing Manager"/>
    <s v="B.Tech"/>
    <n v="171923"/>
    <n v="34"/>
    <n v="36"/>
    <n v="5"/>
    <n v="4"/>
    <n v="2"/>
    <n v="4"/>
    <s v="No"/>
    <s v="Travel_Rarely"/>
    <n v="22"/>
    <n v="28"/>
    <n v="3"/>
    <s v="Yes"/>
    <n v="6"/>
    <x v="1"/>
    <d v="2013-05-07T00:00:00"/>
    <m/>
    <s v="Active"/>
    <s v="56+"/>
    <s v="10+ Years"/>
  </r>
  <r>
    <s v="EMP0567"/>
    <n v="43"/>
    <s v="Female"/>
    <x v="2"/>
    <s v="IT Manager"/>
    <s v="B.A"/>
    <n v="128288"/>
    <n v="12"/>
    <n v="22"/>
    <n v="5"/>
    <n v="3"/>
    <n v="4"/>
    <n v="4"/>
    <s v="No"/>
    <s v="Travel_Frequently"/>
    <n v="5"/>
    <n v="14"/>
    <n v="4"/>
    <s v="No"/>
    <n v="7"/>
    <x v="1"/>
    <d v="2018-07-04T00:00:00"/>
    <m/>
    <s v="Active"/>
    <s v="36-45"/>
    <s v="10+ Years"/>
  </r>
  <r>
    <s v="EMP0568"/>
    <n v="56"/>
    <s v="Female"/>
    <x v="0"/>
    <s v="Financial Analyst"/>
    <s v="M.Tech"/>
    <n v="168738"/>
    <n v="32"/>
    <n v="34"/>
    <n v="5"/>
    <n v="4"/>
    <n v="2"/>
    <n v="2"/>
    <s v="No"/>
    <s v="Travel_Rarely"/>
    <n v="27"/>
    <n v="13"/>
    <n v="2"/>
    <s v="No"/>
    <n v="7"/>
    <x v="1"/>
    <d v="2019-08-10T00:00:00"/>
    <m/>
    <s v="Active"/>
    <s v="56+"/>
    <s v="10+ Years"/>
  </r>
  <r>
    <s v="EMP0569"/>
    <n v="43"/>
    <s v="Male"/>
    <x v="2"/>
    <s v="IT Manager"/>
    <s v="B.Com"/>
    <n v="48366"/>
    <n v="2"/>
    <n v="22"/>
    <n v="1"/>
    <n v="1"/>
    <n v="4"/>
    <n v="3"/>
    <s v="No"/>
    <s v="Travel_Rarely"/>
    <n v="23"/>
    <n v="48"/>
    <n v="3"/>
    <s v="No"/>
    <n v="5"/>
    <x v="1"/>
    <d v="2023-02-16T00:00:00"/>
    <m/>
    <s v="Active"/>
    <s v="36-45"/>
    <s v="2-3 Years"/>
  </r>
  <r>
    <s v="EMP0570"/>
    <n v="49"/>
    <s v="Male"/>
    <x v="1"/>
    <s v="Sales Manager"/>
    <s v="MBA"/>
    <n v="134078"/>
    <n v="16"/>
    <n v="26"/>
    <n v="5"/>
    <n v="1"/>
    <n v="3"/>
    <n v="2"/>
    <s v="No"/>
    <s v="Travel_Rarely"/>
    <n v="3"/>
    <n v="37"/>
    <n v="3"/>
    <s v="Yes"/>
    <n v="6"/>
    <x v="1"/>
    <d v="2023-10-25T00:00:00"/>
    <m/>
    <s v="Active"/>
    <s v="46-55"/>
    <s v="10+ Years"/>
  </r>
  <r>
    <s v="EMP0571"/>
    <n v="36"/>
    <s v="Female"/>
    <x v="4"/>
    <s v="HR Manager"/>
    <s v="B.A"/>
    <n v="57546"/>
    <n v="1"/>
    <n v="13"/>
    <n v="2"/>
    <n v="2"/>
    <n v="2"/>
    <n v="1"/>
    <s v="No"/>
    <s v="Travel_Rarely"/>
    <n v="25"/>
    <n v="59"/>
    <n v="4"/>
    <s v="No"/>
    <n v="5"/>
    <x v="1"/>
    <d v="2016-04-05T00:00:00"/>
    <m/>
    <s v="Active"/>
    <s v="36-45"/>
    <s v="0-1 Year"/>
  </r>
  <r>
    <s v="EMP0572"/>
    <n v="22"/>
    <s v="Female"/>
    <x v="5"/>
    <s v="Marketing Manager"/>
    <s v="B.A"/>
    <n v="61199"/>
    <n v="1"/>
    <n v="1"/>
    <n v="2"/>
    <n v="2"/>
    <n v="2"/>
    <n v="2"/>
    <s v="No"/>
    <s v="Travel_Rarely"/>
    <n v="11"/>
    <n v="11"/>
    <n v="3"/>
    <s v="No"/>
    <n v="6"/>
    <x v="0"/>
    <d v="2020-05-23T00:00:00"/>
    <d v="2021-04-15T00:00:00"/>
    <s v="2021-04-15"/>
    <s v="18-25"/>
    <s v="0-1 Year"/>
  </r>
  <r>
    <s v="EMP0573"/>
    <n v="44"/>
    <s v="Male"/>
    <x v="2"/>
    <s v="Data Analyst"/>
    <s v="B.Tech"/>
    <n v="84767"/>
    <n v="7"/>
    <n v="22"/>
    <n v="3"/>
    <n v="4"/>
    <n v="3"/>
    <n v="4"/>
    <s v="No"/>
    <s v="Travel_Rarely"/>
    <n v="8"/>
    <n v="54"/>
    <n v="3"/>
    <s v="No"/>
    <n v="7"/>
    <x v="1"/>
    <d v="2018-12-17T00:00:00"/>
    <m/>
    <s v="Active"/>
    <s v="36-45"/>
    <s v="6-10 Years"/>
  </r>
  <r>
    <s v="EMP0574"/>
    <n v="33"/>
    <s v="Male"/>
    <x v="2"/>
    <s v="Software Engineer"/>
    <s v="M.Tech"/>
    <n v="74305"/>
    <n v="3"/>
    <n v="10"/>
    <n v="3"/>
    <n v="1"/>
    <n v="3"/>
    <n v="4"/>
    <s v="No"/>
    <s v="Travel_Rarely"/>
    <n v="16"/>
    <n v="18"/>
    <n v="3"/>
    <s v="No"/>
    <n v="6"/>
    <x v="0"/>
    <d v="2021-06-07T00:00:00"/>
    <d v="2023-02-14T00:00:00"/>
    <s v="2023-02-14"/>
    <s v="26-35"/>
    <s v="2-3 Years"/>
  </r>
  <r>
    <s v="EMP0575"/>
    <n v="25"/>
    <s v="Male"/>
    <x v="2"/>
    <s v="IT Manager"/>
    <s v="B.Tech"/>
    <n v="40118"/>
    <n v="0"/>
    <n v="1"/>
    <n v="1"/>
    <n v="1"/>
    <n v="2"/>
    <n v="2"/>
    <s v="No"/>
    <s v="Travel_Rarely"/>
    <n v="28"/>
    <n v="12"/>
    <n v="3"/>
    <s v="No"/>
    <n v="6"/>
    <x v="1"/>
    <d v="2019-06-19T00:00:00"/>
    <m/>
    <s v="Active"/>
    <s v="18-25"/>
    <s v="0-1 Year"/>
  </r>
  <r>
    <s v="EMP0576"/>
    <n v="52"/>
    <s v="Female"/>
    <x v="2"/>
    <s v="IT Manager"/>
    <s v="B.A"/>
    <n v="159339"/>
    <n v="30"/>
    <n v="30"/>
    <n v="5"/>
    <n v="3"/>
    <n v="4"/>
    <n v="4"/>
    <s v="No"/>
    <s v="Travel_Rarely"/>
    <n v="17"/>
    <n v="14"/>
    <n v="3"/>
    <s v="Yes"/>
    <n v="5"/>
    <x v="1"/>
    <d v="2012-04-16T00:00:00"/>
    <m/>
    <s v="Active"/>
    <s v="46-55"/>
    <s v="10+ Years"/>
  </r>
  <r>
    <s v="EMP0577"/>
    <n v="55"/>
    <s v="Female"/>
    <x v="5"/>
    <s v="Marketing Analyst"/>
    <s v="B.Tech"/>
    <n v="144378"/>
    <n v="21"/>
    <n v="34"/>
    <n v="5"/>
    <n v="2"/>
    <n v="1"/>
    <n v="3"/>
    <s v="Yes"/>
    <s v="Travel_Rarely"/>
    <n v="25"/>
    <n v="41"/>
    <n v="4"/>
    <s v="No"/>
    <n v="4"/>
    <x v="1"/>
    <d v="2019-07-13T00:00:00"/>
    <m/>
    <s v="Active"/>
    <s v="46-55"/>
    <s v="10+ Years"/>
  </r>
  <r>
    <s v="EMP0578"/>
    <n v="46"/>
    <s v="Male"/>
    <x v="2"/>
    <s v="IT Manager"/>
    <s v="BBA"/>
    <n v="105585"/>
    <n v="9"/>
    <n v="25"/>
    <n v="4"/>
    <n v="4"/>
    <n v="1"/>
    <n v="4"/>
    <s v="No"/>
    <s v="Travel_Rarely"/>
    <n v="16"/>
    <n v="20"/>
    <n v="3"/>
    <s v="Yes"/>
    <n v="5"/>
    <x v="1"/>
    <d v="2023-09-26T00:00:00"/>
    <m/>
    <s v="Active"/>
    <s v="46-55"/>
    <s v="6-10 Years"/>
  </r>
  <r>
    <s v="EMP0579"/>
    <n v="45"/>
    <s v="Male"/>
    <x v="2"/>
    <s v="Software Engineer"/>
    <s v="B.A"/>
    <n v="102285"/>
    <n v="9"/>
    <n v="23"/>
    <n v="4"/>
    <n v="1"/>
    <n v="3"/>
    <n v="4"/>
    <s v="No"/>
    <s v="Travel_Rarely"/>
    <n v="17"/>
    <n v="19"/>
    <n v="3"/>
    <s v="No"/>
    <n v="6"/>
    <x v="1"/>
    <d v="2023-12-01T00:00:00"/>
    <m/>
    <s v="Active"/>
    <s v="36-45"/>
    <s v="6-10 Years"/>
  </r>
  <r>
    <s v="EMP0580"/>
    <n v="38"/>
    <s v="Male"/>
    <x v="2"/>
    <s v="Data Analyst"/>
    <s v="BBA"/>
    <n v="109426"/>
    <n v="10"/>
    <n v="15"/>
    <n v="4"/>
    <n v="2"/>
    <n v="4"/>
    <n v="1"/>
    <s v="No"/>
    <s v="Travel_Rarely"/>
    <n v="20"/>
    <n v="30"/>
    <n v="2"/>
    <s v="Yes"/>
    <n v="3"/>
    <x v="1"/>
    <d v="2019-02-09T00:00:00"/>
    <m/>
    <s v="Active"/>
    <s v="36-45"/>
    <s v="6-10 Years"/>
  </r>
  <r>
    <s v="EMP0581"/>
    <n v="37"/>
    <s v="Male"/>
    <x v="2"/>
    <s v="Software Engineer"/>
    <s v="M.Tech"/>
    <n v="63638"/>
    <n v="2"/>
    <n v="14"/>
    <n v="2"/>
    <n v="3"/>
    <n v="3"/>
    <n v="2"/>
    <s v="No"/>
    <s v="Non-Travel"/>
    <n v="10"/>
    <n v="32"/>
    <n v="3"/>
    <s v="No"/>
    <n v="7"/>
    <x v="1"/>
    <d v="2015-11-01T00:00:00"/>
    <m/>
    <s v="Active"/>
    <s v="36-45"/>
    <s v="2-3 Years"/>
  </r>
  <r>
    <s v="EMP0582"/>
    <n v="23"/>
    <s v="Female"/>
    <x v="0"/>
    <s v="Financial Analyst"/>
    <s v="B.A"/>
    <n v="57260"/>
    <n v="1"/>
    <n v="1"/>
    <n v="2"/>
    <n v="4"/>
    <n v="3"/>
    <n v="4"/>
    <s v="No"/>
    <s v="Travel_Rarely"/>
    <n v="21"/>
    <n v="36"/>
    <n v="3"/>
    <s v="No"/>
    <n v="4"/>
    <x v="1"/>
    <d v="2013-04-13T00:00:00"/>
    <m/>
    <s v="Active"/>
    <s v="18-25"/>
    <s v="0-1 Year"/>
  </r>
  <r>
    <s v="EMP0583"/>
    <n v="39"/>
    <s v="Male"/>
    <x v="5"/>
    <s v="Marketing Analyst"/>
    <s v="MBA"/>
    <n v="121951"/>
    <n v="12"/>
    <n v="15"/>
    <n v="5"/>
    <n v="1"/>
    <n v="2"/>
    <n v="3"/>
    <s v="No"/>
    <s v="Travel_Rarely"/>
    <n v="19"/>
    <n v="10"/>
    <n v="3"/>
    <s v="No"/>
    <n v="4"/>
    <x v="1"/>
    <d v="2019-10-18T00:00:00"/>
    <m/>
    <s v="Active"/>
    <s v="36-45"/>
    <s v="10+ Years"/>
  </r>
  <r>
    <s v="EMP0584"/>
    <n v="25"/>
    <s v="Female"/>
    <x v="1"/>
    <s v="Sales Executive"/>
    <s v="B.Tech"/>
    <n v="57198"/>
    <n v="1"/>
    <n v="4"/>
    <n v="2"/>
    <n v="3"/>
    <n v="2"/>
    <n v="2"/>
    <s v="No"/>
    <s v="Travel_Rarely"/>
    <n v="13"/>
    <n v="52"/>
    <n v="3"/>
    <s v="No"/>
    <n v="4"/>
    <x v="1"/>
    <d v="2018-08-07T00:00:00"/>
    <m/>
    <s v="Active"/>
    <s v="18-25"/>
    <s v="0-1 Year"/>
  </r>
  <r>
    <s v="EMP0585"/>
    <n v="26"/>
    <s v="Female"/>
    <x v="2"/>
    <s v="Data Analyst"/>
    <s v="MBA"/>
    <n v="58286"/>
    <n v="2"/>
    <n v="2"/>
    <n v="2"/>
    <n v="2"/>
    <n v="2"/>
    <n v="1"/>
    <s v="Yes"/>
    <s v="Travel_Rarely"/>
    <n v="23"/>
    <n v="22"/>
    <n v="2"/>
    <s v="No"/>
    <n v="10"/>
    <x v="0"/>
    <d v="2012-03-11T00:00:00"/>
    <d v="2014-09-23T00:00:00"/>
    <s v="2014-09-23"/>
    <s v="26-35"/>
    <s v="2-3 Years"/>
  </r>
  <r>
    <s v="EMP0586"/>
    <n v="24"/>
    <s v="Male"/>
    <x v="4"/>
    <s v="HR Manager"/>
    <s v="MBA"/>
    <n v="54192"/>
    <n v="0"/>
    <n v="2"/>
    <n v="2"/>
    <n v="1"/>
    <n v="4"/>
    <n v="2"/>
    <s v="No"/>
    <s v="Travel_Frequently"/>
    <n v="6"/>
    <n v="38"/>
    <n v="3"/>
    <s v="No"/>
    <n v="2"/>
    <x v="1"/>
    <d v="2015-07-26T00:00:00"/>
    <m/>
    <s v="Active"/>
    <s v="18-25"/>
    <s v="0-1 Year"/>
  </r>
  <r>
    <s v="EMP0587"/>
    <n v="29"/>
    <s v="Female"/>
    <x v="0"/>
    <s v="Finance Manager"/>
    <s v="B.Tech"/>
    <n v="73099"/>
    <n v="3"/>
    <n v="8"/>
    <n v="3"/>
    <n v="1"/>
    <n v="4"/>
    <n v="4"/>
    <s v="No"/>
    <s v="Travel_Frequently"/>
    <n v="21"/>
    <n v="22"/>
    <n v="3"/>
    <s v="No"/>
    <n v="4"/>
    <x v="1"/>
    <d v="2019-04-19T00:00:00"/>
    <m/>
    <s v="Active"/>
    <s v="26-35"/>
    <s v="2-3 Years"/>
  </r>
  <r>
    <s v="EMP0588"/>
    <n v="39"/>
    <s v="Female"/>
    <x v="3"/>
    <s v="Operations Manager"/>
    <s v="M.Tech"/>
    <n v="128516"/>
    <n v="13"/>
    <n v="18"/>
    <n v="5"/>
    <n v="1"/>
    <n v="4"/>
    <n v="4"/>
    <s v="No"/>
    <s v="Travel_Rarely"/>
    <n v="25"/>
    <n v="57"/>
    <n v="3"/>
    <s v="No"/>
    <n v="5"/>
    <x v="1"/>
    <d v="2017-01-10T00:00:00"/>
    <m/>
    <s v="Active"/>
    <s v="36-45"/>
    <s v="10+ Years"/>
  </r>
  <r>
    <s v="EMP0589"/>
    <n v="36"/>
    <s v="Female"/>
    <x v="3"/>
    <s v="Operations Manager"/>
    <s v="B.Com"/>
    <n v="130256"/>
    <n v="13"/>
    <n v="14"/>
    <n v="5"/>
    <n v="1"/>
    <n v="1"/>
    <n v="1"/>
    <s v="No"/>
    <s v="Travel_Rarely"/>
    <n v="24"/>
    <n v="33"/>
    <n v="3"/>
    <s v="Yes"/>
    <n v="7"/>
    <x v="1"/>
    <d v="2013-03-18T00:00:00"/>
    <m/>
    <s v="Active"/>
    <s v="36-45"/>
    <s v="10+ Years"/>
  </r>
  <r>
    <s v="EMP0590"/>
    <n v="22"/>
    <s v="Female"/>
    <x v="1"/>
    <s v="Sales Manager"/>
    <s v="B.Tech"/>
    <n v="40707"/>
    <n v="1"/>
    <n v="1"/>
    <n v="1"/>
    <n v="4"/>
    <n v="1"/>
    <n v="4"/>
    <s v="No"/>
    <s v="Travel_Rarely"/>
    <n v="1"/>
    <n v="29"/>
    <n v="2"/>
    <s v="No"/>
    <n v="4"/>
    <x v="1"/>
    <d v="2022-03-09T00:00:00"/>
    <m/>
    <s v="Active"/>
    <s v="18-25"/>
    <s v="0-1 Year"/>
  </r>
  <r>
    <s v="EMP0591"/>
    <n v="38"/>
    <s v="Male"/>
    <x v="0"/>
    <s v="Financial Analyst"/>
    <s v="B.A"/>
    <n v="124430"/>
    <n v="10"/>
    <n v="14"/>
    <n v="5"/>
    <n v="2"/>
    <n v="3"/>
    <n v="4"/>
    <s v="No"/>
    <s v="Travel_Rarely"/>
    <n v="10"/>
    <n v="48"/>
    <n v="3"/>
    <s v="Yes"/>
    <n v="5"/>
    <x v="1"/>
    <d v="2014-01-10T00:00:00"/>
    <m/>
    <s v="Active"/>
    <s v="36-45"/>
    <s v="6-10 Years"/>
  </r>
  <r>
    <s v="EMP0592"/>
    <n v="39"/>
    <s v="Female"/>
    <x v="4"/>
    <s v="HR Executive"/>
    <s v="B.A"/>
    <n v="61100"/>
    <n v="1"/>
    <n v="16"/>
    <n v="2"/>
    <n v="2"/>
    <n v="3"/>
    <n v="1"/>
    <s v="No"/>
    <s v="Travel_Rarely"/>
    <n v="10"/>
    <n v="58"/>
    <n v="2"/>
    <s v="No"/>
    <n v="8"/>
    <x v="1"/>
    <d v="2023-06-17T00:00:00"/>
    <m/>
    <s v="Active"/>
    <s v="36-45"/>
    <s v="0-1 Year"/>
  </r>
  <r>
    <s v="EMP0593"/>
    <n v="52"/>
    <s v="Female"/>
    <x v="2"/>
    <s v="Data Analyst"/>
    <s v="B.A"/>
    <n v="155780"/>
    <n v="26"/>
    <n v="28"/>
    <n v="5"/>
    <n v="1"/>
    <n v="2"/>
    <n v="4"/>
    <s v="Yes"/>
    <s v="Travel_Rarely"/>
    <n v="14"/>
    <n v="53"/>
    <n v="3"/>
    <s v="No"/>
    <n v="2"/>
    <x v="1"/>
    <d v="2019-01-06T00:00:00"/>
    <m/>
    <s v="Active"/>
    <s v="46-55"/>
    <s v="10+ Years"/>
  </r>
  <r>
    <s v="EMP0594"/>
    <n v="25"/>
    <s v="Male"/>
    <x v="2"/>
    <s v="Software Engineer"/>
    <s v="MBA"/>
    <n v="41004"/>
    <n v="0"/>
    <n v="1"/>
    <n v="1"/>
    <n v="3"/>
    <n v="3"/>
    <n v="1"/>
    <s v="No"/>
    <s v="Travel_Rarely"/>
    <n v="12"/>
    <n v="57"/>
    <n v="3"/>
    <s v="No"/>
    <n v="7"/>
    <x v="1"/>
    <d v="2014-08-26T00:00:00"/>
    <m/>
    <s v="Active"/>
    <s v="18-25"/>
    <s v="0-1 Year"/>
  </r>
  <r>
    <s v="EMP0595"/>
    <n v="26"/>
    <s v="Female"/>
    <x v="0"/>
    <s v="Financial Analyst"/>
    <s v="B.A"/>
    <n v="65943"/>
    <n v="3"/>
    <n v="5"/>
    <n v="2"/>
    <n v="2"/>
    <n v="1"/>
    <n v="1"/>
    <s v="Yes"/>
    <s v="Travel_Rarely"/>
    <n v="7"/>
    <n v="13"/>
    <n v="3"/>
    <s v="No"/>
    <n v="4"/>
    <x v="1"/>
    <d v="2013-06-01T00:00:00"/>
    <m/>
    <s v="Active"/>
    <s v="26-35"/>
    <s v="2-3 Years"/>
  </r>
  <r>
    <s v="EMP0596"/>
    <n v="51"/>
    <s v="Male"/>
    <x v="5"/>
    <s v="Marketing Manager"/>
    <s v="B.A"/>
    <n v="46824"/>
    <n v="2"/>
    <n v="28"/>
    <n v="1"/>
    <n v="3"/>
    <n v="2"/>
    <n v="3"/>
    <s v="Yes"/>
    <s v="Non-Travel"/>
    <n v="20"/>
    <n v="14"/>
    <n v="2"/>
    <s v="No"/>
    <n v="6"/>
    <x v="1"/>
    <d v="2020-09-13T00:00:00"/>
    <m/>
    <s v="Active"/>
    <s v="46-55"/>
    <s v="2-3 Years"/>
  </r>
  <r>
    <s v="EMP0597"/>
    <n v="23"/>
    <s v="Male"/>
    <x v="2"/>
    <s v="IT Manager"/>
    <s v="M.Tech"/>
    <n v="60866"/>
    <n v="2"/>
    <n v="2"/>
    <n v="2"/>
    <n v="2"/>
    <n v="4"/>
    <n v="2"/>
    <s v="No"/>
    <s v="Travel_Rarely"/>
    <n v="1"/>
    <n v="33"/>
    <n v="3"/>
    <s v="No"/>
    <n v="7"/>
    <x v="1"/>
    <d v="2017-09-17T00:00:00"/>
    <m/>
    <s v="Active"/>
    <s v="18-25"/>
    <s v="2-3 Years"/>
  </r>
  <r>
    <s v="EMP0598"/>
    <n v="53"/>
    <s v="Female"/>
    <x v="3"/>
    <s v="Operations Executive"/>
    <s v="BBA"/>
    <n v="120408"/>
    <n v="10"/>
    <n v="29"/>
    <n v="5"/>
    <n v="4"/>
    <n v="3"/>
    <n v="1"/>
    <s v="Yes"/>
    <s v="Travel_Rarely"/>
    <n v="3"/>
    <n v="48"/>
    <n v="3"/>
    <s v="Yes"/>
    <n v="5"/>
    <x v="1"/>
    <d v="2023-02-05T00:00:00"/>
    <m/>
    <s v="Active"/>
    <s v="46-55"/>
    <s v="6-10 Years"/>
  </r>
  <r>
    <s v="EMP0599"/>
    <n v="26"/>
    <s v="Male"/>
    <x v="4"/>
    <s v="HR Executive"/>
    <s v="B.Com"/>
    <n v="55754"/>
    <n v="0"/>
    <n v="3"/>
    <n v="2"/>
    <n v="4"/>
    <n v="3"/>
    <n v="2"/>
    <s v="No"/>
    <s v="Non-Travel"/>
    <n v="13"/>
    <n v="31"/>
    <n v="3"/>
    <s v="No"/>
    <n v="5"/>
    <x v="1"/>
    <d v="2012-06-30T00:00:00"/>
    <m/>
    <s v="Active"/>
    <s v="26-35"/>
    <s v="0-1 Year"/>
  </r>
  <r>
    <s v="EMP0600"/>
    <n v="38"/>
    <s v="Female"/>
    <x v="3"/>
    <s v="Operations Manager"/>
    <s v="MBA"/>
    <n v="127098"/>
    <n v="12"/>
    <n v="15"/>
    <n v="5"/>
    <n v="1"/>
    <n v="1"/>
    <n v="1"/>
    <s v="No"/>
    <s v="Travel_Rarely"/>
    <n v="6"/>
    <n v="51"/>
    <n v="3"/>
    <s v="Yes"/>
    <n v="6"/>
    <x v="1"/>
    <d v="2018-04-23T00:00:00"/>
    <m/>
    <s v="Active"/>
    <s v="36-45"/>
    <s v="10+ Years"/>
  </r>
  <r>
    <s v="EMP0601"/>
    <n v="35"/>
    <s v="Female"/>
    <x v="4"/>
    <s v="HR Executive"/>
    <s v="B.A"/>
    <n v="79272"/>
    <n v="3"/>
    <n v="13"/>
    <n v="3"/>
    <n v="3"/>
    <n v="1"/>
    <n v="2"/>
    <s v="Yes"/>
    <s v="Travel_Frequently"/>
    <n v="7"/>
    <n v="39"/>
    <n v="3"/>
    <s v="No"/>
    <n v="7"/>
    <x v="1"/>
    <d v="2020-02-10T00:00:00"/>
    <m/>
    <s v="Active"/>
    <s v="26-35"/>
    <s v="2-3 Years"/>
  </r>
  <r>
    <s v="EMP0602"/>
    <n v="45"/>
    <s v="Male"/>
    <x v="5"/>
    <s v="Marketing Manager"/>
    <s v="B.Com"/>
    <n v="138783"/>
    <n v="18"/>
    <n v="24"/>
    <n v="5"/>
    <n v="4"/>
    <n v="2"/>
    <n v="2"/>
    <s v="No"/>
    <s v="Travel_Rarely"/>
    <n v="1"/>
    <n v="47"/>
    <n v="3"/>
    <s v="No"/>
    <n v="7"/>
    <x v="1"/>
    <d v="2023-05-27T00:00:00"/>
    <m/>
    <s v="Active"/>
    <s v="36-45"/>
    <s v="10+ Years"/>
  </r>
  <r>
    <s v="EMP0603"/>
    <n v="46"/>
    <s v="Male"/>
    <x v="1"/>
    <s v="Sales Manager"/>
    <s v="B.Tech"/>
    <n v="63767"/>
    <n v="5"/>
    <n v="25"/>
    <n v="2"/>
    <n v="1"/>
    <n v="3"/>
    <n v="3"/>
    <s v="No"/>
    <s v="Travel_Rarely"/>
    <n v="28"/>
    <n v="24"/>
    <n v="2"/>
    <s v="No"/>
    <n v="8"/>
    <x v="1"/>
    <d v="2012-02-07T00:00:00"/>
    <m/>
    <s v="Active"/>
    <s v="46-55"/>
    <s v="4-5 Years"/>
  </r>
  <r>
    <s v="EMP0604"/>
    <n v="47"/>
    <s v="Male"/>
    <x v="5"/>
    <s v="Marketing Analyst"/>
    <s v="MBA"/>
    <n v="148296"/>
    <n v="22"/>
    <n v="24"/>
    <n v="5"/>
    <n v="4"/>
    <n v="3"/>
    <n v="4"/>
    <s v="No"/>
    <s v="Travel_Rarely"/>
    <n v="5"/>
    <n v="58"/>
    <n v="3"/>
    <s v="Yes"/>
    <n v="5"/>
    <x v="1"/>
    <d v="2019-01-25T00:00:00"/>
    <m/>
    <s v="Active"/>
    <s v="46-55"/>
    <s v="10+ Years"/>
  </r>
  <r>
    <s v="EMP0605"/>
    <n v="34"/>
    <s v="Male"/>
    <x v="3"/>
    <s v="Operations Manager"/>
    <s v="M.Tech"/>
    <n v="75556"/>
    <n v="4"/>
    <n v="11"/>
    <n v="3"/>
    <n v="2"/>
    <n v="3"/>
    <n v="4"/>
    <s v="Yes"/>
    <s v="Travel_Rarely"/>
    <n v="21"/>
    <n v="49"/>
    <n v="3"/>
    <s v="No"/>
    <n v="11"/>
    <x v="1"/>
    <d v="2019-01-04T00:00:00"/>
    <m/>
    <s v="Active"/>
    <s v="26-35"/>
    <s v="4-5 Years"/>
  </r>
  <r>
    <s v="EMP0606"/>
    <n v="51"/>
    <s v="Male"/>
    <x v="3"/>
    <s v="Operations Executive"/>
    <s v="B.Tech"/>
    <n v="134773"/>
    <n v="17"/>
    <n v="29"/>
    <n v="5"/>
    <n v="4"/>
    <n v="3"/>
    <n v="1"/>
    <s v="No"/>
    <s v="Travel_Rarely"/>
    <n v="17"/>
    <n v="34"/>
    <n v="3"/>
    <s v="No"/>
    <n v="4"/>
    <x v="0"/>
    <d v="2021-03-27T00:00:00"/>
    <d v="2022-04-24T00:00:00"/>
    <s v="2022-04-24"/>
    <s v="46-55"/>
    <s v="10+ Years"/>
  </r>
  <r>
    <s v="EMP0607"/>
    <n v="38"/>
    <s v="Female"/>
    <x v="5"/>
    <s v="Marketing Manager"/>
    <s v="B.A"/>
    <n v="129936"/>
    <n v="13"/>
    <n v="14"/>
    <n v="5"/>
    <n v="1"/>
    <n v="4"/>
    <n v="1"/>
    <s v="Yes"/>
    <s v="Travel_Rarely"/>
    <n v="1"/>
    <n v="49"/>
    <n v="2"/>
    <s v="Yes"/>
    <n v="3"/>
    <x v="1"/>
    <d v="2012-10-04T00:00:00"/>
    <m/>
    <s v="Active"/>
    <s v="36-45"/>
    <s v="10+ Years"/>
  </r>
  <r>
    <s v="EMP0608"/>
    <n v="51"/>
    <s v="Female"/>
    <x v="5"/>
    <s v="Marketing Analyst"/>
    <s v="B.A"/>
    <n v="109620"/>
    <n v="11"/>
    <n v="30"/>
    <n v="4"/>
    <n v="3"/>
    <n v="2"/>
    <n v="3"/>
    <s v="No"/>
    <s v="Travel_Rarely"/>
    <n v="1"/>
    <n v="19"/>
    <n v="2"/>
    <s v="No"/>
    <n v="3"/>
    <x v="0"/>
    <d v="2015-02-04T00:00:00"/>
    <d v="2016-06-07T00:00:00"/>
    <s v="2016-06-07"/>
    <s v="46-55"/>
    <s v="10+ Years"/>
  </r>
  <r>
    <s v="EMP0609"/>
    <n v="35"/>
    <s v="Female"/>
    <x v="1"/>
    <s v="Sales Executive"/>
    <s v="B.Com"/>
    <n v="57523"/>
    <n v="2"/>
    <n v="13"/>
    <n v="2"/>
    <n v="2"/>
    <n v="4"/>
    <n v="3"/>
    <s v="No"/>
    <s v="Travel_Frequently"/>
    <n v="22"/>
    <n v="55"/>
    <n v="3"/>
    <s v="No"/>
    <n v="1"/>
    <x v="1"/>
    <d v="2013-08-01T00:00:00"/>
    <m/>
    <s v="Active"/>
    <s v="26-35"/>
    <s v="2-3 Years"/>
  </r>
  <r>
    <s v="EMP0610"/>
    <n v="47"/>
    <s v="Female"/>
    <x v="4"/>
    <s v="HR Manager"/>
    <s v="B.Com"/>
    <n v="119452"/>
    <n v="11"/>
    <n v="24"/>
    <n v="5"/>
    <n v="4"/>
    <n v="3"/>
    <n v="4"/>
    <s v="Yes"/>
    <s v="Travel_Rarely"/>
    <n v="12"/>
    <n v="43"/>
    <n v="3"/>
    <s v="Yes"/>
    <n v="3"/>
    <x v="1"/>
    <d v="2017-04-25T00:00:00"/>
    <m/>
    <s v="Active"/>
    <s v="46-55"/>
    <s v="10+ Years"/>
  </r>
  <r>
    <s v="EMP0611"/>
    <n v="51"/>
    <s v="Male"/>
    <x v="0"/>
    <s v="Financial Analyst"/>
    <s v="M.Tech"/>
    <n v="63534"/>
    <n v="4"/>
    <n v="29"/>
    <n v="2"/>
    <n v="2"/>
    <n v="1"/>
    <n v="4"/>
    <s v="Yes"/>
    <s v="Travel_Rarely"/>
    <n v="8"/>
    <n v="13"/>
    <n v="4"/>
    <s v="No"/>
    <n v="4"/>
    <x v="1"/>
    <d v="2023-09-10T00:00:00"/>
    <m/>
    <s v="Active"/>
    <s v="46-55"/>
    <s v="4-5 Years"/>
  </r>
  <r>
    <s v="EMP0612"/>
    <n v="39"/>
    <s v="Male"/>
    <x v="1"/>
    <s v="Sales Executive"/>
    <s v="B.Com"/>
    <n v="38783"/>
    <n v="0"/>
    <n v="15"/>
    <n v="1"/>
    <n v="3"/>
    <n v="2"/>
    <n v="3"/>
    <s v="No"/>
    <s v="Travel_Rarely"/>
    <n v="23"/>
    <n v="28"/>
    <n v="3"/>
    <s v="No"/>
    <n v="4"/>
    <x v="1"/>
    <d v="2021-11-04T00:00:00"/>
    <m/>
    <s v="Active"/>
    <s v="36-45"/>
    <s v="0-1 Year"/>
  </r>
  <r>
    <s v="EMP0613"/>
    <n v="30"/>
    <s v="Female"/>
    <x v="4"/>
    <s v="HR Executive"/>
    <s v="B.Com"/>
    <n v="105009"/>
    <n v="8"/>
    <n v="8"/>
    <n v="4"/>
    <n v="3"/>
    <n v="3"/>
    <n v="4"/>
    <s v="No"/>
    <s v="Travel_Frequently"/>
    <n v="8"/>
    <n v="35"/>
    <n v="3"/>
    <s v="Yes"/>
    <n v="3"/>
    <x v="1"/>
    <d v="2019-12-22T00:00:00"/>
    <m/>
    <s v="Active"/>
    <s v="26-35"/>
    <s v="6-10 Years"/>
  </r>
  <r>
    <s v="EMP0614"/>
    <n v="48"/>
    <s v="Male"/>
    <x v="0"/>
    <s v="Financial Analyst"/>
    <s v="M.Tech"/>
    <n v="135991"/>
    <n v="16"/>
    <n v="24"/>
    <n v="5"/>
    <n v="1"/>
    <n v="3"/>
    <n v="2"/>
    <s v="No"/>
    <s v="Travel_Rarely"/>
    <n v="16"/>
    <n v="56"/>
    <n v="2"/>
    <s v="No"/>
    <n v="6"/>
    <x v="0"/>
    <d v="2020-08-02T00:00:00"/>
    <d v="2021-06-15T00:00:00"/>
    <s v="2021-06-15"/>
    <s v="46-55"/>
    <s v="10+ Years"/>
  </r>
  <r>
    <s v="EMP0615"/>
    <n v="46"/>
    <s v="Female"/>
    <x v="1"/>
    <s v="Sales Executive"/>
    <s v="M.Tech"/>
    <n v="132760"/>
    <n v="14"/>
    <n v="22"/>
    <n v="5"/>
    <n v="1"/>
    <n v="3"/>
    <n v="2"/>
    <s v="No"/>
    <s v="Travel_Rarely"/>
    <n v="1"/>
    <n v="59"/>
    <n v="3"/>
    <s v="No"/>
    <n v="4"/>
    <x v="1"/>
    <d v="2021-05-03T00:00:00"/>
    <m/>
    <s v="Active"/>
    <s v="46-55"/>
    <s v="10+ Years"/>
  </r>
  <r>
    <s v="EMP0616"/>
    <n v="33"/>
    <s v="Male"/>
    <x v="5"/>
    <s v="Marketing Manager"/>
    <s v="B.Tech"/>
    <n v="117751"/>
    <n v="10"/>
    <n v="10"/>
    <n v="5"/>
    <n v="1"/>
    <n v="1"/>
    <n v="2"/>
    <s v="No"/>
    <s v="Travel_Rarely"/>
    <n v="25"/>
    <n v="33"/>
    <n v="3"/>
    <s v="No"/>
    <n v="7"/>
    <x v="0"/>
    <d v="2022-05-28T00:00:00"/>
    <d v="2023-11-09T00:00:00"/>
    <s v="2023-11-09"/>
    <s v="26-35"/>
    <s v="6-10 Years"/>
  </r>
  <r>
    <s v="EMP0617"/>
    <n v="57"/>
    <s v="Female"/>
    <x v="5"/>
    <s v="Marketing Manager"/>
    <s v="MBA"/>
    <n v="68209"/>
    <n v="5"/>
    <n v="35"/>
    <n v="2"/>
    <n v="4"/>
    <n v="2"/>
    <n v="4"/>
    <s v="Yes"/>
    <s v="Travel_Rarely"/>
    <n v="26"/>
    <n v="37"/>
    <n v="4"/>
    <s v="No"/>
    <n v="5"/>
    <x v="1"/>
    <d v="2012-01-20T00:00:00"/>
    <m/>
    <s v="Active"/>
    <s v="56+"/>
    <s v="4-5 Years"/>
  </r>
  <r>
    <s v="EMP0618"/>
    <n v="57"/>
    <s v="Male"/>
    <x v="3"/>
    <s v="Operations Manager"/>
    <s v="BBA"/>
    <n v="154626"/>
    <n v="28"/>
    <n v="34"/>
    <n v="5"/>
    <n v="1"/>
    <n v="3"/>
    <n v="4"/>
    <s v="No"/>
    <s v="Travel_Rarely"/>
    <n v="26"/>
    <n v="10"/>
    <n v="3"/>
    <s v="No"/>
    <n v="7"/>
    <x v="1"/>
    <d v="2022-05-03T00:00:00"/>
    <m/>
    <s v="Active"/>
    <s v="56+"/>
    <s v="10+ Years"/>
  </r>
  <r>
    <s v="EMP0619"/>
    <n v="29"/>
    <s v="Male"/>
    <x v="2"/>
    <s v="IT Manager"/>
    <s v="BBA"/>
    <n v="98339"/>
    <n v="7"/>
    <n v="7"/>
    <n v="4"/>
    <n v="4"/>
    <n v="4"/>
    <n v="3"/>
    <s v="No"/>
    <s v="Travel_Rarely"/>
    <n v="25"/>
    <n v="14"/>
    <n v="3"/>
    <s v="No"/>
    <n v="5"/>
    <x v="1"/>
    <d v="2015-11-22T00:00:00"/>
    <m/>
    <s v="Active"/>
    <s v="26-35"/>
    <s v="6-10 Years"/>
  </r>
  <r>
    <s v="EMP0620"/>
    <n v="33"/>
    <s v="Male"/>
    <x v="2"/>
    <s v="Data Analyst"/>
    <s v="BBA"/>
    <n v="103701"/>
    <n v="10"/>
    <n v="10"/>
    <n v="4"/>
    <n v="1"/>
    <n v="2"/>
    <n v="3"/>
    <s v="No"/>
    <s v="Travel_Rarely"/>
    <n v="27"/>
    <n v="48"/>
    <n v="3"/>
    <s v="Yes"/>
    <n v="6"/>
    <x v="0"/>
    <d v="2023-02-14T00:00:00"/>
    <d v="2025-04-07T00:00:00"/>
    <s v="2025-04-07"/>
    <s v="26-35"/>
    <s v="6-10 Years"/>
  </r>
  <r>
    <s v="EMP0621"/>
    <n v="52"/>
    <s v="Female"/>
    <x v="0"/>
    <s v="Financial Analyst"/>
    <s v="BBA"/>
    <n v="101524"/>
    <n v="8"/>
    <n v="29"/>
    <n v="4"/>
    <n v="1"/>
    <n v="1"/>
    <n v="2"/>
    <s v="No"/>
    <s v="Travel_Rarely"/>
    <n v="13"/>
    <n v="49"/>
    <n v="3"/>
    <s v="Yes"/>
    <n v="2"/>
    <x v="1"/>
    <d v="2018-05-18T00:00:00"/>
    <m/>
    <s v="Active"/>
    <s v="46-55"/>
    <s v="6-10 Years"/>
  </r>
  <r>
    <s v="EMP0622"/>
    <n v="58"/>
    <s v="Female"/>
    <x v="0"/>
    <s v="Financial Analyst"/>
    <s v="M.Tech"/>
    <n v="163902"/>
    <n v="30"/>
    <n v="34"/>
    <n v="5"/>
    <n v="4"/>
    <n v="4"/>
    <n v="1"/>
    <s v="Yes"/>
    <s v="Non-Travel"/>
    <n v="26"/>
    <n v="51"/>
    <n v="3"/>
    <s v="Yes"/>
    <n v="10"/>
    <x v="1"/>
    <d v="2016-01-06T00:00:00"/>
    <m/>
    <s v="Active"/>
    <s v="56+"/>
    <s v="10+ Years"/>
  </r>
  <r>
    <s v="EMP0623"/>
    <n v="29"/>
    <s v="Male"/>
    <x v="4"/>
    <s v="HR Manager"/>
    <s v="M.Tech"/>
    <n v="88833"/>
    <n v="7"/>
    <n v="8"/>
    <n v="3"/>
    <n v="1"/>
    <n v="3"/>
    <n v="1"/>
    <s v="No"/>
    <s v="Travel_Frequently"/>
    <n v="22"/>
    <n v="12"/>
    <n v="2"/>
    <s v="No"/>
    <n v="7"/>
    <x v="1"/>
    <d v="2020-08-19T00:00:00"/>
    <m/>
    <s v="Active"/>
    <s v="26-35"/>
    <s v="6-10 Years"/>
  </r>
  <r>
    <s v="EMP0624"/>
    <n v="28"/>
    <s v="Female"/>
    <x v="5"/>
    <s v="Marketing Analyst"/>
    <s v="B.Com"/>
    <n v="63683"/>
    <n v="2"/>
    <n v="4"/>
    <n v="2"/>
    <n v="4"/>
    <n v="4"/>
    <n v="2"/>
    <s v="No"/>
    <s v="Travel_Rarely"/>
    <n v="20"/>
    <n v="23"/>
    <n v="3"/>
    <s v="No"/>
    <n v="3"/>
    <x v="1"/>
    <d v="2021-10-19T00:00:00"/>
    <m/>
    <s v="Active"/>
    <s v="26-35"/>
    <s v="2-3 Years"/>
  </r>
  <r>
    <s v="EMP0625"/>
    <n v="31"/>
    <s v="Female"/>
    <x v="3"/>
    <s v="Operations Executive"/>
    <s v="B.A"/>
    <n v="98552"/>
    <n v="6"/>
    <n v="10"/>
    <n v="4"/>
    <n v="4"/>
    <n v="4"/>
    <n v="2"/>
    <s v="No"/>
    <s v="Travel_Rarely"/>
    <n v="10"/>
    <n v="45"/>
    <n v="4"/>
    <s v="No"/>
    <n v="5"/>
    <x v="1"/>
    <d v="2021-03-24T00:00:00"/>
    <m/>
    <s v="Active"/>
    <s v="26-35"/>
    <s v="6-10 Years"/>
  </r>
  <r>
    <s v="EMP0626"/>
    <n v="58"/>
    <s v="Male"/>
    <x v="1"/>
    <s v="Sales Executive"/>
    <s v="M.Tech"/>
    <n v="103673"/>
    <n v="8"/>
    <n v="37"/>
    <n v="4"/>
    <n v="2"/>
    <n v="4"/>
    <n v="4"/>
    <s v="Yes"/>
    <s v="Travel_Rarely"/>
    <n v="21"/>
    <n v="33"/>
    <n v="3"/>
    <s v="No"/>
    <n v="4"/>
    <x v="1"/>
    <d v="2022-10-09T00:00:00"/>
    <m/>
    <s v="Active"/>
    <s v="56+"/>
    <s v="6-10 Years"/>
  </r>
  <r>
    <s v="EMP0627"/>
    <n v="39"/>
    <s v="Male"/>
    <x v="4"/>
    <s v="HR Executive"/>
    <s v="M.Tech"/>
    <n v="103379"/>
    <n v="9"/>
    <n v="16"/>
    <n v="4"/>
    <n v="2"/>
    <n v="3"/>
    <n v="3"/>
    <s v="No"/>
    <s v="Travel_Rarely"/>
    <n v="29"/>
    <n v="31"/>
    <n v="3"/>
    <s v="No"/>
    <n v="4"/>
    <x v="1"/>
    <d v="2021-03-19T00:00:00"/>
    <m/>
    <s v="Active"/>
    <s v="36-45"/>
    <s v="6-10 Years"/>
  </r>
  <r>
    <s v="EMP0628"/>
    <n v="58"/>
    <s v="Female"/>
    <x v="2"/>
    <s v="IT Manager"/>
    <s v="BBA"/>
    <n v="82268"/>
    <n v="7"/>
    <n v="34"/>
    <n v="3"/>
    <n v="2"/>
    <n v="2"/>
    <n v="1"/>
    <s v="No"/>
    <s v="Travel_Frequently"/>
    <n v="6"/>
    <n v="56"/>
    <n v="2"/>
    <s v="No"/>
    <n v="8"/>
    <x v="1"/>
    <d v="2019-10-31T00:00:00"/>
    <m/>
    <s v="Active"/>
    <s v="56+"/>
    <s v="6-10 Years"/>
  </r>
  <r>
    <s v="EMP0629"/>
    <n v="41"/>
    <s v="Male"/>
    <x v="5"/>
    <s v="Marketing Analyst"/>
    <s v="B.Com"/>
    <n v="132737"/>
    <n v="15"/>
    <n v="20"/>
    <n v="5"/>
    <n v="4"/>
    <n v="1"/>
    <n v="2"/>
    <s v="No"/>
    <s v="Travel_Frequently"/>
    <n v="3"/>
    <n v="49"/>
    <n v="3"/>
    <s v="No"/>
    <n v="5"/>
    <x v="0"/>
    <d v="2021-03-10T00:00:00"/>
    <d v="2022-06-21T00:00:00"/>
    <s v="2022-06-21"/>
    <s v="36-45"/>
    <s v="10+ Years"/>
  </r>
  <r>
    <s v="EMP0630"/>
    <n v="36"/>
    <s v="Male"/>
    <x v="5"/>
    <s v="Marketing Analyst"/>
    <s v="M.Tech"/>
    <n v="78563"/>
    <n v="4"/>
    <n v="15"/>
    <n v="3"/>
    <n v="4"/>
    <n v="1"/>
    <n v="1"/>
    <s v="No"/>
    <s v="Travel_Rarely"/>
    <n v="17"/>
    <n v="19"/>
    <n v="3"/>
    <s v="No"/>
    <n v="4"/>
    <x v="1"/>
    <d v="2020-03-28T00:00:00"/>
    <m/>
    <s v="Active"/>
    <s v="36-45"/>
    <s v="4-5 Years"/>
  </r>
  <r>
    <s v="EMP0631"/>
    <n v="36"/>
    <s v="Female"/>
    <x v="4"/>
    <s v="HR Executive"/>
    <s v="B.Com"/>
    <n v="88173"/>
    <n v="7"/>
    <n v="13"/>
    <n v="3"/>
    <n v="2"/>
    <n v="1"/>
    <n v="1"/>
    <s v="No"/>
    <s v="Travel_Rarely"/>
    <n v="8"/>
    <n v="49"/>
    <n v="3"/>
    <s v="Yes"/>
    <n v="2"/>
    <x v="1"/>
    <d v="2018-06-30T00:00:00"/>
    <m/>
    <s v="Active"/>
    <s v="36-45"/>
    <s v="6-10 Years"/>
  </r>
  <r>
    <s v="EMP0632"/>
    <n v="26"/>
    <s v="Female"/>
    <x v="0"/>
    <s v="Finance Manager"/>
    <s v="BBA"/>
    <n v="78809"/>
    <n v="4"/>
    <n v="4"/>
    <n v="3"/>
    <n v="4"/>
    <n v="1"/>
    <n v="1"/>
    <s v="Yes"/>
    <s v="Travel_Rarely"/>
    <n v="28"/>
    <n v="33"/>
    <n v="3"/>
    <s v="No"/>
    <n v="5"/>
    <x v="1"/>
    <d v="2023-04-10T00:00:00"/>
    <m/>
    <s v="Active"/>
    <s v="26-35"/>
    <s v="4-5 Years"/>
  </r>
  <r>
    <s v="EMP0633"/>
    <n v="59"/>
    <s v="Male"/>
    <x v="0"/>
    <s v="Finance Manager"/>
    <s v="MBA"/>
    <n v="79758"/>
    <n v="4"/>
    <n v="37"/>
    <n v="3"/>
    <n v="3"/>
    <n v="1"/>
    <n v="4"/>
    <s v="No"/>
    <s v="Travel_Rarely"/>
    <n v="4"/>
    <n v="30"/>
    <n v="3"/>
    <s v="No"/>
    <n v="5"/>
    <x v="1"/>
    <d v="2014-12-08T00:00:00"/>
    <m/>
    <s v="Active"/>
    <s v="56+"/>
    <s v="4-5 Years"/>
  </r>
  <r>
    <s v="EMP0634"/>
    <n v="27"/>
    <s v="Female"/>
    <x v="0"/>
    <s v="Financial Analyst"/>
    <s v="B.Tech"/>
    <n v="57664"/>
    <n v="2"/>
    <n v="6"/>
    <n v="2"/>
    <n v="1"/>
    <n v="3"/>
    <n v="3"/>
    <s v="No"/>
    <s v="Travel_Rarely"/>
    <n v="8"/>
    <n v="26"/>
    <n v="3"/>
    <s v="No"/>
    <n v="4"/>
    <x v="1"/>
    <d v="2017-10-02T00:00:00"/>
    <m/>
    <s v="Active"/>
    <s v="26-35"/>
    <s v="2-3 Years"/>
  </r>
  <r>
    <s v="EMP0635"/>
    <n v="48"/>
    <s v="Female"/>
    <x v="0"/>
    <s v="Finance Manager"/>
    <s v="B.A"/>
    <n v="62339"/>
    <n v="4"/>
    <n v="27"/>
    <n v="2"/>
    <n v="3"/>
    <n v="1"/>
    <n v="2"/>
    <s v="No"/>
    <s v="Travel_Rarely"/>
    <n v="22"/>
    <n v="41"/>
    <n v="4"/>
    <s v="No"/>
    <n v="6"/>
    <x v="1"/>
    <d v="2014-08-16T00:00:00"/>
    <m/>
    <s v="Active"/>
    <s v="46-55"/>
    <s v="4-5 Years"/>
  </r>
  <r>
    <s v="EMP0636"/>
    <n v="44"/>
    <s v="Female"/>
    <x v="4"/>
    <s v="HR Manager"/>
    <s v="M.Tech"/>
    <n v="119066"/>
    <n v="11"/>
    <n v="21"/>
    <n v="5"/>
    <n v="4"/>
    <n v="3"/>
    <n v="2"/>
    <s v="Yes"/>
    <s v="Travel_Rarely"/>
    <n v="10"/>
    <n v="58"/>
    <n v="3"/>
    <s v="No"/>
    <n v="6"/>
    <x v="1"/>
    <d v="2020-09-03T00:00:00"/>
    <m/>
    <s v="Active"/>
    <s v="36-45"/>
    <s v="10+ Years"/>
  </r>
  <r>
    <s v="EMP0637"/>
    <n v="28"/>
    <s v="Female"/>
    <x v="4"/>
    <s v="HR Executive"/>
    <s v="BBA"/>
    <n v="63222"/>
    <n v="5"/>
    <n v="5"/>
    <n v="2"/>
    <n v="3"/>
    <n v="2"/>
    <n v="3"/>
    <s v="No"/>
    <s v="Non-Travel"/>
    <n v="29"/>
    <n v="35"/>
    <n v="3"/>
    <s v="No"/>
    <n v="7"/>
    <x v="1"/>
    <d v="2018-11-28T00:00:00"/>
    <m/>
    <s v="Active"/>
    <s v="26-35"/>
    <s v="4-5 Years"/>
  </r>
  <r>
    <s v="EMP0638"/>
    <n v="52"/>
    <s v="Female"/>
    <x v="5"/>
    <s v="Marketing Manager"/>
    <s v="B.Tech"/>
    <n v="60991"/>
    <n v="1"/>
    <n v="29"/>
    <n v="2"/>
    <n v="4"/>
    <n v="4"/>
    <n v="2"/>
    <s v="No"/>
    <s v="Non-Travel"/>
    <n v="17"/>
    <n v="19"/>
    <n v="4"/>
    <s v="No"/>
    <n v="3"/>
    <x v="1"/>
    <d v="2023-03-05T00:00:00"/>
    <m/>
    <s v="Active"/>
    <s v="46-55"/>
    <s v="0-1 Year"/>
  </r>
  <r>
    <s v="EMP0639"/>
    <n v="49"/>
    <s v="Female"/>
    <x v="5"/>
    <s v="Marketing Analyst"/>
    <s v="MBA"/>
    <n v="136499"/>
    <n v="17"/>
    <n v="25"/>
    <n v="5"/>
    <n v="3"/>
    <n v="3"/>
    <n v="4"/>
    <s v="No"/>
    <s v="Travel_Rarely"/>
    <n v="15"/>
    <n v="19"/>
    <n v="2"/>
    <s v="Yes"/>
    <n v="11"/>
    <x v="1"/>
    <d v="2022-03-19T00:00:00"/>
    <m/>
    <s v="Active"/>
    <s v="46-55"/>
    <s v="10+ Years"/>
  </r>
  <r>
    <s v="EMP0640"/>
    <n v="59"/>
    <s v="Female"/>
    <x v="0"/>
    <s v="Financial Analyst"/>
    <s v="M.Tech"/>
    <n v="81196"/>
    <n v="4"/>
    <n v="37"/>
    <n v="3"/>
    <n v="2"/>
    <n v="2"/>
    <n v="3"/>
    <s v="No"/>
    <s v="Travel_Rarely"/>
    <n v="15"/>
    <n v="36"/>
    <n v="3"/>
    <s v="No"/>
    <n v="5"/>
    <x v="1"/>
    <d v="2020-07-27T00:00:00"/>
    <m/>
    <s v="Active"/>
    <s v="56+"/>
    <s v="4-5 Years"/>
  </r>
  <r>
    <s v="EMP0641"/>
    <n v="26"/>
    <s v="Male"/>
    <x v="2"/>
    <s v="Software Engineer"/>
    <s v="BBA"/>
    <n v="43603"/>
    <n v="0"/>
    <n v="2"/>
    <n v="1"/>
    <n v="1"/>
    <n v="1"/>
    <n v="2"/>
    <s v="Yes"/>
    <s v="Travel_Frequently"/>
    <n v="2"/>
    <n v="54"/>
    <n v="3"/>
    <s v="No"/>
    <n v="5"/>
    <x v="1"/>
    <d v="2020-08-27T00:00:00"/>
    <m/>
    <s v="Active"/>
    <s v="26-35"/>
    <s v="0-1 Year"/>
  </r>
  <r>
    <s v="EMP0642"/>
    <n v="36"/>
    <s v="Female"/>
    <x v="2"/>
    <s v="IT Manager"/>
    <s v="B.A"/>
    <n v="86695"/>
    <n v="8"/>
    <n v="14"/>
    <n v="3"/>
    <n v="1"/>
    <n v="4"/>
    <n v="4"/>
    <s v="Yes"/>
    <s v="Travel_Rarely"/>
    <n v="23"/>
    <n v="32"/>
    <n v="3"/>
    <s v="No"/>
    <n v="9"/>
    <x v="1"/>
    <d v="2017-12-18T00:00:00"/>
    <m/>
    <s v="Active"/>
    <s v="36-45"/>
    <s v="6-10 Years"/>
  </r>
  <r>
    <s v="EMP0643"/>
    <n v="51"/>
    <s v="Female"/>
    <x v="4"/>
    <s v="HR Manager"/>
    <s v="BBA"/>
    <n v="99480"/>
    <n v="7"/>
    <n v="28"/>
    <n v="4"/>
    <n v="3"/>
    <n v="2"/>
    <n v="3"/>
    <s v="Yes"/>
    <s v="Travel_Rarely"/>
    <n v="12"/>
    <n v="44"/>
    <n v="4"/>
    <s v="Yes"/>
    <n v="2"/>
    <x v="1"/>
    <d v="2023-04-22T00:00:00"/>
    <m/>
    <s v="Active"/>
    <s v="46-55"/>
    <s v="6-10 Years"/>
  </r>
  <r>
    <s v="EMP0644"/>
    <n v="40"/>
    <s v="Female"/>
    <x v="5"/>
    <s v="Marketing Manager"/>
    <s v="M.Tech"/>
    <n v="86791"/>
    <n v="8"/>
    <n v="18"/>
    <n v="3"/>
    <n v="2"/>
    <n v="3"/>
    <n v="4"/>
    <s v="Yes"/>
    <s v="Travel_Rarely"/>
    <n v="22"/>
    <n v="57"/>
    <n v="3"/>
    <s v="Yes"/>
    <n v="6"/>
    <x v="1"/>
    <d v="2023-12-19T00:00:00"/>
    <m/>
    <s v="Active"/>
    <s v="36-45"/>
    <s v="6-10 Years"/>
  </r>
  <r>
    <s v="EMP0645"/>
    <n v="43"/>
    <s v="Male"/>
    <x v="0"/>
    <s v="Finance Manager"/>
    <s v="MBA"/>
    <n v="104669"/>
    <n v="10"/>
    <n v="21"/>
    <n v="4"/>
    <n v="4"/>
    <n v="2"/>
    <n v="3"/>
    <s v="Yes"/>
    <s v="Travel_Rarely"/>
    <n v="2"/>
    <n v="32"/>
    <n v="2"/>
    <s v="No"/>
    <n v="3"/>
    <x v="1"/>
    <d v="2018-07-30T00:00:00"/>
    <m/>
    <s v="Active"/>
    <s v="36-45"/>
    <s v="6-10 Years"/>
  </r>
  <r>
    <s v="EMP0646"/>
    <n v="58"/>
    <s v="Male"/>
    <x v="1"/>
    <s v="Sales Manager"/>
    <s v="B.Com"/>
    <n v="101613"/>
    <n v="8"/>
    <n v="34"/>
    <n v="4"/>
    <n v="4"/>
    <n v="4"/>
    <n v="1"/>
    <s v="Yes"/>
    <s v="Travel_Frequently"/>
    <n v="6"/>
    <n v="51"/>
    <n v="4"/>
    <s v="Yes"/>
    <n v="4"/>
    <x v="1"/>
    <d v="2015-10-22T00:00:00"/>
    <m/>
    <s v="Active"/>
    <s v="56+"/>
    <s v="6-10 Years"/>
  </r>
  <r>
    <s v="EMP0647"/>
    <n v="57"/>
    <s v="Female"/>
    <x v="3"/>
    <s v="Operations Manager"/>
    <s v="MBA"/>
    <n v="127807"/>
    <n v="12"/>
    <n v="34"/>
    <n v="5"/>
    <n v="4"/>
    <n v="1"/>
    <n v="2"/>
    <s v="No"/>
    <s v="Travel_Rarely"/>
    <n v="28"/>
    <n v="17"/>
    <n v="3"/>
    <s v="Yes"/>
    <n v="10"/>
    <x v="1"/>
    <d v="2015-07-01T00:00:00"/>
    <m/>
    <s v="Active"/>
    <s v="56+"/>
    <s v="10+ Years"/>
  </r>
  <r>
    <s v="EMP0648"/>
    <n v="36"/>
    <s v="Male"/>
    <x v="0"/>
    <s v="Financial Analyst"/>
    <s v="BBA"/>
    <n v="41939"/>
    <n v="1"/>
    <n v="13"/>
    <n v="1"/>
    <n v="2"/>
    <n v="2"/>
    <n v="1"/>
    <s v="Yes"/>
    <s v="Non-Travel"/>
    <n v="27"/>
    <n v="44"/>
    <n v="3"/>
    <s v="No"/>
    <n v="4"/>
    <x v="1"/>
    <d v="2019-03-12T00:00:00"/>
    <m/>
    <s v="Active"/>
    <s v="36-45"/>
    <s v="0-1 Year"/>
  </r>
  <r>
    <s v="EMP0649"/>
    <n v="23"/>
    <s v="Female"/>
    <x v="0"/>
    <s v="Financial Analyst"/>
    <s v="B.Tech"/>
    <n v="56224"/>
    <n v="0"/>
    <n v="1"/>
    <n v="2"/>
    <n v="3"/>
    <n v="2"/>
    <n v="3"/>
    <s v="No"/>
    <s v="Travel_Rarely"/>
    <n v="14"/>
    <n v="38"/>
    <n v="3"/>
    <s v="No"/>
    <n v="4"/>
    <x v="1"/>
    <d v="2022-01-30T00:00:00"/>
    <m/>
    <s v="Active"/>
    <s v="18-25"/>
    <s v="0-1 Year"/>
  </r>
  <r>
    <s v="EMP0650"/>
    <n v="28"/>
    <s v="Male"/>
    <x v="2"/>
    <s v="IT Manager"/>
    <s v="B.Tech"/>
    <n v="53254"/>
    <n v="0"/>
    <n v="5"/>
    <n v="2"/>
    <n v="4"/>
    <n v="2"/>
    <n v="3"/>
    <s v="No"/>
    <s v="Travel_Rarely"/>
    <n v="26"/>
    <n v="17"/>
    <n v="3"/>
    <s v="No"/>
    <n v="5"/>
    <x v="0"/>
    <d v="2019-04-22T00:00:00"/>
    <d v="2021-11-16T00:00:00"/>
    <s v="2021-11-16"/>
    <s v="26-35"/>
    <s v="0-1 Year"/>
  </r>
  <r>
    <s v="EMP0651"/>
    <n v="34"/>
    <s v="Male"/>
    <x v="3"/>
    <s v="Operations Executive"/>
    <s v="B.A"/>
    <n v="54249"/>
    <n v="1"/>
    <n v="12"/>
    <n v="2"/>
    <n v="1"/>
    <n v="4"/>
    <n v="3"/>
    <s v="No"/>
    <s v="Travel_Frequently"/>
    <n v="12"/>
    <n v="46"/>
    <n v="3"/>
    <s v="No"/>
    <n v="2"/>
    <x v="1"/>
    <d v="2018-04-14T00:00:00"/>
    <m/>
    <s v="Active"/>
    <s v="26-35"/>
    <s v="0-1 Year"/>
  </r>
  <r>
    <s v="EMP0652"/>
    <n v="27"/>
    <s v="Female"/>
    <x v="5"/>
    <s v="Marketing Analyst"/>
    <s v="BBA"/>
    <n v="59586"/>
    <n v="3"/>
    <n v="3"/>
    <n v="2"/>
    <n v="2"/>
    <n v="1"/>
    <n v="1"/>
    <s v="No"/>
    <s v="Non-Travel"/>
    <n v="2"/>
    <n v="37"/>
    <n v="3"/>
    <s v="No"/>
    <n v="9"/>
    <x v="0"/>
    <d v="2013-12-18T00:00:00"/>
    <d v="2015-09-28T00:00:00"/>
    <s v="2015-09-28"/>
    <s v="26-35"/>
    <s v="2-3 Years"/>
  </r>
  <r>
    <s v="EMP0653"/>
    <n v="43"/>
    <s v="Female"/>
    <x v="2"/>
    <s v="Software Engineer"/>
    <s v="M.Tech"/>
    <n v="140200"/>
    <n v="21"/>
    <n v="22"/>
    <n v="5"/>
    <n v="3"/>
    <n v="4"/>
    <n v="2"/>
    <s v="No"/>
    <s v="Travel_Rarely"/>
    <n v="6"/>
    <n v="56"/>
    <n v="4"/>
    <s v="No"/>
    <n v="6"/>
    <x v="1"/>
    <d v="2019-09-17T00:00:00"/>
    <m/>
    <s v="Active"/>
    <s v="36-45"/>
    <s v="10+ Years"/>
  </r>
  <r>
    <s v="EMP0654"/>
    <n v="28"/>
    <s v="Male"/>
    <x v="4"/>
    <s v="HR Manager"/>
    <s v="BBA"/>
    <n v="42037"/>
    <n v="2"/>
    <n v="6"/>
    <n v="1"/>
    <n v="1"/>
    <n v="4"/>
    <n v="2"/>
    <s v="No"/>
    <s v="Travel_Rarely"/>
    <n v="10"/>
    <n v="15"/>
    <n v="3"/>
    <s v="No"/>
    <n v="6"/>
    <x v="1"/>
    <d v="2014-01-23T00:00:00"/>
    <m/>
    <s v="Active"/>
    <s v="26-35"/>
    <s v="2-3 Years"/>
  </r>
  <r>
    <s v="EMP0655"/>
    <n v="31"/>
    <s v="Male"/>
    <x v="4"/>
    <s v="HR Executive"/>
    <s v="B.A"/>
    <n v="56395"/>
    <n v="2"/>
    <n v="7"/>
    <n v="2"/>
    <n v="2"/>
    <n v="3"/>
    <n v="4"/>
    <s v="No"/>
    <s v="Travel_Frequently"/>
    <n v="9"/>
    <n v="36"/>
    <n v="2"/>
    <s v="No"/>
    <n v="7"/>
    <x v="1"/>
    <d v="2016-05-20T00:00:00"/>
    <m/>
    <s v="Active"/>
    <s v="26-35"/>
    <s v="2-3 Years"/>
  </r>
  <r>
    <s v="EMP0656"/>
    <n v="26"/>
    <s v="Female"/>
    <x v="3"/>
    <s v="Operations Executive"/>
    <s v="B.Tech"/>
    <n v="43439"/>
    <n v="2"/>
    <n v="4"/>
    <n v="1"/>
    <n v="4"/>
    <n v="3"/>
    <n v="4"/>
    <s v="No"/>
    <s v="Travel_Frequently"/>
    <n v="15"/>
    <n v="37"/>
    <n v="3"/>
    <s v="No"/>
    <n v="2"/>
    <x v="1"/>
    <d v="2012-04-19T00:00:00"/>
    <m/>
    <s v="Active"/>
    <s v="26-35"/>
    <s v="2-3 Years"/>
  </r>
  <r>
    <s v="EMP0657"/>
    <n v="40"/>
    <s v="Male"/>
    <x v="2"/>
    <s v="Software Engineer"/>
    <s v="B.A"/>
    <n v="62098"/>
    <n v="5"/>
    <n v="17"/>
    <n v="2"/>
    <n v="3"/>
    <n v="3"/>
    <n v="1"/>
    <s v="No"/>
    <s v="Travel_Rarely"/>
    <n v="18"/>
    <n v="33"/>
    <n v="3"/>
    <s v="Yes"/>
    <n v="5"/>
    <x v="0"/>
    <d v="2017-05-11T00:00:00"/>
    <d v="2019-05-13T00:00:00"/>
    <s v="2019-05-13"/>
    <s v="36-45"/>
    <s v="4-5 Years"/>
  </r>
  <r>
    <s v="EMP0658"/>
    <n v="47"/>
    <s v="Male"/>
    <x v="5"/>
    <s v="Marketing Manager"/>
    <s v="M.Tech"/>
    <n v="102540"/>
    <n v="7"/>
    <n v="25"/>
    <n v="4"/>
    <n v="4"/>
    <n v="3"/>
    <n v="3"/>
    <s v="No"/>
    <s v="Non-Travel"/>
    <n v="3"/>
    <n v="35"/>
    <n v="3"/>
    <s v="No"/>
    <n v="9"/>
    <x v="1"/>
    <d v="2017-06-10T00:00:00"/>
    <m/>
    <s v="Active"/>
    <s v="46-55"/>
    <s v="6-10 Years"/>
  </r>
  <r>
    <s v="EMP0659"/>
    <n v="25"/>
    <s v="Male"/>
    <x v="0"/>
    <s v="Financial Analyst"/>
    <s v="BBA"/>
    <n v="37123"/>
    <n v="0"/>
    <n v="1"/>
    <n v="1"/>
    <n v="4"/>
    <n v="1"/>
    <n v="4"/>
    <s v="Yes"/>
    <s v="Travel_Rarely"/>
    <n v="19"/>
    <n v="11"/>
    <n v="2"/>
    <s v="No"/>
    <n v="5"/>
    <x v="0"/>
    <d v="2017-01-07T00:00:00"/>
    <d v="2018-02-01T00:00:00"/>
    <s v="2018-02-01"/>
    <s v="18-25"/>
    <s v="0-1 Year"/>
  </r>
  <r>
    <s v="EMP0660"/>
    <n v="59"/>
    <s v="Male"/>
    <x v="1"/>
    <s v="Sales Executive"/>
    <s v="MBA"/>
    <n v="144710"/>
    <n v="21"/>
    <n v="35"/>
    <n v="5"/>
    <n v="1"/>
    <n v="3"/>
    <n v="3"/>
    <s v="No"/>
    <s v="Travel_Rarely"/>
    <n v="26"/>
    <n v="22"/>
    <n v="3"/>
    <s v="Yes"/>
    <n v="4"/>
    <x v="1"/>
    <d v="2020-11-17T00:00:00"/>
    <m/>
    <s v="Active"/>
    <s v="56+"/>
    <s v="10+ Years"/>
  </r>
  <r>
    <s v="EMP0661"/>
    <n v="24"/>
    <s v="Female"/>
    <x v="2"/>
    <s v="Software Engineer"/>
    <s v="B.A"/>
    <n v="54065"/>
    <n v="1"/>
    <n v="2"/>
    <n v="2"/>
    <n v="1"/>
    <n v="3"/>
    <n v="3"/>
    <s v="Yes"/>
    <s v="Travel_Rarely"/>
    <n v="20"/>
    <n v="14"/>
    <n v="4"/>
    <s v="No"/>
    <n v="6"/>
    <x v="1"/>
    <d v="2014-11-13T00:00:00"/>
    <m/>
    <s v="Active"/>
    <s v="18-25"/>
    <s v="0-1 Year"/>
  </r>
  <r>
    <s v="EMP0662"/>
    <n v="59"/>
    <s v="Male"/>
    <x v="0"/>
    <s v="Financial Analyst"/>
    <s v="M.Tech"/>
    <n v="169942"/>
    <n v="35"/>
    <n v="37"/>
    <n v="5"/>
    <n v="1"/>
    <n v="2"/>
    <n v="1"/>
    <s v="No"/>
    <s v="Travel_Frequently"/>
    <n v="2"/>
    <n v="15"/>
    <n v="3"/>
    <s v="Yes"/>
    <n v="4"/>
    <x v="1"/>
    <d v="2018-10-26T00:00:00"/>
    <m/>
    <s v="Active"/>
    <s v="56+"/>
    <s v="10+ Years"/>
  </r>
  <r>
    <s v="EMP0663"/>
    <n v="34"/>
    <s v="Female"/>
    <x v="2"/>
    <s v="IT Manager"/>
    <s v="M.Tech"/>
    <n v="43694"/>
    <n v="1"/>
    <n v="12"/>
    <n v="1"/>
    <n v="3"/>
    <n v="2"/>
    <n v="4"/>
    <s v="Yes"/>
    <s v="Travel_Rarely"/>
    <n v="10"/>
    <n v="26"/>
    <n v="4"/>
    <s v="No"/>
    <n v="2"/>
    <x v="0"/>
    <d v="2014-11-04T00:00:00"/>
    <d v="2015-03-11T00:00:00"/>
    <s v="2015-03-11"/>
    <s v="26-35"/>
    <s v="0-1 Year"/>
  </r>
  <r>
    <s v="EMP0664"/>
    <n v="25"/>
    <s v="Female"/>
    <x v="1"/>
    <s v="Sales Manager"/>
    <s v="B.A"/>
    <n v="40360"/>
    <n v="1"/>
    <n v="4"/>
    <n v="1"/>
    <n v="3"/>
    <n v="2"/>
    <n v="4"/>
    <s v="No"/>
    <s v="Travel_Rarely"/>
    <n v="4"/>
    <n v="14"/>
    <n v="3"/>
    <s v="No"/>
    <n v="4"/>
    <x v="1"/>
    <d v="2022-07-19T00:00:00"/>
    <m/>
    <s v="Active"/>
    <s v="18-25"/>
    <s v="0-1 Year"/>
  </r>
  <r>
    <s v="EMP0665"/>
    <n v="33"/>
    <s v="Female"/>
    <x v="4"/>
    <s v="HR Manager"/>
    <s v="B.Com"/>
    <n v="45409"/>
    <n v="1"/>
    <n v="10"/>
    <n v="1"/>
    <n v="1"/>
    <n v="4"/>
    <n v="2"/>
    <s v="No"/>
    <s v="Travel_Rarely"/>
    <n v="8"/>
    <n v="34"/>
    <n v="3"/>
    <s v="No"/>
    <n v="5"/>
    <x v="1"/>
    <d v="2017-10-21T00:00:00"/>
    <m/>
    <s v="Active"/>
    <s v="26-35"/>
    <s v="0-1 Year"/>
  </r>
  <r>
    <s v="EMP0666"/>
    <n v="56"/>
    <s v="Female"/>
    <x v="0"/>
    <s v="Financial Analyst"/>
    <s v="B.Tech"/>
    <n v="159759"/>
    <n v="31"/>
    <n v="34"/>
    <n v="5"/>
    <n v="3"/>
    <n v="1"/>
    <n v="2"/>
    <s v="No"/>
    <s v="Travel_Rarely"/>
    <n v="7"/>
    <n v="37"/>
    <n v="3"/>
    <s v="No"/>
    <n v="5"/>
    <x v="1"/>
    <d v="2016-04-19T00:00:00"/>
    <m/>
    <s v="Active"/>
    <s v="56+"/>
    <s v="10+ Years"/>
  </r>
  <r>
    <s v="EMP0667"/>
    <n v="26"/>
    <s v="Male"/>
    <x v="3"/>
    <s v="Operations Executive"/>
    <s v="B.Tech"/>
    <n v="59775"/>
    <n v="1"/>
    <n v="4"/>
    <n v="2"/>
    <n v="4"/>
    <n v="1"/>
    <n v="2"/>
    <s v="Yes"/>
    <s v="Travel_Rarely"/>
    <n v="28"/>
    <n v="34"/>
    <n v="3"/>
    <s v="No"/>
    <n v="2"/>
    <x v="1"/>
    <d v="2022-04-05T00:00:00"/>
    <m/>
    <s v="Active"/>
    <s v="26-35"/>
    <s v="0-1 Year"/>
  </r>
  <r>
    <s v="EMP0668"/>
    <n v="39"/>
    <s v="Male"/>
    <x v="4"/>
    <s v="HR Manager"/>
    <s v="B.Com"/>
    <n v="77066"/>
    <n v="5"/>
    <n v="17"/>
    <n v="3"/>
    <n v="4"/>
    <n v="1"/>
    <n v="4"/>
    <s v="Yes"/>
    <s v="Travel_Rarely"/>
    <n v="19"/>
    <n v="18"/>
    <n v="3"/>
    <s v="Yes"/>
    <n v="4"/>
    <x v="0"/>
    <d v="2016-04-05T00:00:00"/>
    <d v="2016-11-18T00:00:00"/>
    <s v="2016-11-18"/>
    <s v="36-45"/>
    <s v="4-5 Years"/>
  </r>
  <r>
    <s v="EMP0669"/>
    <n v="24"/>
    <s v="Male"/>
    <x v="1"/>
    <s v="Sales Manager"/>
    <s v="B.Com"/>
    <n v="56669"/>
    <n v="1"/>
    <n v="1"/>
    <n v="2"/>
    <n v="1"/>
    <n v="2"/>
    <n v="2"/>
    <s v="No"/>
    <s v="Travel_Rarely"/>
    <n v="6"/>
    <n v="27"/>
    <n v="4"/>
    <s v="No"/>
    <n v="3"/>
    <x v="1"/>
    <d v="2012-04-07T00:00:00"/>
    <m/>
    <s v="Active"/>
    <s v="18-25"/>
    <s v="0-1 Year"/>
  </r>
  <r>
    <s v="EMP0670"/>
    <n v="29"/>
    <s v="Female"/>
    <x v="2"/>
    <s v="IT Manager"/>
    <s v="B.Com"/>
    <n v="79569"/>
    <n v="5"/>
    <n v="7"/>
    <n v="3"/>
    <n v="1"/>
    <n v="1"/>
    <n v="3"/>
    <s v="No"/>
    <s v="Travel_Rarely"/>
    <n v="28"/>
    <n v="28"/>
    <n v="4"/>
    <s v="No"/>
    <n v="5"/>
    <x v="1"/>
    <d v="2015-05-22T00:00:00"/>
    <m/>
    <s v="Active"/>
    <s v="26-35"/>
    <s v="4-5 Years"/>
  </r>
  <r>
    <s v="EMP0671"/>
    <n v="27"/>
    <s v="Female"/>
    <x v="2"/>
    <s v="IT Manager"/>
    <s v="B.Tech"/>
    <n v="84347"/>
    <n v="5"/>
    <n v="6"/>
    <n v="3"/>
    <n v="1"/>
    <n v="4"/>
    <n v="3"/>
    <s v="No"/>
    <s v="Travel_Rarely"/>
    <n v="5"/>
    <n v="26"/>
    <n v="4"/>
    <s v="Yes"/>
    <n v="3"/>
    <x v="1"/>
    <d v="2017-06-25T00:00:00"/>
    <m/>
    <s v="Active"/>
    <s v="26-35"/>
    <s v="4-5 Years"/>
  </r>
  <r>
    <s v="EMP0672"/>
    <n v="49"/>
    <s v="Male"/>
    <x v="2"/>
    <s v="Software Engineer"/>
    <s v="M.Tech"/>
    <n v="144785"/>
    <n v="21"/>
    <n v="27"/>
    <n v="5"/>
    <n v="4"/>
    <n v="3"/>
    <n v="3"/>
    <s v="Yes"/>
    <s v="Travel_Rarely"/>
    <n v="20"/>
    <n v="47"/>
    <n v="3"/>
    <s v="Yes"/>
    <n v="1"/>
    <x v="0"/>
    <d v="2019-07-10T00:00:00"/>
    <d v="2021-07-13T00:00:00"/>
    <s v="2021-07-13"/>
    <s v="46-55"/>
    <s v="10+ Years"/>
  </r>
  <r>
    <s v="EMP0673"/>
    <n v="33"/>
    <s v="Male"/>
    <x v="4"/>
    <s v="HR Manager"/>
    <s v="B.A"/>
    <n v="74884"/>
    <n v="3"/>
    <n v="11"/>
    <n v="3"/>
    <n v="3"/>
    <n v="2"/>
    <n v="2"/>
    <s v="No"/>
    <s v="Travel_Rarely"/>
    <n v="20"/>
    <n v="43"/>
    <n v="3"/>
    <s v="No"/>
    <n v="2"/>
    <x v="0"/>
    <d v="2018-06-23T00:00:00"/>
    <d v="2020-12-06T00:00:00"/>
    <s v="2020-12-06"/>
    <s v="26-35"/>
    <s v="2-3 Years"/>
  </r>
  <r>
    <s v="EMP0674"/>
    <n v="52"/>
    <s v="Female"/>
    <x v="1"/>
    <s v="Sales Manager"/>
    <s v="BBA"/>
    <n v="102131"/>
    <n v="10"/>
    <n v="30"/>
    <n v="4"/>
    <n v="1"/>
    <n v="3"/>
    <n v="2"/>
    <s v="Yes"/>
    <s v="Travel_Rarely"/>
    <n v="25"/>
    <n v="47"/>
    <n v="4"/>
    <s v="No"/>
    <n v="1"/>
    <x v="1"/>
    <d v="2013-03-25T00:00:00"/>
    <m/>
    <s v="Active"/>
    <s v="46-55"/>
    <s v="6-10 Years"/>
  </r>
  <r>
    <s v="EMP0675"/>
    <n v="56"/>
    <s v="Male"/>
    <x v="0"/>
    <s v="Financial Analyst"/>
    <s v="B.Com"/>
    <n v="141571"/>
    <n v="20"/>
    <n v="34"/>
    <n v="5"/>
    <n v="1"/>
    <n v="4"/>
    <n v="1"/>
    <s v="No"/>
    <s v="Travel_Rarely"/>
    <n v="22"/>
    <n v="48"/>
    <n v="2"/>
    <s v="No"/>
    <n v="6"/>
    <x v="0"/>
    <d v="2020-03-09T00:00:00"/>
    <d v="2022-03-26T00:00:00"/>
    <s v="2022-03-26"/>
    <s v="56+"/>
    <s v="10+ Years"/>
  </r>
  <r>
    <s v="EMP0676"/>
    <n v="30"/>
    <s v="Male"/>
    <x v="0"/>
    <s v="Financial Analyst"/>
    <s v="B.A"/>
    <n v="60527"/>
    <n v="4"/>
    <n v="6"/>
    <n v="2"/>
    <n v="2"/>
    <n v="3"/>
    <n v="2"/>
    <s v="No"/>
    <s v="Travel_Rarely"/>
    <n v="6"/>
    <n v="57"/>
    <n v="3"/>
    <s v="No"/>
    <n v="4"/>
    <x v="1"/>
    <d v="2013-07-14T00:00:00"/>
    <m/>
    <s v="Active"/>
    <s v="26-35"/>
    <s v="4-5 Years"/>
  </r>
  <r>
    <s v="EMP0677"/>
    <n v="35"/>
    <s v="Female"/>
    <x v="0"/>
    <s v="Finance Manager"/>
    <s v="B.Tech"/>
    <n v="102963"/>
    <n v="8"/>
    <n v="14"/>
    <n v="4"/>
    <n v="4"/>
    <n v="1"/>
    <n v="4"/>
    <s v="Yes"/>
    <s v="Travel_Rarely"/>
    <n v="11"/>
    <n v="16"/>
    <n v="3"/>
    <s v="No"/>
    <n v="8"/>
    <x v="1"/>
    <d v="2019-09-19T00:00:00"/>
    <m/>
    <s v="Active"/>
    <s v="26-35"/>
    <s v="6-10 Years"/>
  </r>
  <r>
    <s v="EMP0678"/>
    <n v="35"/>
    <s v="Male"/>
    <x v="5"/>
    <s v="Marketing Manager"/>
    <s v="BBA"/>
    <n v="116516"/>
    <n v="9"/>
    <n v="13"/>
    <n v="5"/>
    <n v="2"/>
    <n v="1"/>
    <n v="3"/>
    <s v="No"/>
    <s v="Travel_Frequently"/>
    <n v="19"/>
    <n v="48"/>
    <n v="3"/>
    <s v="No"/>
    <n v="7"/>
    <x v="1"/>
    <d v="2018-07-09T00:00:00"/>
    <m/>
    <s v="Active"/>
    <s v="26-35"/>
    <s v="6-10 Years"/>
  </r>
  <r>
    <s v="EMP0679"/>
    <n v="55"/>
    <s v="Male"/>
    <x v="3"/>
    <s v="Operations Manager"/>
    <s v="B.Tech"/>
    <n v="162454"/>
    <n v="30"/>
    <n v="34"/>
    <n v="5"/>
    <n v="3"/>
    <n v="4"/>
    <n v="3"/>
    <s v="No"/>
    <s v="Travel_Rarely"/>
    <n v="23"/>
    <n v="49"/>
    <n v="3"/>
    <s v="No"/>
    <n v="5"/>
    <x v="1"/>
    <d v="2019-04-22T00:00:00"/>
    <m/>
    <s v="Active"/>
    <s v="46-55"/>
    <s v="10+ Years"/>
  </r>
  <r>
    <s v="EMP0680"/>
    <n v="30"/>
    <s v="Male"/>
    <x v="3"/>
    <s v="Operations Manager"/>
    <s v="B.Com"/>
    <n v="75906"/>
    <n v="3"/>
    <n v="7"/>
    <n v="3"/>
    <n v="2"/>
    <n v="4"/>
    <n v="2"/>
    <s v="No"/>
    <s v="Travel_Rarely"/>
    <n v="4"/>
    <n v="45"/>
    <n v="2"/>
    <s v="No"/>
    <n v="5"/>
    <x v="0"/>
    <d v="2014-03-24T00:00:00"/>
    <d v="2014-12-27T00:00:00"/>
    <s v="2014-12-27"/>
    <s v="26-35"/>
    <s v="2-3 Years"/>
  </r>
  <r>
    <s v="EMP0681"/>
    <n v="56"/>
    <s v="Male"/>
    <x v="2"/>
    <s v="Software Engineer"/>
    <s v="BBA"/>
    <n v="106558"/>
    <n v="10"/>
    <n v="32"/>
    <n v="4"/>
    <n v="2"/>
    <n v="4"/>
    <n v="2"/>
    <s v="No"/>
    <s v="Travel_Rarely"/>
    <n v="13"/>
    <n v="42"/>
    <n v="3"/>
    <s v="Yes"/>
    <n v="5"/>
    <x v="1"/>
    <d v="2021-10-10T00:00:00"/>
    <m/>
    <s v="Active"/>
    <s v="56+"/>
    <s v="6-10 Years"/>
  </r>
  <r>
    <s v="EMP0682"/>
    <n v="59"/>
    <s v="Male"/>
    <x v="2"/>
    <s v="Data Analyst"/>
    <s v="MBA"/>
    <n v="40471"/>
    <n v="0"/>
    <n v="37"/>
    <n v="1"/>
    <n v="2"/>
    <n v="3"/>
    <n v="3"/>
    <s v="No"/>
    <s v="Travel_Rarely"/>
    <n v="17"/>
    <n v="34"/>
    <n v="2"/>
    <s v="No"/>
    <n v="5"/>
    <x v="1"/>
    <d v="2012-01-04T00:00:00"/>
    <m/>
    <s v="Active"/>
    <s v="56+"/>
    <s v="0-1 Year"/>
  </r>
  <r>
    <s v="EMP0683"/>
    <n v="24"/>
    <s v="Female"/>
    <x v="4"/>
    <s v="HR Executive"/>
    <s v="MBA"/>
    <n v="58687"/>
    <n v="0"/>
    <n v="3"/>
    <n v="2"/>
    <n v="4"/>
    <n v="3"/>
    <n v="1"/>
    <s v="No"/>
    <s v="Travel_Rarely"/>
    <n v="22"/>
    <n v="27"/>
    <n v="3"/>
    <s v="No"/>
    <n v="4"/>
    <x v="1"/>
    <d v="2021-01-25T00:00:00"/>
    <m/>
    <s v="Active"/>
    <s v="18-25"/>
    <s v="0-1 Year"/>
  </r>
  <r>
    <s v="EMP0684"/>
    <n v="31"/>
    <s v="Female"/>
    <x v="1"/>
    <s v="Sales Manager"/>
    <s v="B.Tech"/>
    <n v="100670"/>
    <n v="6"/>
    <n v="9"/>
    <n v="4"/>
    <n v="4"/>
    <n v="1"/>
    <n v="2"/>
    <s v="No"/>
    <s v="Non-Travel"/>
    <n v="2"/>
    <n v="44"/>
    <n v="3"/>
    <s v="Yes"/>
    <n v="1"/>
    <x v="1"/>
    <d v="2015-11-17T00:00:00"/>
    <m/>
    <s v="Active"/>
    <s v="26-35"/>
    <s v="6-10 Years"/>
  </r>
  <r>
    <s v="EMP0685"/>
    <n v="52"/>
    <s v="Male"/>
    <x v="0"/>
    <s v="Finance Manager"/>
    <s v="B.Com"/>
    <n v="117503"/>
    <n v="9"/>
    <n v="30"/>
    <n v="5"/>
    <n v="4"/>
    <n v="3"/>
    <n v="2"/>
    <s v="Yes"/>
    <s v="Travel_Rarely"/>
    <n v="22"/>
    <n v="37"/>
    <n v="3"/>
    <s v="No"/>
    <n v="7"/>
    <x v="1"/>
    <d v="2015-06-04T00:00:00"/>
    <m/>
    <s v="Active"/>
    <s v="46-55"/>
    <s v="6-10 Years"/>
  </r>
  <r>
    <s v="EMP0686"/>
    <n v="49"/>
    <s v="Male"/>
    <x v="3"/>
    <s v="Operations Executive"/>
    <s v="B.Tech"/>
    <n v="90213"/>
    <n v="8"/>
    <n v="26"/>
    <n v="3"/>
    <n v="1"/>
    <n v="1"/>
    <n v="2"/>
    <s v="Yes"/>
    <s v="Travel_Frequently"/>
    <n v="24"/>
    <n v="12"/>
    <n v="2"/>
    <s v="No"/>
    <n v="4"/>
    <x v="1"/>
    <d v="2016-02-01T00:00:00"/>
    <m/>
    <s v="Active"/>
    <s v="46-55"/>
    <s v="6-10 Years"/>
  </r>
  <r>
    <s v="EMP0687"/>
    <n v="28"/>
    <s v="Female"/>
    <x v="4"/>
    <s v="HR Manager"/>
    <s v="B.Tech"/>
    <n v="86720"/>
    <n v="6"/>
    <n v="7"/>
    <n v="3"/>
    <n v="1"/>
    <n v="4"/>
    <n v="1"/>
    <s v="No"/>
    <s v="Travel_Rarely"/>
    <n v="19"/>
    <n v="52"/>
    <n v="3"/>
    <s v="Yes"/>
    <n v="5"/>
    <x v="0"/>
    <d v="2015-02-25T00:00:00"/>
    <d v="2017-05-03T00:00:00"/>
    <s v="2017-05-03"/>
    <s v="26-35"/>
    <s v="6-10 Years"/>
  </r>
  <r>
    <s v="EMP0688"/>
    <n v="34"/>
    <s v="Female"/>
    <x v="0"/>
    <s v="Financial Analyst"/>
    <s v="BBA"/>
    <n v="103332"/>
    <n v="10"/>
    <n v="12"/>
    <n v="4"/>
    <n v="4"/>
    <n v="1"/>
    <n v="3"/>
    <s v="No"/>
    <s v="Non-Travel"/>
    <n v="28"/>
    <n v="53"/>
    <n v="3"/>
    <s v="No"/>
    <n v="5"/>
    <x v="1"/>
    <d v="2014-02-20T00:00:00"/>
    <m/>
    <s v="Active"/>
    <s v="26-35"/>
    <s v="6-10 Years"/>
  </r>
  <r>
    <s v="EMP0689"/>
    <n v="47"/>
    <s v="Male"/>
    <x v="3"/>
    <s v="Operations Executive"/>
    <s v="B.Tech"/>
    <n v="78839"/>
    <n v="3"/>
    <n v="23"/>
    <n v="3"/>
    <n v="1"/>
    <n v="3"/>
    <n v="3"/>
    <s v="Yes"/>
    <s v="Travel_Rarely"/>
    <n v="9"/>
    <n v="53"/>
    <n v="3"/>
    <s v="No"/>
    <n v="5"/>
    <x v="1"/>
    <d v="2013-02-06T00:00:00"/>
    <m/>
    <s v="Active"/>
    <s v="46-55"/>
    <s v="2-3 Years"/>
  </r>
  <r>
    <s v="EMP0690"/>
    <n v="23"/>
    <s v="Male"/>
    <x v="3"/>
    <s v="Operations Executive"/>
    <s v="BBA"/>
    <n v="58675"/>
    <n v="2"/>
    <n v="2"/>
    <n v="2"/>
    <n v="1"/>
    <n v="3"/>
    <n v="1"/>
    <s v="No"/>
    <s v="Travel_Frequently"/>
    <n v="21"/>
    <n v="57"/>
    <n v="3"/>
    <s v="No"/>
    <n v="3"/>
    <x v="1"/>
    <d v="2015-12-31T00:00:00"/>
    <m/>
    <s v="Active"/>
    <s v="18-25"/>
    <s v="2-3 Years"/>
  </r>
  <r>
    <s v="EMP0691"/>
    <n v="52"/>
    <s v="Male"/>
    <x v="5"/>
    <s v="Marketing Analyst"/>
    <s v="BBA"/>
    <n v="147271"/>
    <n v="25"/>
    <n v="30"/>
    <n v="5"/>
    <n v="1"/>
    <n v="3"/>
    <n v="2"/>
    <s v="No"/>
    <s v="Travel_Rarely"/>
    <n v="11"/>
    <n v="34"/>
    <n v="4"/>
    <s v="No"/>
    <n v="7"/>
    <x v="0"/>
    <d v="2021-12-12T00:00:00"/>
    <d v="2023-03-28T00:00:00"/>
    <s v="2023-03-28"/>
    <s v="46-55"/>
    <s v="10+ Years"/>
  </r>
  <r>
    <s v="EMP0692"/>
    <n v="37"/>
    <s v="Female"/>
    <x v="4"/>
    <s v="HR Executive"/>
    <s v="B.A"/>
    <n v="81637"/>
    <n v="7"/>
    <n v="16"/>
    <n v="3"/>
    <n v="1"/>
    <n v="3"/>
    <n v="1"/>
    <s v="No"/>
    <s v="Travel_Rarely"/>
    <n v="11"/>
    <n v="42"/>
    <n v="3"/>
    <s v="Yes"/>
    <n v="7"/>
    <x v="0"/>
    <d v="2016-10-15T00:00:00"/>
    <d v="2018-04-14T00:00:00"/>
    <s v="2018-04-14"/>
    <s v="36-45"/>
    <s v="6-10 Years"/>
  </r>
  <r>
    <s v="EMP0693"/>
    <n v="25"/>
    <s v="Female"/>
    <x v="4"/>
    <s v="HR Manager"/>
    <s v="MBA"/>
    <n v="46692"/>
    <n v="2"/>
    <n v="3"/>
    <n v="1"/>
    <n v="3"/>
    <n v="2"/>
    <n v="3"/>
    <s v="No"/>
    <s v="Travel_Rarely"/>
    <n v="8"/>
    <n v="41"/>
    <n v="2"/>
    <s v="No"/>
    <n v="7"/>
    <x v="1"/>
    <d v="2017-11-17T00:00:00"/>
    <m/>
    <s v="Active"/>
    <s v="18-25"/>
    <s v="2-3 Years"/>
  </r>
  <r>
    <s v="EMP0694"/>
    <n v="24"/>
    <s v="Male"/>
    <x v="0"/>
    <s v="Finance Manager"/>
    <s v="MBA"/>
    <n v="61435"/>
    <n v="1"/>
    <n v="3"/>
    <n v="2"/>
    <n v="4"/>
    <n v="2"/>
    <n v="2"/>
    <s v="No"/>
    <s v="Travel_Rarely"/>
    <n v="26"/>
    <n v="42"/>
    <n v="2"/>
    <s v="No"/>
    <n v="9"/>
    <x v="1"/>
    <d v="2021-04-28T00:00:00"/>
    <m/>
    <s v="Active"/>
    <s v="18-25"/>
    <s v="0-1 Year"/>
  </r>
  <r>
    <s v="EMP0695"/>
    <n v="32"/>
    <s v="Male"/>
    <x v="2"/>
    <s v="Data Analyst"/>
    <s v="MBA"/>
    <n v="64180"/>
    <n v="5"/>
    <n v="10"/>
    <n v="2"/>
    <n v="1"/>
    <n v="3"/>
    <n v="3"/>
    <s v="No"/>
    <s v="Travel_Rarely"/>
    <n v="14"/>
    <n v="58"/>
    <n v="3"/>
    <s v="No"/>
    <n v="4"/>
    <x v="1"/>
    <d v="2018-02-26T00:00:00"/>
    <m/>
    <s v="Active"/>
    <s v="26-35"/>
    <s v="4-5 Years"/>
  </r>
  <r>
    <s v="EMP0696"/>
    <n v="26"/>
    <s v="Male"/>
    <x v="2"/>
    <s v="Data Analyst"/>
    <s v="M.Tech"/>
    <n v="54076"/>
    <n v="0"/>
    <n v="5"/>
    <n v="2"/>
    <n v="2"/>
    <n v="1"/>
    <n v="2"/>
    <s v="Yes"/>
    <s v="Travel_Rarely"/>
    <n v="13"/>
    <n v="47"/>
    <n v="2"/>
    <s v="No"/>
    <n v="2"/>
    <x v="1"/>
    <d v="2012-02-02T00:00:00"/>
    <m/>
    <s v="Active"/>
    <s v="26-35"/>
    <s v="0-1 Year"/>
  </r>
  <r>
    <s v="EMP0697"/>
    <n v="28"/>
    <s v="Male"/>
    <x v="0"/>
    <s v="Finance Manager"/>
    <s v="M.Tech"/>
    <n v="39871"/>
    <n v="0"/>
    <n v="6"/>
    <n v="1"/>
    <n v="2"/>
    <n v="3"/>
    <n v="2"/>
    <s v="No"/>
    <s v="Travel_Rarely"/>
    <n v="7"/>
    <n v="49"/>
    <n v="2"/>
    <s v="No"/>
    <n v="4"/>
    <x v="1"/>
    <d v="2020-11-26T00:00:00"/>
    <m/>
    <s v="Active"/>
    <s v="26-35"/>
    <s v="0-1 Year"/>
  </r>
  <r>
    <s v="EMP0698"/>
    <n v="23"/>
    <s v="Female"/>
    <x v="2"/>
    <s v="Software Engineer"/>
    <s v="B.A"/>
    <n v="38939"/>
    <n v="0"/>
    <n v="1"/>
    <n v="1"/>
    <n v="3"/>
    <n v="2"/>
    <n v="4"/>
    <s v="No"/>
    <s v="Travel_Rarely"/>
    <n v="19"/>
    <n v="39"/>
    <n v="3"/>
    <s v="No"/>
    <n v="5"/>
    <x v="1"/>
    <d v="2016-01-28T00:00:00"/>
    <m/>
    <s v="Active"/>
    <s v="18-25"/>
    <s v="0-1 Year"/>
  </r>
  <r>
    <s v="EMP0699"/>
    <n v="32"/>
    <s v="Female"/>
    <x v="1"/>
    <s v="Sales Executive"/>
    <s v="B.A"/>
    <n v="55995"/>
    <n v="1"/>
    <n v="10"/>
    <n v="2"/>
    <n v="4"/>
    <n v="2"/>
    <n v="3"/>
    <s v="Yes"/>
    <s v="Travel_Rarely"/>
    <n v="10"/>
    <n v="52"/>
    <n v="3"/>
    <s v="No"/>
    <n v="4"/>
    <x v="0"/>
    <d v="2015-03-19T00:00:00"/>
    <d v="2016-05-30T00:00:00"/>
    <s v="2016-05-30"/>
    <s v="26-35"/>
    <s v="0-1 Year"/>
  </r>
  <r>
    <s v="EMP0700"/>
    <n v="31"/>
    <s v="Male"/>
    <x v="0"/>
    <s v="Finance Manager"/>
    <s v="MBA"/>
    <n v="103647"/>
    <n v="10"/>
    <n v="10"/>
    <n v="4"/>
    <n v="3"/>
    <n v="1"/>
    <n v="3"/>
    <s v="No"/>
    <s v="Travel_Frequently"/>
    <n v="26"/>
    <n v="34"/>
    <n v="3"/>
    <s v="No"/>
    <n v="2"/>
    <x v="1"/>
    <d v="2022-01-09T00:00:00"/>
    <m/>
    <s v="Active"/>
    <s v="26-35"/>
    <s v="6-10 Years"/>
  </r>
  <r>
    <s v="EMP0701"/>
    <n v="38"/>
    <s v="Male"/>
    <x v="2"/>
    <s v="Software Engineer"/>
    <s v="BBA"/>
    <n v="133735"/>
    <n v="15"/>
    <n v="16"/>
    <n v="5"/>
    <n v="2"/>
    <n v="2"/>
    <n v="4"/>
    <s v="No"/>
    <s v="Travel_Frequently"/>
    <n v="26"/>
    <n v="46"/>
    <n v="3"/>
    <s v="No"/>
    <n v="5"/>
    <x v="1"/>
    <d v="2020-08-10T00:00:00"/>
    <m/>
    <s v="Active"/>
    <s v="36-45"/>
    <s v="10+ Years"/>
  </r>
  <r>
    <s v="EMP0702"/>
    <n v="44"/>
    <s v="Female"/>
    <x v="1"/>
    <s v="Sales Executive"/>
    <s v="B.Com"/>
    <n v="107186"/>
    <n v="9"/>
    <n v="22"/>
    <n v="4"/>
    <n v="1"/>
    <n v="3"/>
    <n v="4"/>
    <s v="No"/>
    <s v="Travel_Rarely"/>
    <n v="17"/>
    <n v="11"/>
    <n v="2"/>
    <s v="No"/>
    <n v="5"/>
    <x v="1"/>
    <d v="2023-11-17T00:00:00"/>
    <m/>
    <s v="Active"/>
    <s v="36-45"/>
    <s v="6-10 Years"/>
  </r>
  <r>
    <s v="EMP0703"/>
    <n v="30"/>
    <s v="Female"/>
    <x v="0"/>
    <s v="Financial Analyst"/>
    <s v="BBA"/>
    <n v="82208"/>
    <n v="7"/>
    <n v="9"/>
    <n v="3"/>
    <n v="3"/>
    <n v="4"/>
    <n v="4"/>
    <s v="No"/>
    <s v="Travel_Rarely"/>
    <n v="7"/>
    <n v="16"/>
    <n v="3"/>
    <s v="Yes"/>
    <n v="3"/>
    <x v="1"/>
    <d v="2018-05-18T00:00:00"/>
    <m/>
    <s v="Active"/>
    <s v="26-35"/>
    <s v="6-10 Years"/>
  </r>
  <r>
    <s v="EMP0704"/>
    <n v="57"/>
    <s v="Female"/>
    <x v="4"/>
    <s v="HR Executive"/>
    <s v="B.Com"/>
    <n v="167605"/>
    <n v="32"/>
    <n v="33"/>
    <n v="5"/>
    <n v="1"/>
    <n v="2"/>
    <n v="1"/>
    <s v="No"/>
    <s v="Travel_Frequently"/>
    <n v="22"/>
    <n v="32"/>
    <n v="3"/>
    <s v="No"/>
    <n v="5"/>
    <x v="0"/>
    <d v="2022-06-13T00:00:00"/>
    <d v="2024-07-10T00:00:00"/>
    <s v="2024-07-10"/>
    <s v="56+"/>
    <s v="10+ Years"/>
  </r>
  <r>
    <s v="EMP0705"/>
    <n v="59"/>
    <s v="Male"/>
    <x v="4"/>
    <s v="HR Manager"/>
    <s v="B.Tech"/>
    <n v="136675"/>
    <n v="16"/>
    <n v="36"/>
    <n v="5"/>
    <n v="3"/>
    <n v="1"/>
    <n v="3"/>
    <s v="No"/>
    <s v="Travel_Rarely"/>
    <n v="3"/>
    <n v="43"/>
    <n v="3"/>
    <s v="No"/>
    <n v="0"/>
    <x v="1"/>
    <d v="2020-02-12T00:00:00"/>
    <m/>
    <s v="Active"/>
    <s v="56+"/>
    <s v="10+ Years"/>
  </r>
  <r>
    <s v="EMP0706"/>
    <n v="52"/>
    <s v="Male"/>
    <x v="2"/>
    <s v="Data Analyst"/>
    <s v="B.Tech"/>
    <n v="120027"/>
    <n v="9"/>
    <n v="29"/>
    <n v="5"/>
    <n v="2"/>
    <n v="3"/>
    <n v="4"/>
    <s v="No"/>
    <s v="Travel_Rarely"/>
    <n v="12"/>
    <n v="57"/>
    <n v="4"/>
    <s v="Yes"/>
    <n v="4"/>
    <x v="1"/>
    <d v="2017-05-17T00:00:00"/>
    <m/>
    <s v="Active"/>
    <s v="46-55"/>
    <s v="6-10 Years"/>
  </r>
  <r>
    <s v="EMP0707"/>
    <n v="56"/>
    <s v="Female"/>
    <x v="1"/>
    <s v="Sales Executive"/>
    <s v="B.A"/>
    <n v="119837"/>
    <n v="11"/>
    <n v="33"/>
    <n v="5"/>
    <n v="4"/>
    <n v="2"/>
    <n v="2"/>
    <s v="Yes"/>
    <s v="Travel_Rarely"/>
    <n v="16"/>
    <n v="20"/>
    <n v="3"/>
    <s v="No"/>
    <n v="5"/>
    <x v="1"/>
    <d v="2012-05-29T00:00:00"/>
    <m/>
    <s v="Active"/>
    <s v="56+"/>
    <s v="10+ Years"/>
  </r>
  <r>
    <s v="EMP0708"/>
    <n v="34"/>
    <s v="Male"/>
    <x v="1"/>
    <s v="Sales Executive"/>
    <s v="B.A"/>
    <n v="109743"/>
    <n v="10"/>
    <n v="11"/>
    <n v="4"/>
    <n v="3"/>
    <n v="4"/>
    <n v="2"/>
    <s v="No"/>
    <s v="Travel_Rarely"/>
    <n v="1"/>
    <n v="50"/>
    <n v="3"/>
    <s v="Yes"/>
    <n v="5"/>
    <x v="1"/>
    <d v="2020-03-16T00:00:00"/>
    <m/>
    <s v="Active"/>
    <s v="26-35"/>
    <s v="6-10 Years"/>
  </r>
  <r>
    <s v="EMP0709"/>
    <n v="44"/>
    <s v="Male"/>
    <x v="3"/>
    <s v="Operations Manager"/>
    <s v="B.Com"/>
    <n v="105700"/>
    <n v="9"/>
    <n v="20"/>
    <n v="4"/>
    <n v="3"/>
    <n v="1"/>
    <n v="2"/>
    <s v="Yes"/>
    <s v="Travel_Rarely"/>
    <n v="22"/>
    <n v="27"/>
    <n v="3"/>
    <s v="No"/>
    <n v="4"/>
    <x v="1"/>
    <d v="2022-05-15T00:00:00"/>
    <m/>
    <s v="Active"/>
    <s v="36-45"/>
    <s v="6-10 Years"/>
  </r>
  <r>
    <s v="EMP0710"/>
    <n v="30"/>
    <s v="Male"/>
    <x v="2"/>
    <s v="Data Analyst"/>
    <s v="B.Com"/>
    <n v="58611"/>
    <n v="3"/>
    <n v="8"/>
    <n v="2"/>
    <n v="4"/>
    <n v="2"/>
    <n v="2"/>
    <s v="Yes"/>
    <s v="Travel_Rarely"/>
    <n v="2"/>
    <n v="38"/>
    <n v="2"/>
    <s v="No"/>
    <n v="6"/>
    <x v="1"/>
    <d v="2018-11-03T00:00:00"/>
    <m/>
    <s v="Active"/>
    <s v="26-35"/>
    <s v="2-3 Years"/>
  </r>
  <r>
    <s v="EMP0711"/>
    <n v="27"/>
    <s v="Female"/>
    <x v="3"/>
    <s v="Operations Executive"/>
    <s v="B.A"/>
    <n v="44709"/>
    <n v="1"/>
    <n v="5"/>
    <n v="1"/>
    <n v="4"/>
    <n v="4"/>
    <n v="3"/>
    <s v="No"/>
    <s v="Non-Travel"/>
    <n v="24"/>
    <n v="19"/>
    <n v="2"/>
    <s v="No"/>
    <n v="3"/>
    <x v="1"/>
    <d v="2017-02-20T00:00:00"/>
    <m/>
    <s v="Active"/>
    <s v="26-35"/>
    <s v="0-1 Year"/>
  </r>
  <r>
    <s v="EMP0712"/>
    <n v="53"/>
    <s v="Male"/>
    <x v="1"/>
    <s v="Sales Executive"/>
    <s v="M.Tech"/>
    <n v="121900"/>
    <n v="11"/>
    <n v="31"/>
    <n v="5"/>
    <n v="3"/>
    <n v="2"/>
    <n v="3"/>
    <s v="No"/>
    <s v="Travel_Rarely"/>
    <n v="4"/>
    <n v="51"/>
    <n v="4"/>
    <s v="No"/>
    <n v="14"/>
    <x v="0"/>
    <d v="2016-08-30T00:00:00"/>
    <d v="2017-08-27T00:00:00"/>
    <s v="2017-08-27"/>
    <s v="46-55"/>
    <s v="10+ Years"/>
  </r>
  <r>
    <s v="EMP0713"/>
    <n v="26"/>
    <s v="Male"/>
    <x v="1"/>
    <s v="Sales Executive"/>
    <s v="B.Com"/>
    <n v="55880"/>
    <n v="0"/>
    <n v="5"/>
    <n v="2"/>
    <n v="3"/>
    <n v="2"/>
    <n v="4"/>
    <s v="No"/>
    <s v="Travel_Rarely"/>
    <n v="7"/>
    <n v="29"/>
    <n v="2"/>
    <s v="No"/>
    <n v="4"/>
    <x v="1"/>
    <d v="2022-09-20T00:00:00"/>
    <m/>
    <s v="Active"/>
    <s v="26-35"/>
    <s v="0-1 Year"/>
  </r>
  <r>
    <s v="EMP0714"/>
    <n v="38"/>
    <s v="Male"/>
    <x v="1"/>
    <s v="Sales Manager"/>
    <s v="BBA"/>
    <n v="105620"/>
    <n v="9"/>
    <n v="14"/>
    <n v="4"/>
    <n v="3"/>
    <n v="2"/>
    <n v="4"/>
    <s v="No"/>
    <s v="Travel_Rarely"/>
    <n v="12"/>
    <n v="50"/>
    <n v="3"/>
    <s v="Yes"/>
    <n v="8"/>
    <x v="1"/>
    <d v="2023-09-09T00:00:00"/>
    <m/>
    <s v="Active"/>
    <s v="36-45"/>
    <s v="6-10 Years"/>
  </r>
  <r>
    <s v="EMP0715"/>
    <n v="47"/>
    <s v="Male"/>
    <x v="0"/>
    <s v="Finance Manager"/>
    <s v="B.A"/>
    <n v="139667"/>
    <n v="18"/>
    <n v="26"/>
    <n v="5"/>
    <n v="4"/>
    <n v="1"/>
    <n v="4"/>
    <s v="No"/>
    <s v="Travel_Rarely"/>
    <n v="19"/>
    <n v="23"/>
    <n v="4"/>
    <s v="Yes"/>
    <n v="6"/>
    <x v="1"/>
    <d v="2016-03-13T00:00:00"/>
    <m/>
    <s v="Active"/>
    <s v="46-55"/>
    <s v="10+ Years"/>
  </r>
  <r>
    <s v="EMP0716"/>
    <n v="58"/>
    <s v="Female"/>
    <x v="2"/>
    <s v="IT Manager"/>
    <s v="B.Com"/>
    <n v="125176"/>
    <n v="14"/>
    <n v="36"/>
    <n v="5"/>
    <n v="1"/>
    <n v="1"/>
    <n v="2"/>
    <s v="No"/>
    <s v="Travel_Rarely"/>
    <n v="20"/>
    <n v="11"/>
    <n v="3"/>
    <s v="Yes"/>
    <n v="4"/>
    <x v="0"/>
    <d v="2016-10-14T00:00:00"/>
    <d v="2017-06-03T00:00:00"/>
    <s v="2017-06-03"/>
    <s v="56+"/>
    <s v="10+ Years"/>
  </r>
  <r>
    <s v="EMP0717"/>
    <n v="50"/>
    <s v="Female"/>
    <x v="4"/>
    <s v="HR Manager"/>
    <s v="BBA"/>
    <n v="146442"/>
    <n v="24"/>
    <n v="28"/>
    <n v="5"/>
    <n v="4"/>
    <n v="2"/>
    <n v="4"/>
    <s v="No"/>
    <s v="Travel_Rarely"/>
    <n v="18"/>
    <n v="11"/>
    <n v="4"/>
    <s v="Yes"/>
    <n v="2"/>
    <x v="1"/>
    <d v="2019-07-02T00:00:00"/>
    <m/>
    <s v="Active"/>
    <s v="46-55"/>
    <s v="10+ Years"/>
  </r>
  <r>
    <s v="EMP0718"/>
    <n v="44"/>
    <s v="Male"/>
    <x v="4"/>
    <s v="HR Executive"/>
    <s v="M.Tech"/>
    <n v="42229"/>
    <n v="0"/>
    <n v="23"/>
    <n v="1"/>
    <n v="1"/>
    <n v="4"/>
    <n v="1"/>
    <s v="No"/>
    <s v="Travel_Rarely"/>
    <n v="19"/>
    <n v="36"/>
    <n v="4"/>
    <s v="No"/>
    <n v="8"/>
    <x v="1"/>
    <d v="2016-12-21T00:00:00"/>
    <m/>
    <s v="Active"/>
    <s v="36-45"/>
    <s v="0-1 Year"/>
  </r>
  <r>
    <s v="EMP0719"/>
    <n v="29"/>
    <s v="Female"/>
    <x v="4"/>
    <s v="HR Executive"/>
    <s v="B.Com"/>
    <n v="40082"/>
    <n v="0"/>
    <n v="6"/>
    <n v="1"/>
    <n v="2"/>
    <n v="1"/>
    <n v="2"/>
    <s v="No"/>
    <s v="Travel_Rarely"/>
    <n v="1"/>
    <n v="20"/>
    <n v="3"/>
    <s v="No"/>
    <n v="8"/>
    <x v="1"/>
    <d v="2015-01-20T00:00:00"/>
    <m/>
    <s v="Active"/>
    <s v="26-35"/>
    <s v="0-1 Year"/>
  </r>
  <r>
    <s v="EMP0720"/>
    <n v="32"/>
    <s v="Male"/>
    <x v="5"/>
    <s v="Marketing Analyst"/>
    <s v="B.Tech"/>
    <n v="40276"/>
    <n v="0"/>
    <n v="8"/>
    <n v="1"/>
    <n v="1"/>
    <n v="2"/>
    <n v="1"/>
    <s v="No"/>
    <s v="Travel_Rarely"/>
    <n v="5"/>
    <n v="56"/>
    <n v="3"/>
    <s v="No"/>
    <n v="4"/>
    <x v="1"/>
    <d v="2014-12-05T00:00:00"/>
    <m/>
    <s v="Active"/>
    <s v="26-35"/>
    <s v="0-1 Year"/>
  </r>
  <r>
    <s v="EMP0721"/>
    <n v="27"/>
    <s v="Male"/>
    <x v="4"/>
    <s v="HR Manager"/>
    <s v="B.Tech"/>
    <n v="67742"/>
    <n v="4"/>
    <n v="5"/>
    <n v="2"/>
    <n v="4"/>
    <n v="2"/>
    <n v="2"/>
    <s v="No"/>
    <s v="Travel_Rarely"/>
    <n v="6"/>
    <n v="33"/>
    <n v="3"/>
    <s v="No"/>
    <n v="2"/>
    <x v="1"/>
    <d v="2012-12-26T00:00:00"/>
    <m/>
    <s v="Active"/>
    <s v="26-35"/>
    <s v="4-5 Years"/>
  </r>
  <r>
    <s v="EMP0722"/>
    <n v="51"/>
    <s v="Male"/>
    <x v="2"/>
    <s v="IT Manager"/>
    <s v="B.Tech"/>
    <n v="145877"/>
    <n v="24"/>
    <n v="27"/>
    <n v="5"/>
    <n v="4"/>
    <n v="4"/>
    <n v="4"/>
    <s v="No"/>
    <s v="Travel_Rarely"/>
    <n v="22"/>
    <n v="17"/>
    <n v="3"/>
    <s v="No"/>
    <n v="2"/>
    <x v="1"/>
    <d v="2022-11-25T00:00:00"/>
    <m/>
    <s v="Active"/>
    <s v="46-55"/>
    <s v="10+ Years"/>
  </r>
  <r>
    <s v="EMP0723"/>
    <n v="32"/>
    <s v="Female"/>
    <x v="0"/>
    <s v="Finance Manager"/>
    <s v="B.A"/>
    <n v="61389"/>
    <n v="2"/>
    <n v="11"/>
    <n v="2"/>
    <n v="2"/>
    <n v="1"/>
    <n v="1"/>
    <s v="No"/>
    <s v="Travel_Rarely"/>
    <n v="8"/>
    <n v="19"/>
    <n v="2"/>
    <s v="No"/>
    <n v="5"/>
    <x v="1"/>
    <d v="2017-11-16T00:00:00"/>
    <m/>
    <s v="Active"/>
    <s v="26-35"/>
    <s v="2-3 Years"/>
  </r>
  <r>
    <s v="EMP0724"/>
    <n v="54"/>
    <s v="Male"/>
    <x v="1"/>
    <s v="Sales Executive"/>
    <s v="B.Tech"/>
    <n v="161863"/>
    <n v="30"/>
    <n v="31"/>
    <n v="5"/>
    <n v="4"/>
    <n v="3"/>
    <n v="2"/>
    <s v="No"/>
    <s v="Travel_Rarely"/>
    <n v="10"/>
    <n v="55"/>
    <n v="4"/>
    <s v="No"/>
    <n v="3"/>
    <x v="0"/>
    <d v="2019-07-12T00:00:00"/>
    <d v="2021-07-17T00:00:00"/>
    <s v="2021-07-17"/>
    <s v="46-55"/>
    <s v="10+ Years"/>
  </r>
  <r>
    <s v="EMP0725"/>
    <n v="50"/>
    <s v="Female"/>
    <x v="0"/>
    <s v="Financial Analyst"/>
    <s v="M.Tech"/>
    <n v="140937"/>
    <n v="18"/>
    <n v="26"/>
    <n v="5"/>
    <n v="1"/>
    <n v="4"/>
    <n v="2"/>
    <s v="Yes"/>
    <s v="Travel_Rarely"/>
    <n v="9"/>
    <n v="41"/>
    <n v="3"/>
    <s v="No"/>
    <n v="6"/>
    <x v="1"/>
    <d v="2020-10-21T00:00:00"/>
    <m/>
    <s v="Active"/>
    <s v="46-55"/>
    <s v="10+ Years"/>
  </r>
  <r>
    <s v="EMP0726"/>
    <n v="45"/>
    <s v="Male"/>
    <x v="2"/>
    <s v="IT Manager"/>
    <s v="BBA"/>
    <n v="145548"/>
    <n v="21"/>
    <n v="23"/>
    <n v="5"/>
    <n v="1"/>
    <n v="3"/>
    <n v="2"/>
    <s v="No"/>
    <s v="Travel_Rarely"/>
    <n v="16"/>
    <n v="56"/>
    <n v="3"/>
    <s v="No"/>
    <n v="3"/>
    <x v="1"/>
    <d v="2018-06-24T00:00:00"/>
    <m/>
    <s v="Active"/>
    <s v="36-45"/>
    <s v="10+ Years"/>
  </r>
  <r>
    <s v="EMP0727"/>
    <n v="36"/>
    <s v="Female"/>
    <x v="2"/>
    <s v="Software Engineer"/>
    <s v="B.Tech"/>
    <n v="121028"/>
    <n v="11"/>
    <n v="13"/>
    <n v="5"/>
    <n v="3"/>
    <n v="2"/>
    <n v="2"/>
    <s v="Yes"/>
    <s v="Travel_Rarely"/>
    <n v="6"/>
    <n v="28"/>
    <n v="3"/>
    <s v="No"/>
    <n v="4"/>
    <x v="1"/>
    <d v="2020-11-25T00:00:00"/>
    <m/>
    <s v="Active"/>
    <s v="36-45"/>
    <s v="10+ Years"/>
  </r>
  <r>
    <s v="EMP0728"/>
    <n v="57"/>
    <s v="Male"/>
    <x v="2"/>
    <s v="IT Manager"/>
    <s v="MBA"/>
    <n v="43487"/>
    <n v="0"/>
    <n v="35"/>
    <n v="1"/>
    <n v="2"/>
    <n v="2"/>
    <n v="2"/>
    <s v="No"/>
    <s v="Travel_Frequently"/>
    <n v="27"/>
    <n v="11"/>
    <n v="3"/>
    <s v="No"/>
    <n v="7"/>
    <x v="1"/>
    <d v="2021-01-08T00:00:00"/>
    <m/>
    <s v="Active"/>
    <s v="56+"/>
    <s v="0-1 Year"/>
  </r>
  <r>
    <s v="EMP0729"/>
    <n v="29"/>
    <s v="Female"/>
    <x v="2"/>
    <s v="IT Manager"/>
    <s v="BBA"/>
    <n v="82700"/>
    <n v="5"/>
    <n v="8"/>
    <n v="3"/>
    <n v="1"/>
    <n v="1"/>
    <n v="1"/>
    <s v="No"/>
    <s v="Travel_Rarely"/>
    <n v="3"/>
    <n v="15"/>
    <n v="3"/>
    <s v="No"/>
    <n v="3"/>
    <x v="1"/>
    <d v="2017-06-17T00:00:00"/>
    <m/>
    <s v="Active"/>
    <s v="26-35"/>
    <s v="4-5 Years"/>
  </r>
  <r>
    <s v="EMP0730"/>
    <n v="55"/>
    <s v="Female"/>
    <x v="0"/>
    <s v="Financial Analyst"/>
    <s v="M.Tech"/>
    <n v="128249"/>
    <n v="15"/>
    <n v="31"/>
    <n v="5"/>
    <n v="4"/>
    <n v="1"/>
    <n v="1"/>
    <s v="No"/>
    <s v="Travel_Rarely"/>
    <n v="23"/>
    <n v="43"/>
    <n v="3"/>
    <s v="No"/>
    <n v="4"/>
    <x v="1"/>
    <d v="2016-05-23T00:00:00"/>
    <m/>
    <s v="Active"/>
    <s v="46-55"/>
    <s v="10+ Years"/>
  </r>
  <r>
    <s v="EMP0731"/>
    <n v="29"/>
    <s v="Male"/>
    <x v="3"/>
    <s v="Operations Manager"/>
    <s v="BBA"/>
    <n v="42944"/>
    <n v="1"/>
    <n v="7"/>
    <n v="1"/>
    <n v="1"/>
    <n v="4"/>
    <n v="1"/>
    <s v="Yes"/>
    <s v="Travel_Frequently"/>
    <n v="15"/>
    <n v="28"/>
    <n v="4"/>
    <s v="No"/>
    <n v="3"/>
    <x v="1"/>
    <d v="2019-11-16T00:00:00"/>
    <m/>
    <s v="Active"/>
    <s v="26-35"/>
    <s v="0-1 Year"/>
  </r>
  <r>
    <s v="EMP0732"/>
    <n v="37"/>
    <s v="Female"/>
    <x v="0"/>
    <s v="Financial Analyst"/>
    <s v="M.Tech"/>
    <n v="37125"/>
    <n v="0"/>
    <n v="14"/>
    <n v="1"/>
    <n v="2"/>
    <n v="3"/>
    <n v="4"/>
    <s v="No"/>
    <s v="Travel_Rarely"/>
    <n v="14"/>
    <n v="57"/>
    <n v="3"/>
    <s v="No"/>
    <n v="9"/>
    <x v="1"/>
    <d v="2021-06-21T00:00:00"/>
    <m/>
    <s v="Active"/>
    <s v="36-45"/>
    <s v="0-1 Year"/>
  </r>
  <r>
    <s v="EMP0733"/>
    <n v="34"/>
    <s v="Female"/>
    <x v="4"/>
    <s v="HR Executive"/>
    <s v="B.Tech"/>
    <n v="99106"/>
    <n v="7"/>
    <n v="13"/>
    <n v="4"/>
    <n v="2"/>
    <n v="1"/>
    <n v="4"/>
    <s v="No"/>
    <s v="Travel_Rarely"/>
    <n v="5"/>
    <n v="18"/>
    <n v="3"/>
    <s v="No"/>
    <n v="5"/>
    <x v="1"/>
    <d v="2017-09-09T00:00:00"/>
    <m/>
    <s v="Active"/>
    <s v="26-35"/>
    <s v="6-10 Years"/>
  </r>
  <r>
    <s v="EMP0734"/>
    <n v="26"/>
    <s v="Female"/>
    <x v="1"/>
    <s v="Sales Executive"/>
    <s v="B.A"/>
    <n v="63977"/>
    <n v="4"/>
    <n v="4"/>
    <n v="2"/>
    <n v="3"/>
    <n v="1"/>
    <n v="4"/>
    <s v="No"/>
    <s v="Travel_Rarely"/>
    <n v="14"/>
    <n v="20"/>
    <n v="3"/>
    <s v="No"/>
    <n v="5"/>
    <x v="1"/>
    <d v="2018-01-12T00:00:00"/>
    <m/>
    <s v="Active"/>
    <s v="26-35"/>
    <s v="4-5 Years"/>
  </r>
  <r>
    <s v="EMP0735"/>
    <n v="25"/>
    <s v="Male"/>
    <x v="5"/>
    <s v="Marketing Manager"/>
    <s v="M.Tech"/>
    <n v="55133"/>
    <n v="0"/>
    <n v="3"/>
    <n v="2"/>
    <n v="4"/>
    <n v="2"/>
    <n v="4"/>
    <s v="No"/>
    <s v="Travel_Rarely"/>
    <n v="17"/>
    <n v="58"/>
    <n v="3"/>
    <s v="No"/>
    <n v="8"/>
    <x v="0"/>
    <d v="2017-02-13T00:00:00"/>
    <d v="2018-02-20T00:00:00"/>
    <s v="2018-02-20"/>
    <s v="18-25"/>
    <s v="0-1 Year"/>
  </r>
  <r>
    <s v="EMP0736"/>
    <n v="28"/>
    <s v="Female"/>
    <x v="2"/>
    <s v="Software Engineer"/>
    <s v="BBA"/>
    <n v="76764"/>
    <n v="4"/>
    <n v="7"/>
    <n v="3"/>
    <n v="3"/>
    <n v="3"/>
    <n v="3"/>
    <s v="No"/>
    <s v="Travel_Frequently"/>
    <n v="18"/>
    <n v="30"/>
    <n v="3"/>
    <s v="No"/>
    <n v="7"/>
    <x v="1"/>
    <d v="2022-04-17T00:00:00"/>
    <m/>
    <s v="Active"/>
    <s v="26-35"/>
    <s v="4-5 Years"/>
  </r>
  <r>
    <s v="EMP0737"/>
    <n v="50"/>
    <s v="Male"/>
    <x v="4"/>
    <s v="HR Manager"/>
    <s v="MBA"/>
    <n v="98114"/>
    <n v="6"/>
    <n v="29"/>
    <n v="4"/>
    <n v="3"/>
    <n v="4"/>
    <n v="3"/>
    <s v="No"/>
    <s v="Travel_Rarely"/>
    <n v="27"/>
    <n v="48"/>
    <n v="3"/>
    <s v="Yes"/>
    <n v="4"/>
    <x v="1"/>
    <d v="2015-03-22T00:00:00"/>
    <m/>
    <s v="Active"/>
    <s v="46-55"/>
    <s v="6-10 Years"/>
  </r>
  <r>
    <s v="EMP0738"/>
    <n v="25"/>
    <s v="Male"/>
    <x v="2"/>
    <s v="IT Manager"/>
    <s v="MBA"/>
    <n v="59243"/>
    <n v="0"/>
    <n v="1"/>
    <n v="2"/>
    <n v="3"/>
    <n v="4"/>
    <n v="3"/>
    <s v="No"/>
    <s v="Travel_Rarely"/>
    <n v="12"/>
    <n v="42"/>
    <n v="3"/>
    <s v="No"/>
    <n v="6"/>
    <x v="1"/>
    <d v="2022-05-25T00:00:00"/>
    <m/>
    <s v="Active"/>
    <s v="18-25"/>
    <s v="0-1 Year"/>
  </r>
  <r>
    <s v="EMP0739"/>
    <n v="57"/>
    <s v="Male"/>
    <x v="2"/>
    <s v="Data Analyst"/>
    <s v="B.Tech"/>
    <n v="160619"/>
    <n v="29"/>
    <n v="33"/>
    <n v="5"/>
    <n v="2"/>
    <n v="4"/>
    <n v="2"/>
    <s v="No"/>
    <s v="Travel_Rarely"/>
    <n v="2"/>
    <n v="29"/>
    <n v="3"/>
    <s v="No"/>
    <n v="9"/>
    <x v="0"/>
    <d v="2023-10-19T00:00:00"/>
    <d v="2025-09-23T00:00:00"/>
    <s v="2025-09-23"/>
    <s v="56+"/>
    <s v="10+ Years"/>
  </r>
  <r>
    <s v="EMP0740"/>
    <n v="51"/>
    <s v="Male"/>
    <x v="4"/>
    <s v="HR Manager"/>
    <s v="M.Tech"/>
    <n v="150661"/>
    <n v="25"/>
    <n v="30"/>
    <n v="5"/>
    <n v="2"/>
    <n v="2"/>
    <n v="1"/>
    <s v="No"/>
    <s v="Travel_Frequently"/>
    <n v="21"/>
    <n v="28"/>
    <n v="3"/>
    <s v="No"/>
    <n v="9"/>
    <x v="1"/>
    <d v="2015-06-26T00:00:00"/>
    <m/>
    <s v="Active"/>
    <s v="46-55"/>
    <s v="10+ Years"/>
  </r>
  <r>
    <s v="EMP0741"/>
    <n v="25"/>
    <s v="Female"/>
    <x v="0"/>
    <s v="Finance Manager"/>
    <s v="M.Tech"/>
    <n v="57021"/>
    <n v="2"/>
    <n v="2"/>
    <n v="2"/>
    <n v="4"/>
    <n v="2"/>
    <n v="2"/>
    <s v="No"/>
    <s v="Travel_Frequently"/>
    <n v="28"/>
    <n v="49"/>
    <n v="3"/>
    <s v="No"/>
    <n v="7"/>
    <x v="1"/>
    <d v="2023-05-22T00:00:00"/>
    <m/>
    <s v="Active"/>
    <s v="18-25"/>
    <s v="2-3 Years"/>
  </r>
  <r>
    <s v="EMP0742"/>
    <n v="47"/>
    <s v="Female"/>
    <x v="2"/>
    <s v="Software Engineer"/>
    <s v="B.A"/>
    <n v="126272"/>
    <n v="12"/>
    <n v="26"/>
    <n v="5"/>
    <n v="3"/>
    <n v="2"/>
    <n v="3"/>
    <s v="No"/>
    <s v="Travel_Rarely"/>
    <n v="4"/>
    <n v="42"/>
    <n v="3"/>
    <s v="Yes"/>
    <n v="6"/>
    <x v="1"/>
    <d v="2021-01-03T00:00:00"/>
    <m/>
    <s v="Active"/>
    <s v="46-55"/>
    <s v="10+ Years"/>
  </r>
  <r>
    <s v="EMP0743"/>
    <n v="59"/>
    <s v="Male"/>
    <x v="5"/>
    <s v="Marketing Manager"/>
    <s v="BBA"/>
    <n v="143923"/>
    <n v="23"/>
    <n v="37"/>
    <n v="5"/>
    <n v="2"/>
    <n v="1"/>
    <n v="4"/>
    <s v="Yes"/>
    <s v="Travel_Rarely"/>
    <n v="14"/>
    <n v="41"/>
    <n v="3"/>
    <s v="No"/>
    <n v="3"/>
    <x v="1"/>
    <d v="2018-12-21T00:00:00"/>
    <m/>
    <s v="Active"/>
    <s v="56+"/>
    <s v="10+ Years"/>
  </r>
  <r>
    <s v="EMP0744"/>
    <n v="27"/>
    <s v="Male"/>
    <x v="5"/>
    <s v="Marketing Manager"/>
    <s v="B.Tech"/>
    <n v="48242"/>
    <n v="2"/>
    <n v="3"/>
    <n v="1"/>
    <n v="1"/>
    <n v="3"/>
    <n v="1"/>
    <s v="Yes"/>
    <s v="Travel_Frequently"/>
    <n v="1"/>
    <n v="43"/>
    <n v="3"/>
    <s v="No"/>
    <n v="5"/>
    <x v="1"/>
    <d v="2021-02-18T00:00:00"/>
    <m/>
    <s v="Active"/>
    <s v="26-35"/>
    <s v="2-3 Years"/>
  </r>
  <r>
    <s v="EMP0745"/>
    <n v="26"/>
    <s v="Female"/>
    <x v="4"/>
    <s v="HR Executive"/>
    <s v="B.A"/>
    <n v="38125"/>
    <n v="0"/>
    <n v="4"/>
    <n v="1"/>
    <n v="4"/>
    <n v="1"/>
    <n v="4"/>
    <s v="No"/>
    <s v="Non-Travel"/>
    <n v="23"/>
    <n v="20"/>
    <n v="2"/>
    <s v="No"/>
    <n v="1"/>
    <x v="1"/>
    <d v="2018-05-27T00:00:00"/>
    <m/>
    <s v="Active"/>
    <s v="26-35"/>
    <s v="0-1 Year"/>
  </r>
  <r>
    <s v="EMP0746"/>
    <n v="42"/>
    <s v="Male"/>
    <x v="2"/>
    <s v="Software Engineer"/>
    <s v="B.A"/>
    <n v="64915"/>
    <n v="5"/>
    <n v="19"/>
    <n v="2"/>
    <n v="3"/>
    <n v="4"/>
    <n v="1"/>
    <s v="No"/>
    <s v="Travel_Rarely"/>
    <n v="4"/>
    <n v="52"/>
    <n v="2"/>
    <s v="No"/>
    <n v="2"/>
    <x v="1"/>
    <d v="2014-06-21T00:00:00"/>
    <m/>
    <s v="Active"/>
    <s v="36-45"/>
    <s v="4-5 Years"/>
  </r>
  <r>
    <s v="EMP0747"/>
    <n v="45"/>
    <s v="Female"/>
    <x v="5"/>
    <s v="Marketing Manager"/>
    <s v="MBA"/>
    <n v="128625"/>
    <n v="12"/>
    <n v="21"/>
    <n v="5"/>
    <n v="1"/>
    <n v="1"/>
    <n v="1"/>
    <s v="No"/>
    <s v="Travel_Rarely"/>
    <n v="12"/>
    <n v="25"/>
    <n v="4"/>
    <s v="No"/>
    <n v="4"/>
    <x v="0"/>
    <d v="2019-10-11T00:00:00"/>
    <d v="2020-05-23T00:00:00"/>
    <s v="2020-05-23"/>
    <s v="36-45"/>
    <s v="10+ Years"/>
  </r>
  <r>
    <s v="EMP0748"/>
    <n v="29"/>
    <s v="Male"/>
    <x v="3"/>
    <s v="Operations Manager"/>
    <s v="BBA"/>
    <n v="78859"/>
    <n v="3"/>
    <n v="7"/>
    <n v="3"/>
    <n v="2"/>
    <n v="3"/>
    <n v="2"/>
    <s v="No"/>
    <s v="Travel_Rarely"/>
    <n v="6"/>
    <n v="35"/>
    <n v="3"/>
    <s v="No"/>
    <n v="6"/>
    <x v="1"/>
    <d v="2014-10-13T00:00:00"/>
    <m/>
    <s v="Active"/>
    <s v="26-35"/>
    <s v="2-3 Years"/>
  </r>
  <r>
    <s v="EMP0749"/>
    <n v="56"/>
    <s v="Female"/>
    <x v="0"/>
    <s v="Finance Manager"/>
    <s v="B.Com"/>
    <n v="60299"/>
    <n v="1"/>
    <n v="35"/>
    <n v="2"/>
    <n v="3"/>
    <n v="4"/>
    <n v="1"/>
    <s v="No"/>
    <s v="Travel_Frequently"/>
    <n v="3"/>
    <n v="53"/>
    <n v="2"/>
    <s v="No"/>
    <n v="1"/>
    <x v="1"/>
    <d v="2013-08-27T00:00:00"/>
    <m/>
    <s v="Active"/>
    <s v="56+"/>
    <s v="0-1 Year"/>
  </r>
  <r>
    <s v="EMP0750"/>
    <n v="26"/>
    <s v="Female"/>
    <x v="0"/>
    <s v="Financial Analyst"/>
    <s v="BBA"/>
    <n v="80477"/>
    <n v="4"/>
    <n v="5"/>
    <n v="3"/>
    <n v="3"/>
    <n v="4"/>
    <n v="2"/>
    <s v="Yes"/>
    <s v="Travel_Rarely"/>
    <n v="2"/>
    <n v="51"/>
    <n v="3"/>
    <s v="No"/>
    <n v="6"/>
    <x v="1"/>
    <d v="2016-05-31T00:00:00"/>
    <m/>
    <s v="Active"/>
    <s v="26-35"/>
    <s v="4-5 Years"/>
  </r>
  <r>
    <s v="EMP0751"/>
    <n v="42"/>
    <s v="Male"/>
    <x v="4"/>
    <s v="HR Manager"/>
    <s v="BBA"/>
    <n v="57260"/>
    <n v="1"/>
    <n v="19"/>
    <n v="2"/>
    <n v="4"/>
    <n v="3"/>
    <n v="1"/>
    <s v="Yes"/>
    <s v="Travel_Rarely"/>
    <n v="17"/>
    <n v="14"/>
    <n v="4"/>
    <s v="No"/>
    <n v="1"/>
    <x v="1"/>
    <d v="2019-12-04T00:00:00"/>
    <m/>
    <s v="Active"/>
    <s v="36-45"/>
    <s v="0-1 Year"/>
  </r>
  <r>
    <s v="EMP0752"/>
    <n v="47"/>
    <s v="Female"/>
    <x v="1"/>
    <s v="Sales Executive"/>
    <s v="BBA"/>
    <n v="136862"/>
    <n v="16"/>
    <n v="26"/>
    <n v="5"/>
    <n v="1"/>
    <n v="1"/>
    <n v="2"/>
    <s v="No"/>
    <s v="Travel_Frequently"/>
    <n v="16"/>
    <n v="11"/>
    <n v="3"/>
    <s v="No"/>
    <n v="8"/>
    <x v="1"/>
    <d v="2019-05-05T00:00:00"/>
    <m/>
    <s v="Active"/>
    <s v="46-55"/>
    <s v="10+ Years"/>
  </r>
  <r>
    <s v="EMP0753"/>
    <n v="37"/>
    <s v="Male"/>
    <x v="0"/>
    <s v="Financial Analyst"/>
    <s v="B.A"/>
    <n v="82452"/>
    <n v="7"/>
    <n v="13"/>
    <n v="3"/>
    <n v="4"/>
    <n v="3"/>
    <n v="3"/>
    <s v="Yes"/>
    <s v="Travel_Rarely"/>
    <n v="7"/>
    <n v="27"/>
    <n v="3"/>
    <s v="No"/>
    <n v="4"/>
    <x v="1"/>
    <d v="2016-06-12T00:00:00"/>
    <m/>
    <s v="Active"/>
    <s v="36-45"/>
    <s v="6-10 Years"/>
  </r>
  <r>
    <s v="EMP0754"/>
    <n v="24"/>
    <s v="Female"/>
    <x v="0"/>
    <s v="Finance Manager"/>
    <s v="BBA"/>
    <n v="61235"/>
    <n v="1"/>
    <n v="1"/>
    <n v="2"/>
    <n v="2"/>
    <n v="3"/>
    <n v="3"/>
    <s v="No"/>
    <s v="Travel_Rarely"/>
    <n v="9"/>
    <n v="30"/>
    <n v="3"/>
    <s v="No"/>
    <n v="4"/>
    <x v="0"/>
    <d v="2014-09-02T00:00:00"/>
    <d v="2015-01-10T00:00:00"/>
    <s v="2015-01-10"/>
    <s v="18-25"/>
    <s v="0-1 Year"/>
  </r>
  <r>
    <s v="EMP0755"/>
    <n v="52"/>
    <s v="Male"/>
    <x v="2"/>
    <s v="Software Engineer"/>
    <s v="B.A"/>
    <n v="89664"/>
    <n v="8"/>
    <n v="30"/>
    <n v="3"/>
    <n v="3"/>
    <n v="2"/>
    <n v="4"/>
    <s v="Yes"/>
    <s v="Non-Travel"/>
    <n v="16"/>
    <n v="38"/>
    <n v="4"/>
    <s v="No"/>
    <n v="14"/>
    <x v="1"/>
    <d v="2012-09-17T00:00:00"/>
    <m/>
    <s v="Active"/>
    <s v="46-55"/>
    <s v="6-10 Years"/>
  </r>
  <r>
    <s v="EMP0756"/>
    <n v="47"/>
    <s v="Female"/>
    <x v="4"/>
    <s v="HR Executive"/>
    <s v="B.A"/>
    <n v="63476"/>
    <n v="2"/>
    <n v="23"/>
    <n v="2"/>
    <n v="3"/>
    <n v="1"/>
    <n v="1"/>
    <s v="No"/>
    <s v="Travel_Rarely"/>
    <n v="15"/>
    <n v="59"/>
    <n v="3"/>
    <s v="No"/>
    <n v="8"/>
    <x v="1"/>
    <d v="2023-12-19T00:00:00"/>
    <m/>
    <s v="Active"/>
    <s v="46-55"/>
    <s v="2-3 Years"/>
  </r>
  <r>
    <s v="EMP0757"/>
    <n v="59"/>
    <s v="Male"/>
    <x v="4"/>
    <s v="HR Manager"/>
    <s v="B.Com"/>
    <n v="163663"/>
    <n v="33"/>
    <n v="37"/>
    <n v="5"/>
    <n v="2"/>
    <n v="1"/>
    <n v="4"/>
    <s v="No"/>
    <s v="Travel_Rarely"/>
    <n v="21"/>
    <n v="43"/>
    <n v="3"/>
    <s v="Yes"/>
    <n v="12"/>
    <x v="1"/>
    <d v="2019-10-15T00:00:00"/>
    <m/>
    <s v="Active"/>
    <s v="56+"/>
    <s v="10+ Years"/>
  </r>
  <r>
    <s v="EMP0758"/>
    <n v="26"/>
    <s v="Female"/>
    <x v="4"/>
    <s v="HR Executive"/>
    <s v="B.A"/>
    <n v="40524"/>
    <n v="0"/>
    <n v="5"/>
    <n v="1"/>
    <n v="1"/>
    <n v="4"/>
    <n v="1"/>
    <s v="No"/>
    <s v="Travel_Rarely"/>
    <n v="18"/>
    <n v="11"/>
    <n v="3"/>
    <s v="No"/>
    <n v="4"/>
    <x v="1"/>
    <d v="2017-05-24T00:00:00"/>
    <m/>
    <s v="Active"/>
    <s v="26-35"/>
    <s v="0-1 Year"/>
  </r>
  <r>
    <s v="EMP0759"/>
    <n v="46"/>
    <s v="Male"/>
    <x v="4"/>
    <s v="HR Executive"/>
    <s v="B.A"/>
    <n v="131825"/>
    <n v="16"/>
    <n v="23"/>
    <n v="5"/>
    <n v="1"/>
    <n v="4"/>
    <n v="3"/>
    <s v="No"/>
    <s v="Travel_Rarely"/>
    <n v="6"/>
    <n v="21"/>
    <n v="4"/>
    <s v="Yes"/>
    <n v="5"/>
    <x v="1"/>
    <d v="2022-09-11T00:00:00"/>
    <m/>
    <s v="Active"/>
    <s v="46-55"/>
    <s v="10+ Years"/>
  </r>
  <r>
    <s v="EMP0760"/>
    <n v="37"/>
    <s v="Male"/>
    <x v="0"/>
    <s v="Finance Manager"/>
    <s v="MBA"/>
    <n v="47595"/>
    <n v="2"/>
    <n v="15"/>
    <n v="1"/>
    <n v="3"/>
    <n v="2"/>
    <n v="2"/>
    <s v="Yes"/>
    <s v="Travel_Rarely"/>
    <n v="10"/>
    <n v="28"/>
    <n v="4"/>
    <s v="No"/>
    <n v="2"/>
    <x v="1"/>
    <d v="2022-12-11T00:00:00"/>
    <m/>
    <s v="Active"/>
    <s v="36-45"/>
    <s v="2-3 Years"/>
  </r>
  <r>
    <s v="EMP0761"/>
    <n v="27"/>
    <s v="Male"/>
    <x v="5"/>
    <s v="Marketing Analyst"/>
    <s v="MBA"/>
    <n v="69419"/>
    <n v="5"/>
    <n v="6"/>
    <n v="2"/>
    <n v="3"/>
    <n v="4"/>
    <n v="4"/>
    <s v="Yes"/>
    <s v="Travel_Frequently"/>
    <n v="14"/>
    <n v="26"/>
    <n v="2"/>
    <s v="Yes"/>
    <n v="1"/>
    <x v="1"/>
    <d v="2021-11-21T00:00:00"/>
    <m/>
    <s v="Active"/>
    <s v="26-35"/>
    <s v="4-5 Years"/>
  </r>
  <r>
    <s v="EMP0762"/>
    <n v="56"/>
    <s v="Female"/>
    <x v="3"/>
    <s v="Operations Executive"/>
    <s v="M.Tech"/>
    <n v="128504"/>
    <n v="15"/>
    <n v="33"/>
    <n v="5"/>
    <n v="2"/>
    <n v="3"/>
    <n v="1"/>
    <s v="Yes"/>
    <s v="Travel_Rarely"/>
    <n v="1"/>
    <n v="37"/>
    <n v="4"/>
    <s v="Yes"/>
    <n v="6"/>
    <x v="1"/>
    <d v="2013-11-26T00:00:00"/>
    <m/>
    <s v="Active"/>
    <s v="56+"/>
    <s v="10+ Years"/>
  </r>
  <r>
    <s v="EMP0763"/>
    <n v="50"/>
    <s v="Male"/>
    <x v="2"/>
    <s v="Data Analyst"/>
    <s v="B.A"/>
    <n v="149073"/>
    <n v="26"/>
    <n v="29"/>
    <n v="5"/>
    <n v="4"/>
    <n v="1"/>
    <n v="1"/>
    <s v="Yes"/>
    <s v="Travel_Rarely"/>
    <n v="2"/>
    <n v="20"/>
    <n v="3"/>
    <s v="Yes"/>
    <n v="5"/>
    <x v="1"/>
    <d v="2022-11-12T00:00:00"/>
    <m/>
    <s v="Active"/>
    <s v="46-55"/>
    <s v="10+ Years"/>
  </r>
  <r>
    <s v="EMP0764"/>
    <n v="31"/>
    <s v="Female"/>
    <x v="3"/>
    <s v="Operations Manager"/>
    <s v="B.Com"/>
    <n v="80571"/>
    <n v="6"/>
    <n v="8"/>
    <n v="3"/>
    <n v="2"/>
    <n v="1"/>
    <n v="2"/>
    <s v="No"/>
    <s v="Travel_Rarely"/>
    <n v="18"/>
    <n v="39"/>
    <n v="3"/>
    <s v="Yes"/>
    <n v="5"/>
    <x v="1"/>
    <d v="2023-11-04T00:00:00"/>
    <m/>
    <s v="Active"/>
    <s v="26-35"/>
    <s v="6-10 Years"/>
  </r>
  <r>
    <s v="EMP0765"/>
    <n v="44"/>
    <s v="Male"/>
    <x v="0"/>
    <s v="Financial Analyst"/>
    <s v="B.Tech"/>
    <n v="130867"/>
    <n v="15"/>
    <n v="20"/>
    <n v="5"/>
    <n v="3"/>
    <n v="4"/>
    <n v="4"/>
    <s v="No"/>
    <s v="Travel_Rarely"/>
    <n v="12"/>
    <n v="47"/>
    <n v="2"/>
    <s v="No"/>
    <n v="5"/>
    <x v="1"/>
    <d v="2018-01-24T00:00:00"/>
    <m/>
    <s v="Active"/>
    <s v="36-45"/>
    <s v="10+ Years"/>
  </r>
  <r>
    <s v="EMP0766"/>
    <n v="38"/>
    <s v="Female"/>
    <x v="1"/>
    <s v="Sales Manager"/>
    <s v="MBA"/>
    <n v="87878"/>
    <n v="7"/>
    <n v="17"/>
    <n v="3"/>
    <n v="2"/>
    <n v="1"/>
    <n v="4"/>
    <s v="No"/>
    <s v="Travel_Rarely"/>
    <n v="12"/>
    <n v="32"/>
    <n v="3"/>
    <s v="Yes"/>
    <n v="7"/>
    <x v="1"/>
    <d v="2018-10-21T00:00:00"/>
    <m/>
    <s v="Active"/>
    <s v="36-45"/>
    <s v="6-10 Years"/>
  </r>
  <r>
    <s v="EMP0767"/>
    <n v="55"/>
    <s v="Female"/>
    <x v="3"/>
    <s v="Operations Manager"/>
    <s v="B.A"/>
    <n v="123571"/>
    <n v="12"/>
    <n v="32"/>
    <n v="5"/>
    <n v="2"/>
    <n v="4"/>
    <n v="1"/>
    <s v="Yes"/>
    <s v="Travel_Rarely"/>
    <n v="8"/>
    <n v="51"/>
    <n v="3"/>
    <s v="No"/>
    <n v="8"/>
    <x v="1"/>
    <d v="2016-11-07T00:00:00"/>
    <m/>
    <s v="Active"/>
    <s v="46-55"/>
    <s v="10+ Years"/>
  </r>
  <r>
    <s v="EMP0768"/>
    <n v="52"/>
    <s v="Female"/>
    <x v="1"/>
    <s v="Sales Manager"/>
    <s v="B.Com"/>
    <n v="128769"/>
    <n v="13"/>
    <n v="29"/>
    <n v="5"/>
    <n v="1"/>
    <n v="1"/>
    <n v="4"/>
    <s v="No"/>
    <s v="Travel_Rarely"/>
    <n v="9"/>
    <n v="33"/>
    <n v="3"/>
    <s v="Yes"/>
    <n v="4"/>
    <x v="1"/>
    <d v="2015-08-08T00:00:00"/>
    <m/>
    <s v="Active"/>
    <s v="46-55"/>
    <s v="10+ Years"/>
  </r>
  <r>
    <s v="EMP0769"/>
    <n v="30"/>
    <s v="Female"/>
    <x v="4"/>
    <s v="HR Executive"/>
    <s v="MBA"/>
    <n v="47883"/>
    <n v="2"/>
    <n v="8"/>
    <n v="1"/>
    <n v="1"/>
    <n v="4"/>
    <n v="2"/>
    <s v="No"/>
    <s v="Travel_Rarely"/>
    <n v="15"/>
    <n v="16"/>
    <n v="3"/>
    <s v="No"/>
    <n v="5"/>
    <x v="1"/>
    <d v="2021-03-03T00:00:00"/>
    <m/>
    <s v="Active"/>
    <s v="26-35"/>
    <s v="2-3 Years"/>
  </r>
  <r>
    <s v="EMP0770"/>
    <n v="31"/>
    <s v="Male"/>
    <x v="0"/>
    <s v="Finance Manager"/>
    <s v="BBA"/>
    <n v="64946"/>
    <n v="3"/>
    <n v="7"/>
    <n v="2"/>
    <n v="1"/>
    <n v="1"/>
    <n v="1"/>
    <s v="Yes"/>
    <s v="Travel_Rarely"/>
    <n v="8"/>
    <n v="15"/>
    <n v="3"/>
    <s v="No"/>
    <n v="9"/>
    <x v="1"/>
    <d v="2017-07-29T00:00:00"/>
    <m/>
    <s v="Active"/>
    <s v="26-35"/>
    <s v="2-3 Years"/>
  </r>
  <r>
    <s v="EMP0771"/>
    <n v="28"/>
    <s v="Male"/>
    <x v="3"/>
    <s v="Operations Manager"/>
    <s v="BBA"/>
    <n v="60456"/>
    <n v="3"/>
    <n v="6"/>
    <n v="2"/>
    <n v="3"/>
    <n v="3"/>
    <n v="2"/>
    <s v="No"/>
    <s v="Travel_Rarely"/>
    <n v="5"/>
    <n v="12"/>
    <n v="3"/>
    <s v="No"/>
    <n v="4"/>
    <x v="1"/>
    <d v="2021-01-03T00:00:00"/>
    <m/>
    <s v="Active"/>
    <s v="26-35"/>
    <s v="2-3 Years"/>
  </r>
  <r>
    <s v="EMP0772"/>
    <n v="39"/>
    <s v="Female"/>
    <x v="3"/>
    <s v="Operations Executive"/>
    <s v="M.Tech"/>
    <n v="127870"/>
    <n v="12"/>
    <n v="17"/>
    <n v="5"/>
    <n v="4"/>
    <n v="1"/>
    <n v="1"/>
    <s v="Yes"/>
    <s v="Travel_Rarely"/>
    <n v="12"/>
    <n v="11"/>
    <n v="3"/>
    <s v="Yes"/>
    <n v="4"/>
    <x v="0"/>
    <d v="2016-03-17T00:00:00"/>
    <d v="2017-03-01T00:00:00"/>
    <s v="2017-03-01"/>
    <s v="36-45"/>
    <s v="10+ Years"/>
  </r>
  <r>
    <s v="EMP0773"/>
    <n v="51"/>
    <s v="Female"/>
    <x v="4"/>
    <s v="HR Manager"/>
    <s v="M.Tech"/>
    <n v="137599"/>
    <n v="17"/>
    <n v="27"/>
    <n v="5"/>
    <n v="4"/>
    <n v="2"/>
    <n v="3"/>
    <s v="No"/>
    <s v="Non-Travel"/>
    <n v="23"/>
    <n v="59"/>
    <n v="3"/>
    <s v="No"/>
    <n v="8"/>
    <x v="1"/>
    <d v="2012-04-21T00:00:00"/>
    <m/>
    <s v="Active"/>
    <s v="46-55"/>
    <s v="10+ Years"/>
  </r>
  <r>
    <s v="EMP0774"/>
    <n v="41"/>
    <s v="Female"/>
    <x v="2"/>
    <s v="Software Engineer"/>
    <s v="B.Com"/>
    <n v="81908"/>
    <n v="5"/>
    <n v="17"/>
    <n v="3"/>
    <n v="4"/>
    <n v="4"/>
    <n v="1"/>
    <s v="No"/>
    <s v="Travel_Rarely"/>
    <n v="28"/>
    <n v="45"/>
    <n v="2"/>
    <s v="Yes"/>
    <n v="4"/>
    <x v="1"/>
    <d v="2017-06-05T00:00:00"/>
    <m/>
    <s v="Active"/>
    <s v="36-45"/>
    <s v="4-5 Years"/>
  </r>
  <r>
    <s v="EMP0775"/>
    <n v="46"/>
    <s v="Female"/>
    <x v="4"/>
    <s v="HR Executive"/>
    <s v="B.A"/>
    <n v="41132"/>
    <n v="2"/>
    <n v="25"/>
    <n v="1"/>
    <n v="1"/>
    <n v="4"/>
    <n v="3"/>
    <s v="No"/>
    <s v="Travel_Rarely"/>
    <n v="5"/>
    <n v="13"/>
    <n v="3"/>
    <s v="No"/>
    <n v="8"/>
    <x v="1"/>
    <d v="2015-05-07T00:00:00"/>
    <m/>
    <s v="Active"/>
    <s v="46-55"/>
    <s v="2-3 Years"/>
  </r>
  <r>
    <s v="EMP0776"/>
    <n v="30"/>
    <s v="Male"/>
    <x v="1"/>
    <s v="Sales Executive"/>
    <s v="B.Tech"/>
    <n v="81714"/>
    <n v="7"/>
    <n v="9"/>
    <n v="3"/>
    <n v="4"/>
    <n v="1"/>
    <n v="2"/>
    <s v="No"/>
    <s v="Travel_Frequently"/>
    <n v="19"/>
    <n v="40"/>
    <n v="4"/>
    <s v="No"/>
    <n v="6"/>
    <x v="1"/>
    <d v="2020-08-13T00:00:00"/>
    <m/>
    <s v="Active"/>
    <s v="26-35"/>
    <s v="6-10 Years"/>
  </r>
  <r>
    <s v="EMP0777"/>
    <n v="45"/>
    <s v="Male"/>
    <x v="4"/>
    <s v="HR Manager"/>
    <s v="B.Com"/>
    <n v="137197"/>
    <n v="17"/>
    <n v="21"/>
    <n v="5"/>
    <n v="3"/>
    <n v="4"/>
    <n v="1"/>
    <s v="No"/>
    <s v="Travel_Rarely"/>
    <n v="26"/>
    <n v="57"/>
    <n v="3"/>
    <s v="No"/>
    <n v="3"/>
    <x v="1"/>
    <d v="2015-05-05T00:00:00"/>
    <m/>
    <s v="Active"/>
    <s v="36-45"/>
    <s v="10+ Years"/>
  </r>
  <r>
    <s v="EMP0778"/>
    <n v="30"/>
    <s v="Male"/>
    <x v="5"/>
    <s v="Marketing Manager"/>
    <s v="B.A"/>
    <n v="60576"/>
    <n v="3"/>
    <n v="6"/>
    <n v="2"/>
    <n v="2"/>
    <n v="4"/>
    <n v="4"/>
    <s v="No"/>
    <s v="Travel_Frequently"/>
    <n v="19"/>
    <n v="34"/>
    <n v="4"/>
    <s v="No"/>
    <n v="6"/>
    <x v="1"/>
    <d v="2013-01-28T00:00:00"/>
    <m/>
    <s v="Active"/>
    <s v="26-35"/>
    <s v="2-3 Years"/>
  </r>
  <r>
    <s v="EMP0779"/>
    <n v="55"/>
    <s v="Male"/>
    <x v="4"/>
    <s v="HR Manager"/>
    <s v="B.Tech"/>
    <n v="132509"/>
    <n v="14"/>
    <n v="33"/>
    <n v="5"/>
    <n v="1"/>
    <n v="2"/>
    <n v="4"/>
    <s v="No"/>
    <s v="Travel_Rarely"/>
    <n v="10"/>
    <n v="39"/>
    <n v="3"/>
    <s v="Yes"/>
    <n v="5"/>
    <x v="1"/>
    <d v="2019-03-01T00:00:00"/>
    <m/>
    <s v="Active"/>
    <s v="46-55"/>
    <s v="10+ Years"/>
  </r>
  <r>
    <s v="EMP0780"/>
    <n v="37"/>
    <s v="Female"/>
    <x v="1"/>
    <s v="Sales Manager"/>
    <s v="B.Com"/>
    <n v="126522"/>
    <n v="13"/>
    <n v="14"/>
    <n v="5"/>
    <n v="4"/>
    <n v="1"/>
    <n v="4"/>
    <s v="Yes"/>
    <s v="Travel_Rarely"/>
    <n v="22"/>
    <n v="26"/>
    <n v="3"/>
    <s v="No"/>
    <n v="2"/>
    <x v="1"/>
    <d v="2016-07-03T00:00:00"/>
    <m/>
    <s v="Active"/>
    <s v="36-45"/>
    <s v="10+ Years"/>
  </r>
  <r>
    <s v="EMP0781"/>
    <n v="26"/>
    <s v="Female"/>
    <x v="5"/>
    <s v="Marketing Manager"/>
    <s v="MBA"/>
    <n v="46416"/>
    <n v="1"/>
    <n v="3"/>
    <n v="1"/>
    <n v="3"/>
    <n v="2"/>
    <n v="4"/>
    <s v="Yes"/>
    <s v="Travel_Rarely"/>
    <n v="7"/>
    <n v="31"/>
    <n v="3"/>
    <s v="No"/>
    <n v="7"/>
    <x v="1"/>
    <d v="2012-12-01T00:00:00"/>
    <m/>
    <s v="Active"/>
    <s v="26-35"/>
    <s v="0-1 Year"/>
  </r>
  <r>
    <s v="EMP0782"/>
    <n v="47"/>
    <s v="Male"/>
    <x v="2"/>
    <s v="IT Manager"/>
    <s v="B.Tech"/>
    <n v="59514"/>
    <n v="2"/>
    <n v="23"/>
    <n v="2"/>
    <n v="2"/>
    <n v="3"/>
    <n v="2"/>
    <s v="Yes"/>
    <s v="Travel_Rarely"/>
    <n v="10"/>
    <n v="50"/>
    <n v="2"/>
    <s v="No"/>
    <n v="4"/>
    <x v="1"/>
    <d v="2015-02-08T00:00:00"/>
    <m/>
    <s v="Active"/>
    <s v="46-55"/>
    <s v="2-3 Years"/>
  </r>
  <r>
    <s v="EMP0783"/>
    <n v="37"/>
    <s v="Female"/>
    <x v="1"/>
    <s v="Sales Executive"/>
    <s v="BBA"/>
    <n v="59999"/>
    <n v="1"/>
    <n v="14"/>
    <n v="2"/>
    <n v="1"/>
    <n v="3"/>
    <n v="2"/>
    <s v="Yes"/>
    <s v="Travel_Frequently"/>
    <n v="6"/>
    <n v="32"/>
    <n v="3"/>
    <s v="No"/>
    <n v="3"/>
    <x v="1"/>
    <d v="2015-09-15T00:00:00"/>
    <m/>
    <s v="Active"/>
    <s v="36-45"/>
    <s v="0-1 Year"/>
  </r>
  <r>
    <s v="EMP0784"/>
    <n v="22"/>
    <s v="Male"/>
    <x v="0"/>
    <s v="Financial Analyst"/>
    <s v="B.Com"/>
    <n v="38484"/>
    <n v="0"/>
    <n v="1"/>
    <n v="1"/>
    <n v="3"/>
    <n v="3"/>
    <n v="3"/>
    <s v="No"/>
    <s v="Travel_Rarely"/>
    <n v="24"/>
    <n v="50"/>
    <n v="3"/>
    <s v="No"/>
    <n v="5"/>
    <x v="1"/>
    <d v="2020-09-09T00:00:00"/>
    <m/>
    <s v="Active"/>
    <s v="18-25"/>
    <s v="0-1 Year"/>
  </r>
  <r>
    <s v="EMP0785"/>
    <n v="52"/>
    <s v="Male"/>
    <x v="4"/>
    <s v="HR Manager"/>
    <s v="M.Tech"/>
    <n v="149443"/>
    <n v="23"/>
    <n v="31"/>
    <n v="5"/>
    <n v="2"/>
    <n v="3"/>
    <n v="1"/>
    <s v="No"/>
    <s v="Travel_Rarely"/>
    <n v="16"/>
    <n v="58"/>
    <n v="2"/>
    <s v="No"/>
    <n v="5"/>
    <x v="1"/>
    <d v="2020-10-16T00:00:00"/>
    <m/>
    <s v="Active"/>
    <s v="46-55"/>
    <s v="10+ Years"/>
  </r>
  <r>
    <s v="EMP0786"/>
    <n v="48"/>
    <s v="Female"/>
    <x v="5"/>
    <s v="Marketing Manager"/>
    <s v="MBA"/>
    <n v="139231"/>
    <n v="19"/>
    <n v="24"/>
    <n v="5"/>
    <n v="1"/>
    <n v="1"/>
    <n v="1"/>
    <s v="No"/>
    <s v="Travel_Rarely"/>
    <n v="1"/>
    <n v="38"/>
    <n v="4"/>
    <s v="No"/>
    <n v="3"/>
    <x v="1"/>
    <d v="2022-05-22T00:00:00"/>
    <m/>
    <s v="Active"/>
    <s v="46-55"/>
    <s v="10+ Years"/>
  </r>
  <r>
    <s v="EMP0787"/>
    <n v="45"/>
    <s v="Female"/>
    <x v="0"/>
    <s v="Financial Analyst"/>
    <s v="M.Tech"/>
    <n v="143881"/>
    <n v="23"/>
    <n v="24"/>
    <n v="5"/>
    <n v="3"/>
    <n v="2"/>
    <n v="4"/>
    <s v="Yes"/>
    <s v="Travel_Rarely"/>
    <n v="26"/>
    <n v="27"/>
    <n v="2"/>
    <s v="No"/>
    <n v="2"/>
    <x v="0"/>
    <d v="2021-12-27T00:00:00"/>
    <d v="2023-01-19T00:00:00"/>
    <s v="2023-01-19"/>
    <s v="36-45"/>
    <s v="10+ Years"/>
  </r>
  <r>
    <s v="EMP0788"/>
    <n v="25"/>
    <s v="Male"/>
    <x v="0"/>
    <s v="Finance Manager"/>
    <s v="B.A"/>
    <n v="59285"/>
    <n v="3"/>
    <n v="4"/>
    <n v="2"/>
    <n v="1"/>
    <n v="3"/>
    <n v="3"/>
    <s v="No"/>
    <s v="Travel_Rarely"/>
    <n v="5"/>
    <n v="54"/>
    <n v="2"/>
    <s v="No"/>
    <n v="4"/>
    <x v="0"/>
    <d v="2015-08-07T00:00:00"/>
    <d v="2017-06-03T00:00:00"/>
    <s v="2017-06-03"/>
    <s v="18-25"/>
    <s v="2-3 Years"/>
  </r>
  <r>
    <s v="EMP0789"/>
    <n v="46"/>
    <s v="Male"/>
    <x v="4"/>
    <s v="HR Manager"/>
    <s v="B.A"/>
    <n v="46064"/>
    <n v="2"/>
    <n v="24"/>
    <n v="1"/>
    <n v="1"/>
    <n v="1"/>
    <n v="2"/>
    <s v="Yes"/>
    <s v="Travel_Rarely"/>
    <n v="19"/>
    <n v="37"/>
    <n v="3"/>
    <s v="No"/>
    <n v="4"/>
    <x v="1"/>
    <d v="2022-10-28T00:00:00"/>
    <m/>
    <s v="Active"/>
    <s v="46-55"/>
    <s v="2-3 Years"/>
  </r>
  <r>
    <s v="EMP0790"/>
    <n v="59"/>
    <s v="Female"/>
    <x v="5"/>
    <s v="Marketing Analyst"/>
    <s v="BBA"/>
    <n v="173942"/>
    <n v="38"/>
    <n v="38"/>
    <n v="5"/>
    <n v="4"/>
    <n v="1"/>
    <n v="3"/>
    <s v="Yes"/>
    <s v="Travel_Frequently"/>
    <n v="22"/>
    <n v="49"/>
    <n v="3"/>
    <s v="No"/>
    <n v="5"/>
    <x v="1"/>
    <d v="2012-12-22T00:00:00"/>
    <m/>
    <s v="Active"/>
    <s v="56+"/>
    <s v="10+ Years"/>
  </r>
  <r>
    <s v="EMP0791"/>
    <n v="44"/>
    <s v="Male"/>
    <x v="2"/>
    <s v="IT Manager"/>
    <s v="B.Com"/>
    <n v="61059"/>
    <n v="1"/>
    <n v="22"/>
    <n v="2"/>
    <n v="2"/>
    <n v="4"/>
    <n v="2"/>
    <s v="No"/>
    <s v="Travel_Frequently"/>
    <n v="6"/>
    <n v="46"/>
    <n v="3"/>
    <s v="No"/>
    <n v="7"/>
    <x v="1"/>
    <d v="2022-05-02T00:00:00"/>
    <m/>
    <s v="Active"/>
    <s v="36-45"/>
    <s v="0-1 Year"/>
  </r>
  <r>
    <s v="EMP0792"/>
    <n v="28"/>
    <s v="Male"/>
    <x v="3"/>
    <s v="Operations Executive"/>
    <s v="BBA"/>
    <n v="42070"/>
    <n v="2"/>
    <n v="4"/>
    <n v="1"/>
    <n v="1"/>
    <n v="2"/>
    <n v="2"/>
    <s v="No"/>
    <s v="Travel_Rarely"/>
    <n v="3"/>
    <n v="10"/>
    <n v="3"/>
    <s v="No"/>
    <n v="3"/>
    <x v="1"/>
    <d v="2013-06-26T00:00:00"/>
    <m/>
    <s v="Active"/>
    <s v="26-35"/>
    <s v="2-3 Years"/>
  </r>
  <r>
    <s v="EMP0793"/>
    <n v="23"/>
    <s v="Male"/>
    <x v="0"/>
    <s v="Financial Analyst"/>
    <s v="MBA"/>
    <n v="42909"/>
    <n v="0"/>
    <n v="1"/>
    <n v="1"/>
    <n v="2"/>
    <n v="4"/>
    <n v="2"/>
    <s v="No"/>
    <s v="Travel_Rarely"/>
    <n v="29"/>
    <n v="55"/>
    <n v="2"/>
    <s v="No"/>
    <n v="4"/>
    <x v="1"/>
    <d v="2019-03-10T00:00:00"/>
    <m/>
    <s v="Active"/>
    <s v="18-25"/>
    <s v="0-1 Year"/>
  </r>
  <r>
    <s v="EMP0794"/>
    <n v="53"/>
    <s v="Male"/>
    <x v="3"/>
    <s v="Operations Executive"/>
    <s v="B.Com"/>
    <n v="136878"/>
    <n v="17"/>
    <n v="31"/>
    <n v="5"/>
    <n v="2"/>
    <n v="3"/>
    <n v="3"/>
    <s v="Yes"/>
    <s v="Non-Travel"/>
    <n v="16"/>
    <n v="48"/>
    <n v="3"/>
    <s v="No"/>
    <n v="6"/>
    <x v="1"/>
    <d v="2018-04-21T00:00:00"/>
    <m/>
    <s v="Active"/>
    <s v="46-55"/>
    <s v="10+ Years"/>
  </r>
  <r>
    <s v="EMP0795"/>
    <n v="25"/>
    <s v="Female"/>
    <x v="1"/>
    <s v="Sales Executive"/>
    <s v="B.Com"/>
    <n v="43707"/>
    <n v="2"/>
    <n v="2"/>
    <n v="1"/>
    <n v="3"/>
    <n v="4"/>
    <n v="2"/>
    <s v="No"/>
    <s v="Travel_Rarely"/>
    <n v="1"/>
    <n v="49"/>
    <n v="3"/>
    <s v="No"/>
    <n v="5"/>
    <x v="1"/>
    <d v="2013-06-28T00:00:00"/>
    <m/>
    <s v="Active"/>
    <s v="18-25"/>
    <s v="2-3 Years"/>
  </r>
  <r>
    <s v="EMP0796"/>
    <n v="29"/>
    <s v="Male"/>
    <x v="2"/>
    <s v="Data Analyst"/>
    <s v="M.Tech"/>
    <n v="101938"/>
    <n v="8"/>
    <n v="8"/>
    <n v="4"/>
    <n v="2"/>
    <n v="2"/>
    <n v="3"/>
    <s v="Yes"/>
    <s v="Travel_Rarely"/>
    <n v="19"/>
    <n v="21"/>
    <n v="2"/>
    <s v="Yes"/>
    <n v="4"/>
    <x v="1"/>
    <d v="2015-12-14T00:00:00"/>
    <m/>
    <s v="Active"/>
    <s v="26-35"/>
    <s v="6-10 Years"/>
  </r>
  <r>
    <s v="EMP0797"/>
    <n v="30"/>
    <s v="Male"/>
    <x v="4"/>
    <s v="HR Manager"/>
    <s v="M.Tech"/>
    <n v="80310"/>
    <n v="4"/>
    <n v="9"/>
    <n v="3"/>
    <n v="1"/>
    <n v="1"/>
    <n v="1"/>
    <s v="No"/>
    <s v="Travel_Rarely"/>
    <n v="28"/>
    <n v="51"/>
    <n v="3"/>
    <s v="No"/>
    <n v="7"/>
    <x v="1"/>
    <d v="2012-04-12T00:00:00"/>
    <m/>
    <s v="Active"/>
    <s v="26-35"/>
    <s v="4-5 Years"/>
  </r>
  <r>
    <s v="EMP0798"/>
    <n v="50"/>
    <s v="Male"/>
    <x v="1"/>
    <s v="Sales Executive"/>
    <s v="M.Tech"/>
    <n v="160485"/>
    <n v="29"/>
    <n v="29"/>
    <n v="5"/>
    <n v="4"/>
    <n v="2"/>
    <n v="3"/>
    <s v="No"/>
    <s v="Travel_Rarely"/>
    <n v="3"/>
    <n v="45"/>
    <n v="3"/>
    <s v="Yes"/>
    <n v="5"/>
    <x v="0"/>
    <d v="2019-08-14T00:00:00"/>
    <d v="2020-01-30T00:00:00"/>
    <s v="2020-01-30"/>
    <s v="46-55"/>
    <s v="10+ Years"/>
  </r>
  <r>
    <s v="EMP0799"/>
    <n v="56"/>
    <s v="Male"/>
    <x v="5"/>
    <s v="Marketing Manager"/>
    <s v="B.A"/>
    <n v="43233"/>
    <n v="0"/>
    <n v="35"/>
    <n v="1"/>
    <n v="2"/>
    <n v="3"/>
    <n v="2"/>
    <s v="Yes"/>
    <s v="Non-Travel"/>
    <n v="26"/>
    <n v="55"/>
    <n v="3"/>
    <s v="No"/>
    <n v="3"/>
    <x v="1"/>
    <d v="2015-10-10T00:00:00"/>
    <m/>
    <s v="Active"/>
    <s v="56+"/>
    <s v="0-1 Year"/>
  </r>
  <r>
    <s v="EMP0800"/>
    <n v="55"/>
    <s v="Male"/>
    <x v="4"/>
    <s v="HR Manager"/>
    <s v="BBA"/>
    <n v="161776"/>
    <n v="29"/>
    <n v="33"/>
    <n v="5"/>
    <n v="4"/>
    <n v="3"/>
    <n v="2"/>
    <s v="Yes"/>
    <s v="Travel_Rarely"/>
    <n v="5"/>
    <n v="27"/>
    <n v="4"/>
    <s v="Yes"/>
    <n v="2"/>
    <x v="1"/>
    <d v="2021-05-26T00:00:00"/>
    <m/>
    <s v="Active"/>
    <s v="46-55"/>
    <s v="10+ Years"/>
  </r>
  <r>
    <s v="EMP0801"/>
    <n v="46"/>
    <s v="Male"/>
    <x v="5"/>
    <s v="Marketing Analyst"/>
    <s v="B.A"/>
    <n v="101608"/>
    <n v="9"/>
    <n v="23"/>
    <n v="4"/>
    <n v="3"/>
    <n v="2"/>
    <n v="1"/>
    <s v="No"/>
    <s v="Travel_Rarely"/>
    <n v="29"/>
    <n v="30"/>
    <n v="4"/>
    <s v="Yes"/>
    <n v="7"/>
    <x v="0"/>
    <d v="2013-11-22T00:00:00"/>
    <d v="2015-11-25T00:00:00"/>
    <s v="2015-11-25"/>
    <s v="46-55"/>
    <s v="6-10 Years"/>
  </r>
  <r>
    <s v="EMP0802"/>
    <n v="33"/>
    <s v="Female"/>
    <x v="5"/>
    <s v="Marketing Analyst"/>
    <s v="B.A"/>
    <n v="67649"/>
    <n v="4"/>
    <n v="12"/>
    <n v="2"/>
    <n v="4"/>
    <n v="2"/>
    <n v="3"/>
    <s v="No"/>
    <s v="Travel_Rarely"/>
    <n v="14"/>
    <n v="46"/>
    <n v="3"/>
    <s v="No"/>
    <n v="8"/>
    <x v="1"/>
    <d v="2013-09-19T00:00:00"/>
    <m/>
    <s v="Active"/>
    <s v="26-35"/>
    <s v="4-5 Years"/>
  </r>
  <r>
    <s v="EMP0803"/>
    <n v="47"/>
    <s v="Female"/>
    <x v="2"/>
    <s v="IT Manager"/>
    <s v="B.Com"/>
    <n v="125600"/>
    <n v="13"/>
    <n v="23"/>
    <n v="5"/>
    <n v="1"/>
    <n v="4"/>
    <n v="1"/>
    <s v="No"/>
    <s v="Travel_Rarely"/>
    <n v="10"/>
    <n v="32"/>
    <n v="3"/>
    <s v="No"/>
    <n v="7"/>
    <x v="0"/>
    <d v="2020-06-24T00:00:00"/>
    <d v="2021-06-10T00:00:00"/>
    <s v="2021-06-10"/>
    <s v="46-55"/>
    <s v="10+ Years"/>
  </r>
  <r>
    <s v="EMP0804"/>
    <n v="24"/>
    <s v="Female"/>
    <x v="2"/>
    <s v="Data Analyst"/>
    <s v="B.A"/>
    <n v="43563"/>
    <n v="1"/>
    <n v="3"/>
    <n v="1"/>
    <n v="2"/>
    <n v="1"/>
    <n v="4"/>
    <s v="No"/>
    <s v="Travel_Rarely"/>
    <n v="28"/>
    <n v="14"/>
    <n v="3"/>
    <s v="No"/>
    <n v="7"/>
    <x v="0"/>
    <d v="2012-02-14T00:00:00"/>
    <d v="2014-04-26T00:00:00"/>
    <s v="2014-04-26"/>
    <s v="18-25"/>
    <s v="0-1 Year"/>
  </r>
  <r>
    <s v="EMP0805"/>
    <n v="49"/>
    <s v="Male"/>
    <x v="0"/>
    <s v="Finance Manager"/>
    <s v="B.Tech"/>
    <n v="138875"/>
    <n v="17"/>
    <n v="28"/>
    <n v="5"/>
    <n v="2"/>
    <n v="3"/>
    <n v="1"/>
    <s v="No"/>
    <s v="Travel_Frequently"/>
    <n v="19"/>
    <n v="18"/>
    <n v="3"/>
    <s v="Yes"/>
    <n v="6"/>
    <x v="0"/>
    <d v="2020-10-10T00:00:00"/>
    <d v="2023-03-30T00:00:00"/>
    <s v="2023-03-30"/>
    <s v="46-55"/>
    <s v="10+ Years"/>
  </r>
  <r>
    <s v="EMP0806"/>
    <n v="53"/>
    <s v="Female"/>
    <x v="0"/>
    <s v="Financial Analyst"/>
    <s v="BBA"/>
    <n v="58983"/>
    <n v="1"/>
    <n v="31"/>
    <n v="2"/>
    <n v="1"/>
    <n v="3"/>
    <n v="3"/>
    <s v="No"/>
    <s v="Travel_Rarely"/>
    <n v="12"/>
    <n v="44"/>
    <n v="3"/>
    <s v="No"/>
    <n v="6"/>
    <x v="1"/>
    <d v="2021-11-26T00:00:00"/>
    <m/>
    <s v="Active"/>
    <s v="46-55"/>
    <s v="0-1 Year"/>
  </r>
  <r>
    <s v="EMP0807"/>
    <n v="58"/>
    <s v="Female"/>
    <x v="5"/>
    <s v="Marketing Analyst"/>
    <s v="B.Tech"/>
    <n v="162903"/>
    <n v="32"/>
    <n v="34"/>
    <n v="5"/>
    <n v="3"/>
    <n v="1"/>
    <n v="2"/>
    <s v="No"/>
    <s v="Travel_Rarely"/>
    <n v="7"/>
    <n v="32"/>
    <n v="3"/>
    <s v="No"/>
    <n v="4"/>
    <x v="1"/>
    <d v="2017-05-12T00:00:00"/>
    <m/>
    <s v="Active"/>
    <s v="56+"/>
    <s v="10+ Years"/>
  </r>
  <r>
    <s v="EMP0808"/>
    <n v="49"/>
    <s v="Female"/>
    <x v="4"/>
    <s v="HR Executive"/>
    <s v="BBA"/>
    <n v="144193"/>
    <n v="20"/>
    <n v="27"/>
    <n v="5"/>
    <n v="3"/>
    <n v="1"/>
    <n v="2"/>
    <s v="No"/>
    <s v="Travel_Frequently"/>
    <n v="27"/>
    <n v="45"/>
    <n v="2"/>
    <s v="No"/>
    <n v="6"/>
    <x v="1"/>
    <d v="2012-04-17T00:00:00"/>
    <m/>
    <s v="Active"/>
    <s v="46-55"/>
    <s v="10+ Years"/>
  </r>
  <r>
    <s v="EMP0809"/>
    <n v="26"/>
    <s v="Female"/>
    <x v="3"/>
    <s v="Operations Manager"/>
    <s v="MBA"/>
    <n v="55575"/>
    <n v="0"/>
    <n v="2"/>
    <n v="2"/>
    <n v="4"/>
    <n v="2"/>
    <n v="3"/>
    <s v="No"/>
    <s v="Travel_Frequently"/>
    <n v="18"/>
    <n v="26"/>
    <n v="3"/>
    <s v="No"/>
    <n v="3"/>
    <x v="1"/>
    <d v="2013-11-19T00:00:00"/>
    <m/>
    <s v="Active"/>
    <s v="26-35"/>
    <s v="0-1 Year"/>
  </r>
  <r>
    <s v="EMP0810"/>
    <n v="43"/>
    <s v="Male"/>
    <x v="4"/>
    <s v="HR Executive"/>
    <s v="B.A"/>
    <n v="122539"/>
    <n v="11"/>
    <n v="19"/>
    <n v="5"/>
    <n v="2"/>
    <n v="3"/>
    <n v="2"/>
    <s v="No"/>
    <s v="Travel_Rarely"/>
    <n v="17"/>
    <n v="39"/>
    <n v="3"/>
    <s v="Yes"/>
    <n v="1"/>
    <x v="1"/>
    <d v="2015-10-08T00:00:00"/>
    <m/>
    <s v="Active"/>
    <s v="36-45"/>
    <s v="10+ Years"/>
  </r>
  <r>
    <s v="EMP0811"/>
    <n v="32"/>
    <s v="Male"/>
    <x v="3"/>
    <s v="Operations Executive"/>
    <s v="B.A"/>
    <n v="77887"/>
    <n v="4"/>
    <n v="11"/>
    <n v="3"/>
    <n v="3"/>
    <n v="2"/>
    <n v="1"/>
    <s v="Yes"/>
    <s v="Travel_Rarely"/>
    <n v="1"/>
    <n v="20"/>
    <n v="3"/>
    <s v="No"/>
    <n v="5"/>
    <x v="1"/>
    <d v="2023-09-15T00:00:00"/>
    <m/>
    <s v="Active"/>
    <s v="26-35"/>
    <s v="4-5 Years"/>
  </r>
  <r>
    <s v="EMP0812"/>
    <n v="23"/>
    <s v="Female"/>
    <x v="4"/>
    <s v="HR Manager"/>
    <s v="B.Com"/>
    <n v="44637"/>
    <n v="1"/>
    <n v="2"/>
    <n v="1"/>
    <n v="3"/>
    <n v="2"/>
    <n v="3"/>
    <s v="No"/>
    <s v="Travel_Rarely"/>
    <n v="28"/>
    <n v="39"/>
    <n v="3"/>
    <s v="No"/>
    <n v="6"/>
    <x v="0"/>
    <d v="2014-10-07T00:00:00"/>
    <d v="2017-01-27T00:00:00"/>
    <s v="2017-01-27"/>
    <s v="18-25"/>
    <s v="0-1 Year"/>
  </r>
  <r>
    <s v="EMP0813"/>
    <n v="34"/>
    <s v="Male"/>
    <x v="1"/>
    <s v="Sales Manager"/>
    <s v="B.Tech"/>
    <n v="117993"/>
    <n v="9"/>
    <n v="10"/>
    <n v="5"/>
    <n v="3"/>
    <n v="1"/>
    <n v="1"/>
    <s v="No"/>
    <s v="Non-Travel"/>
    <n v="4"/>
    <n v="41"/>
    <n v="3"/>
    <s v="No"/>
    <n v="6"/>
    <x v="1"/>
    <d v="2013-11-13T00:00:00"/>
    <m/>
    <s v="Active"/>
    <s v="26-35"/>
    <s v="6-10 Years"/>
  </r>
  <r>
    <s v="EMP0814"/>
    <n v="22"/>
    <s v="Female"/>
    <x v="1"/>
    <s v="Sales Executive"/>
    <s v="MBA"/>
    <n v="57324"/>
    <n v="0"/>
    <n v="1"/>
    <n v="2"/>
    <n v="4"/>
    <n v="1"/>
    <n v="3"/>
    <s v="No"/>
    <s v="Non-Travel"/>
    <n v="5"/>
    <n v="48"/>
    <n v="4"/>
    <s v="No"/>
    <n v="3"/>
    <x v="0"/>
    <d v="2012-07-06T00:00:00"/>
    <d v="2014-11-26T00:00:00"/>
    <s v="2014-11-26"/>
    <s v="18-25"/>
    <s v="0-1 Year"/>
  </r>
  <r>
    <s v="EMP0815"/>
    <n v="33"/>
    <s v="Male"/>
    <x v="4"/>
    <s v="HR Manager"/>
    <s v="B.Tech"/>
    <n v="83031"/>
    <n v="6"/>
    <n v="11"/>
    <n v="3"/>
    <n v="4"/>
    <n v="1"/>
    <n v="3"/>
    <s v="No"/>
    <s v="Travel_Rarely"/>
    <n v="10"/>
    <n v="39"/>
    <n v="3"/>
    <s v="Yes"/>
    <n v="2"/>
    <x v="1"/>
    <d v="2021-09-03T00:00:00"/>
    <m/>
    <s v="Active"/>
    <s v="26-35"/>
    <s v="6-10 Years"/>
  </r>
  <r>
    <s v="EMP0816"/>
    <n v="32"/>
    <s v="Female"/>
    <x v="5"/>
    <s v="Marketing Analyst"/>
    <s v="B.Com"/>
    <n v="101366"/>
    <n v="6"/>
    <n v="8"/>
    <n v="4"/>
    <n v="2"/>
    <n v="2"/>
    <n v="4"/>
    <s v="Yes"/>
    <s v="Travel_Frequently"/>
    <n v="17"/>
    <n v="56"/>
    <n v="3"/>
    <s v="No"/>
    <n v="3"/>
    <x v="1"/>
    <d v="2013-01-04T00:00:00"/>
    <m/>
    <s v="Active"/>
    <s v="26-35"/>
    <s v="6-10 Years"/>
  </r>
  <r>
    <s v="EMP0817"/>
    <n v="35"/>
    <s v="Male"/>
    <x v="5"/>
    <s v="Marketing Manager"/>
    <s v="B.Com"/>
    <n v="76702"/>
    <n v="4"/>
    <n v="12"/>
    <n v="3"/>
    <n v="2"/>
    <n v="1"/>
    <n v="4"/>
    <s v="Yes"/>
    <s v="Travel_Rarely"/>
    <n v="3"/>
    <n v="30"/>
    <n v="3"/>
    <s v="No"/>
    <n v="5"/>
    <x v="1"/>
    <d v="2018-01-29T00:00:00"/>
    <m/>
    <s v="Active"/>
    <s v="26-35"/>
    <s v="4-5 Years"/>
  </r>
  <r>
    <s v="EMP0818"/>
    <n v="25"/>
    <s v="Male"/>
    <x v="5"/>
    <s v="Marketing Analyst"/>
    <s v="MBA"/>
    <n v="73166"/>
    <n v="3"/>
    <n v="4"/>
    <n v="3"/>
    <n v="4"/>
    <n v="1"/>
    <n v="2"/>
    <s v="No"/>
    <s v="Travel_Rarely"/>
    <n v="3"/>
    <n v="48"/>
    <n v="3"/>
    <s v="No"/>
    <n v="5"/>
    <x v="1"/>
    <d v="2012-03-11T00:00:00"/>
    <m/>
    <s v="Active"/>
    <s v="18-25"/>
    <s v="2-3 Years"/>
  </r>
  <r>
    <s v="EMP0819"/>
    <n v="33"/>
    <s v="Female"/>
    <x v="3"/>
    <s v="Operations Manager"/>
    <s v="BBA"/>
    <n v="57402"/>
    <n v="2"/>
    <n v="11"/>
    <n v="2"/>
    <n v="2"/>
    <n v="3"/>
    <n v="4"/>
    <s v="No"/>
    <s v="Travel_Rarely"/>
    <n v="17"/>
    <n v="51"/>
    <n v="3"/>
    <s v="No"/>
    <n v="3"/>
    <x v="1"/>
    <d v="2016-11-23T00:00:00"/>
    <m/>
    <s v="Active"/>
    <s v="26-35"/>
    <s v="2-3 Years"/>
  </r>
  <r>
    <s v="EMP0820"/>
    <n v="51"/>
    <s v="Male"/>
    <x v="0"/>
    <s v="Finance Manager"/>
    <s v="B.Tech"/>
    <n v="79904"/>
    <n v="4"/>
    <n v="28"/>
    <n v="3"/>
    <n v="2"/>
    <n v="4"/>
    <n v="3"/>
    <s v="Yes"/>
    <s v="Non-Travel"/>
    <n v="5"/>
    <n v="24"/>
    <n v="3"/>
    <s v="No"/>
    <n v="5"/>
    <x v="1"/>
    <d v="2023-06-23T00:00:00"/>
    <m/>
    <s v="Active"/>
    <s v="46-55"/>
    <s v="4-5 Years"/>
  </r>
  <r>
    <s v="EMP0821"/>
    <n v="36"/>
    <s v="Female"/>
    <x v="3"/>
    <s v="Operations Manager"/>
    <s v="B.Com"/>
    <n v="69821"/>
    <n v="5"/>
    <n v="12"/>
    <n v="2"/>
    <n v="2"/>
    <n v="1"/>
    <n v="4"/>
    <s v="No"/>
    <s v="Travel_Rarely"/>
    <n v="9"/>
    <n v="48"/>
    <n v="3"/>
    <s v="No"/>
    <n v="4"/>
    <x v="1"/>
    <d v="2019-02-11T00:00:00"/>
    <m/>
    <s v="Active"/>
    <s v="36-45"/>
    <s v="4-5 Years"/>
  </r>
  <r>
    <s v="EMP0822"/>
    <n v="31"/>
    <s v="Male"/>
    <x v="1"/>
    <s v="Sales Executive"/>
    <s v="MBA"/>
    <n v="60504"/>
    <n v="3"/>
    <n v="8"/>
    <n v="2"/>
    <n v="3"/>
    <n v="2"/>
    <n v="3"/>
    <s v="No"/>
    <s v="Travel_Frequently"/>
    <n v="21"/>
    <n v="36"/>
    <n v="3"/>
    <s v="No"/>
    <n v="3"/>
    <x v="1"/>
    <d v="2020-04-16T00:00:00"/>
    <m/>
    <s v="Active"/>
    <s v="26-35"/>
    <s v="2-3 Years"/>
  </r>
  <r>
    <s v="EMP0823"/>
    <n v="54"/>
    <s v="Male"/>
    <x v="3"/>
    <s v="Operations Manager"/>
    <s v="BBA"/>
    <n v="57513"/>
    <n v="2"/>
    <n v="31"/>
    <n v="2"/>
    <n v="3"/>
    <n v="1"/>
    <n v="1"/>
    <s v="Yes"/>
    <s v="Travel_Rarely"/>
    <n v="24"/>
    <n v="47"/>
    <n v="3"/>
    <s v="No"/>
    <n v="5"/>
    <x v="1"/>
    <d v="2012-06-02T00:00:00"/>
    <m/>
    <s v="Active"/>
    <s v="46-55"/>
    <s v="2-3 Years"/>
  </r>
  <r>
    <s v="EMP0824"/>
    <n v="32"/>
    <s v="Female"/>
    <x v="0"/>
    <s v="Financial Analyst"/>
    <s v="B.Com"/>
    <n v="56429"/>
    <n v="2"/>
    <n v="9"/>
    <n v="2"/>
    <n v="2"/>
    <n v="1"/>
    <n v="1"/>
    <s v="No"/>
    <s v="Travel_Rarely"/>
    <n v="12"/>
    <n v="11"/>
    <n v="3"/>
    <s v="No"/>
    <n v="4"/>
    <x v="1"/>
    <d v="2012-01-04T00:00:00"/>
    <m/>
    <s v="Active"/>
    <s v="26-35"/>
    <s v="2-3 Years"/>
  </r>
  <r>
    <s v="EMP0825"/>
    <n v="48"/>
    <s v="Female"/>
    <x v="5"/>
    <s v="Marketing Analyst"/>
    <s v="BBA"/>
    <n v="151714"/>
    <n v="24"/>
    <n v="26"/>
    <n v="5"/>
    <n v="1"/>
    <n v="2"/>
    <n v="4"/>
    <s v="Yes"/>
    <s v="Travel_Rarely"/>
    <n v="17"/>
    <n v="40"/>
    <n v="3"/>
    <s v="No"/>
    <n v="6"/>
    <x v="1"/>
    <d v="2019-09-10T00:00:00"/>
    <m/>
    <s v="Active"/>
    <s v="46-55"/>
    <s v="10+ Years"/>
  </r>
  <r>
    <s v="EMP0826"/>
    <n v="39"/>
    <s v="Female"/>
    <x v="3"/>
    <s v="Operations Manager"/>
    <s v="B.Com"/>
    <n v="127826"/>
    <n v="15"/>
    <n v="15"/>
    <n v="5"/>
    <n v="2"/>
    <n v="2"/>
    <n v="2"/>
    <s v="No"/>
    <s v="Travel_Rarely"/>
    <n v="17"/>
    <n v="27"/>
    <n v="3"/>
    <s v="Yes"/>
    <n v="5"/>
    <x v="1"/>
    <d v="2015-04-09T00:00:00"/>
    <m/>
    <s v="Active"/>
    <s v="36-45"/>
    <s v="10+ Years"/>
  </r>
  <r>
    <s v="EMP0827"/>
    <n v="28"/>
    <s v="Female"/>
    <x v="1"/>
    <s v="Sales Executive"/>
    <s v="M.Tech"/>
    <n v="56906"/>
    <n v="2"/>
    <n v="5"/>
    <n v="2"/>
    <n v="3"/>
    <n v="2"/>
    <n v="4"/>
    <s v="No"/>
    <s v="Travel_Rarely"/>
    <n v="28"/>
    <n v="57"/>
    <n v="3"/>
    <s v="No"/>
    <n v="3"/>
    <x v="0"/>
    <d v="2012-09-26T00:00:00"/>
    <d v="2014-06-24T00:00:00"/>
    <s v="2014-06-24"/>
    <s v="26-35"/>
    <s v="2-3 Years"/>
  </r>
  <r>
    <s v="EMP0828"/>
    <n v="57"/>
    <s v="Male"/>
    <x v="4"/>
    <s v="HR Executive"/>
    <s v="B.Tech"/>
    <n v="134641"/>
    <n v="18"/>
    <n v="35"/>
    <n v="5"/>
    <n v="2"/>
    <n v="2"/>
    <n v="4"/>
    <s v="No"/>
    <s v="Travel_Rarely"/>
    <n v="15"/>
    <n v="57"/>
    <n v="3"/>
    <s v="Yes"/>
    <n v="6"/>
    <x v="0"/>
    <d v="2017-09-14T00:00:00"/>
    <d v="2018-08-21T00:00:00"/>
    <s v="2018-08-21"/>
    <s v="56+"/>
    <s v="10+ Years"/>
  </r>
  <r>
    <s v="EMP0829"/>
    <n v="44"/>
    <s v="Female"/>
    <x v="0"/>
    <s v="Finance Manager"/>
    <s v="M.Tech"/>
    <n v="142517"/>
    <n v="21"/>
    <n v="23"/>
    <n v="5"/>
    <n v="1"/>
    <n v="4"/>
    <n v="2"/>
    <s v="No"/>
    <s v="Travel_Rarely"/>
    <n v="12"/>
    <n v="38"/>
    <n v="3"/>
    <s v="No"/>
    <n v="4"/>
    <x v="1"/>
    <d v="2019-11-05T00:00:00"/>
    <m/>
    <s v="Active"/>
    <s v="36-45"/>
    <s v="10+ Years"/>
  </r>
  <r>
    <s v="EMP0830"/>
    <n v="23"/>
    <s v="Female"/>
    <x v="0"/>
    <s v="Financial Analyst"/>
    <s v="B.A"/>
    <n v="44208"/>
    <n v="1"/>
    <n v="1"/>
    <n v="1"/>
    <n v="3"/>
    <n v="2"/>
    <n v="4"/>
    <s v="No"/>
    <s v="Travel_Frequently"/>
    <n v="13"/>
    <n v="47"/>
    <n v="2"/>
    <s v="No"/>
    <n v="4"/>
    <x v="1"/>
    <d v="2012-06-10T00:00:00"/>
    <m/>
    <s v="Active"/>
    <s v="18-25"/>
    <s v="0-1 Year"/>
  </r>
  <r>
    <s v="EMP0831"/>
    <n v="37"/>
    <s v="Male"/>
    <x v="4"/>
    <s v="HR Executive"/>
    <s v="BBA"/>
    <n v="96708"/>
    <n v="7"/>
    <n v="13"/>
    <n v="4"/>
    <n v="1"/>
    <n v="2"/>
    <n v="3"/>
    <s v="No"/>
    <s v="Travel_Frequently"/>
    <n v="10"/>
    <n v="10"/>
    <n v="3"/>
    <s v="No"/>
    <n v="3"/>
    <x v="0"/>
    <d v="2020-05-12T00:00:00"/>
    <d v="2021-04-27T00:00:00"/>
    <s v="2021-04-27"/>
    <s v="36-45"/>
    <s v="6-10 Years"/>
  </r>
  <r>
    <s v="EMP0832"/>
    <n v="40"/>
    <s v="Female"/>
    <x v="5"/>
    <s v="Marketing Manager"/>
    <s v="B.A"/>
    <n v="108166"/>
    <n v="10"/>
    <n v="19"/>
    <n v="4"/>
    <n v="1"/>
    <n v="3"/>
    <n v="2"/>
    <s v="No"/>
    <s v="Travel_Rarely"/>
    <n v="29"/>
    <n v="18"/>
    <n v="3"/>
    <s v="No"/>
    <n v="5"/>
    <x v="1"/>
    <d v="2021-09-28T00:00:00"/>
    <m/>
    <s v="Active"/>
    <s v="36-45"/>
    <s v="6-10 Years"/>
  </r>
  <r>
    <s v="EMP0833"/>
    <n v="31"/>
    <s v="Male"/>
    <x v="5"/>
    <s v="Marketing Manager"/>
    <s v="B.Tech"/>
    <n v="41634"/>
    <n v="1"/>
    <n v="9"/>
    <n v="1"/>
    <n v="1"/>
    <n v="1"/>
    <n v="4"/>
    <s v="No"/>
    <s v="Non-Travel"/>
    <n v="28"/>
    <n v="57"/>
    <n v="3"/>
    <s v="No"/>
    <n v="7"/>
    <x v="1"/>
    <d v="2013-06-12T00:00:00"/>
    <m/>
    <s v="Active"/>
    <s v="26-35"/>
    <s v="0-1 Year"/>
  </r>
  <r>
    <s v="EMP0834"/>
    <n v="53"/>
    <s v="Female"/>
    <x v="1"/>
    <s v="Sales Manager"/>
    <s v="M.Tech"/>
    <n v="155221"/>
    <n v="27"/>
    <n v="29"/>
    <n v="5"/>
    <n v="2"/>
    <n v="4"/>
    <n v="4"/>
    <s v="No"/>
    <s v="Travel_Rarely"/>
    <n v="20"/>
    <n v="24"/>
    <n v="2"/>
    <s v="No"/>
    <n v="4"/>
    <x v="1"/>
    <d v="2019-11-10T00:00:00"/>
    <m/>
    <s v="Active"/>
    <s v="46-55"/>
    <s v="10+ Years"/>
  </r>
  <r>
    <s v="EMP0835"/>
    <n v="49"/>
    <s v="Female"/>
    <x v="5"/>
    <s v="Marketing Analyst"/>
    <s v="MBA"/>
    <n v="154531"/>
    <n v="25"/>
    <n v="26"/>
    <n v="5"/>
    <n v="4"/>
    <n v="1"/>
    <n v="2"/>
    <s v="No"/>
    <s v="Travel_Rarely"/>
    <n v="16"/>
    <n v="39"/>
    <n v="3"/>
    <s v="Yes"/>
    <n v="3"/>
    <x v="1"/>
    <d v="2021-03-30T00:00:00"/>
    <m/>
    <s v="Active"/>
    <s v="46-55"/>
    <s v="10+ Years"/>
  </r>
  <r>
    <s v="EMP0836"/>
    <n v="46"/>
    <s v="Female"/>
    <x v="3"/>
    <s v="Operations Executive"/>
    <s v="B.Tech"/>
    <n v="39938"/>
    <n v="0"/>
    <n v="23"/>
    <n v="1"/>
    <n v="3"/>
    <n v="2"/>
    <n v="2"/>
    <s v="No"/>
    <s v="Travel_Rarely"/>
    <n v="2"/>
    <n v="27"/>
    <n v="3"/>
    <s v="No"/>
    <n v="6"/>
    <x v="0"/>
    <d v="2014-12-06T00:00:00"/>
    <d v="2015-10-08T00:00:00"/>
    <s v="2015-10-08"/>
    <s v="46-55"/>
    <s v="0-1 Year"/>
  </r>
  <r>
    <s v="EMP0837"/>
    <n v="23"/>
    <s v="Male"/>
    <x v="5"/>
    <s v="Marketing Manager"/>
    <s v="B.Tech"/>
    <n v="59264"/>
    <n v="0"/>
    <n v="1"/>
    <n v="2"/>
    <n v="3"/>
    <n v="3"/>
    <n v="4"/>
    <s v="No"/>
    <s v="Travel_Rarely"/>
    <n v="17"/>
    <n v="12"/>
    <n v="4"/>
    <s v="No"/>
    <n v="8"/>
    <x v="1"/>
    <d v="2015-06-12T00:00:00"/>
    <m/>
    <s v="Active"/>
    <s v="18-25"/>
    <s v="0-1 Year"/>
  </r>
  <r>
    <s v="EMP0838"/>
    <n v="29"/>
    <s v="Male"/>
    <x v="1"/>
    <s v="Sales Executive"/>
    <s v="BBA"/>
    <n v="84502"/>
    <n v="7"/>
    <n v="8"/>
    <n v="3"/>
    <n v="1"/>
    <n v="2"/>
    <n v="2"/>
    <s v="No"/>
    <s v="Travel_Rarely"/>
    <n v="29"/>
    <n v="30"/>
    <n v="3"/>
    <s v="Yes"/>
    <n v="3"/>
    <x v="1"/>
    <d v="2023-02-09T00:00:00"/>
    <m/>
    <s v="Active"/>
    <s v="26-35"/>
    <s v="6-10 Years"/>
  </r>
  <r>
    <s v="EMP0839"/>
    <n v="32"/>
    <s v="Male"/>
    <x v="0"/>
    <s v="Finance Manager"/>
    <s v="B.Com"/>
    <n v="63882"/>
    <n v="2"/>
    <n v="10"/>
    <n v="2"/>
    <n v="2"/>
    <n v="3"/>
    <n v="3"/>
    <s v="No"/>
    <s v="Travel_Rarely"/>
    <n v="8"/>
    <n v="35"/>
    <n v="3"/>
    <s v="No"/>
    <n v="4"/>
    <x v="1"/>
    <d v="2014-10-11T00:00:00"/>
    <m/>
    <s v="Active"/>
    <s v="26-35"/>
    <s v="2-3 Years"/>
  </r>
  <r>
    <s v="EMP0840"/>
    <n v="55"/>
    <s v="Male"/>
    <x v="1"/>
    <s v="Sales Manager"/>
    <s v="MBA"/>
    <n v="46585"/>
    <n v="1"/>
    <n v="32"/>
    <n v="1"/>
    <n v="3"/>
    <n v="1"/>
    <n v="3"/>
    <s v="No"/>
    <s v="Non-Travel"/>
    <n v="10"/>
    <n v="34"/>
    <n v="4"/>
    <s v="No"/>
    <n v="12"/>
    <x v="1"/>
    <d v="2023-09-18T00:00:00"/>
    <m/>
    <s v="Active"/>
    <s v="46-55"/>
    <s v="0-1 Year"/>
  </r>
  <r>
    <s v="EMP0841"/>
    <n v="26"/>
    <s v="Female"/>
    <x v="4"/>
    <s v="HR Executive"/>
    <s v="MBA"/>
    <n v="61739"/>
    <n v="1"/>
    <n v="3"/>
    <n v="2"/>
    <n v="4"/>
    <n v="4"/>
    <n v="2"/>
    <s v="No"/>
    <s v="Non-Travel"/>
    <n v="3"/>
    <n v="15"/>
    <n v="3"/>
    <s v="No"/>
    <n v="6"/>
    <x v="1"/>
    <d v="2015-09-21T00:00:00"/>
    <m/>
    <s v="Active"/>
    <s v="26-35"/>
    <s v="0-1 Year"/>
  </r>
  <r>
    <s v="EMP0842"/>
    <n v="55"/>
    <s v="Female"/>
    <x v="3"/>
    <s v="Operations Executive"/>
    <s v="B.A"/>
    <n v="152766"/>
    <n v="25"/>
    <n v="33"/>
    <n v="5"/>
    <n v="1"/>
    <n v="2"/>
    <n v="3"/>
    <s v="Yes"/>
    <s v="Travel_Rarely"/>
    <n v="18"/>
    <n v="48"/>
    <n v="4"/>
    <s v="No"/>
    <n v="5"/>
    <x v="1"/>
    <d v="2021-12-12T00:00:00"/>
    <m/>
    <s v="Active"/>
    <s v="46-55"/>
    <s v="10+ Years"/>
  </r>
  <r>
    <s v="EMP0843"/>
    <n v="27"/>
    <s v="Female"/>
    <x v="3"/>
    <s v="Operations Executive"/>
    <s v="B.A"/>
    <n v="65497"/>
    <n v="3"/>
    <n v="3"/>
    <n v="2"/>
    <n v="1"/>
    <n v="2"/>
    <n v="1"/>
    <s v="No"/>
    <s v="Travel_Rarely"/>
    <n v="25"/>
    <n v="42"/>
    <n v="3"/>
    <s v="No"/>
    <n v="10"/>
    <x v="1"/>
    <d v="2019-12-22T00:00:00"/>
    <m/>
    <s v="Active"/>
    <s v="26-35"/>
    <s v="2-3 Years"/>
  </r>
  <r>
    <s v="EMP0844"/>
    <n v="29"/>
    <s v="Female"/>
    <x v="0"/>
    <s v="Finance Manager"/>
    <s v="M.Tech"/>
    <n v="103814"/>
    <n v="7"/>
    <n v="8"/>
    <n v="4"/>
    <n v="4"/>
    <n v="2"/>
    <n v="1"/>
    <s v="No"/>
    <s v="Travel_Rarely"/>
    <n v="22"/>
    <n v="27"/>
    <n v="3"/>
    <s v="No"/>
    <n v="6"/>
    <x v="1"/>
    <d v="2013-09-12T00:00:00"/>
    <m/>
    <s v="Active"/>
    <s v="26-35"/>
    <s v="6-10 Years"/>
  </r>
  <r>
    <s v="EMP0845"/>
    <n v="54"/>
    <s v="Male"/>
    <x v="3"/>
    <s v="Operations Executive"/>
    <s v="B.A"/>
    <n v="102173"/>
    <n v="7"/>
    <n v="32"/>
    <n v="4"/>
    <n v="2"/>
    <n v="4"/>
    <n v="1"/>
    <s v="No"/>
    <s v="Travel_Rarely"/>
    <n v="13"/>
    <n v="34"/>
    <n v="3"/>
    <s v="Yes"/>
    <n v="3"/>
    <x v="1"/>
    <d v="2020-07-27T00:00:00"/>
    <m/>
    <s v="Active"/>
    <s v="46-55"/>
    <s v="6-10 Years"/>
  </r>
  <r>
    <s v="EMP0846"/>
    <n v="52"/>
    <s v="Female"/>
    <x v="1"/>
    <s v="Sales Executive"/>
    <s v="BBA"/>
    <n v="140153"/>
    <n v="19"/>
    <n v="30"/>
    <n v="5"/>
    <n v="3"/>
    <n v="4"/>
    <n v="3"/>
    <s v="No"/>
    <s v="Travel_Rarely"/>
    <n v="20"/>
    <n v="21"/>
    <n v="3"/>
    <s v="No"/>
    <n v="7"/>
    <x v="1"/>
    <d v="2012-03-17T00:00:00"/>
    <m/>
    <s v="Active"/>
    <s v="46-55"/>
    <s v="10+ Years"/>
  </r>
  <r>
    <s v="EMP0847"/>
    <n v="24"/>
    <s v="Female"/>
    <x v="4"/>
    <s v="HR Manager"/>
    <s v="B.Com"/>
    <n v="57670"/>
    <n v="1"/>
    <n v="3"/>
    <n v="2"/>
    <n v="4"/>
    <n v="2"/>
    <n v="1"/>
    <s v="No"/>
    <s v="Travel_Rarely"/>
    <n v="17"/>
    <n v="54"/>
    <n v="3"/>
    <s v="No"/>
    <n v="6"/>
    <x v="1"/>
    <d v="2013-04-12T00:00:00"/>
    <m/>
    <s v="Active"/>
    <s v="18-25"/>
    <s v="0-1 Year"/>
  </r>
  <r>
    <s v="EMP0848"/>
    <n v="45"/>
    <s v="Male"/>
    <x v="4"/>
    <s v="HR Executive"/>
    <s v="B.Com"/>
    <n v="115574"/>
    <n v="9"/>
    <n v="21"/>
    <n v="5"/>
    <n v="2"/>
    <n v="3"/>
    <n v="3"/>
    <s v="Yes"/>
    <s v="Travel_Rarely"/>
    <n v="6"/>
    <n v="10"/>
    <n v="3"/>
    <s v="No"/>
    <n v="7"/>
    <x v="1"/>
    <d v="2014-10-03T00:00:00"/>
    <m/>
    <s v="Active"/>
    <s v="36-45"/>
    <s v="6-10 Years"/>
  </r>
  <r>
    <s v="EMP0849"/>
    <n v="58"/>
    <s v="Female"/>
    <x v="3"/>
    <s v="Operations Manager"/>
    <s v="B.Tech"/>
    <n v="143389"/>
    <n v="20"/>
    <n v="36"/>
    <n v="5"/>
    <n v="3"/>
    <n v="2"/>
    <n v="3"/>
    <s v="No"/>
    <s v="Non-Travel"/>
    <n v="28"/>
    <n v="25"/>
    <n v="2"/>
    <s v="No"/>
    <n v="2"/>
    <x v="0"/>
    <d v="2012-01-19T00:00:00"/>
    <d v="2013-02-08T00:00:00"/>
    <s v="2013-02-08"/>
    <s v="56+"/>
    <s v="10+ Years"/>
  </r>
  <r>
    <s v="EMP0850"/>
    <n v="41"/>
    <s v="Female"/>
    <x v="2"/>
    <s v="IT Manager"/>
    <s v="B.Com"/>
    <n v="121794"/>
    <n v="12"/>
    <n v="17"/>
    <n v="5"/>
    <n v="3"/>
    <n v="4"/>
    <n v="3"/>
    <s v="Yes"/>
    <s v="Travel_Rarely"/>
    <n v="10"/>
    <n v="28"/>
    <n v="3"/>
    <s v="Yes"/>
    <n v="4"/>
    <x v="1"/>
    <d v="2020-10-31T00:00:00"/>
    <m/>
    <s v="Active"/>
    <s v="36-45"/>
    <s v="10+ Years"/>
  </r>
  <r>
    <s v="EMP0851"/>
    <n v="31"/>
    <s v="Male"/>
    <x v="3"/>
    <s v="Operations Manager"/>
    <s v="M.Tech"/>
    <n v="79306"/>
    <n v="4"/>
    <n v="7"/>
    <n v="3"/>
    <n v="3"/>
    <n v="1"/>
    <n v="3"/>
    <s v="No"/>
    <s v="Non-Travel"/>
    <n v="26"/>
    <n v="15"/>
    <n v="3"/>
    <s v="No"/>
    <n v="3"/>
    <x v="1"/>
    <d v="2014-08-03T00:00:00"/>
    <m/>
    <s v="Active"/>
    <s v="26-35"/>
    <s v="4-5 Years"/>
  </r>
  <r>
    <s v="EMP0852"/>
    <n v="45"/>
    <s v="Male"/>
    <x v="1"/>
    <s v="Sales Executive"/>
    <s v="B.A"/>
    <n v="79158"/>
    <n v="4"/>
    <n v="22"/>
    <n v="3"/>
    <n v="1"/>
    <n v="4"/>
    <n v="2"/>
    <s v="Yes"/>
    <s v="Travel_Frequently"/>
    <n v="18"/>
    <n v="59"/>
    <n v="3"/>
    <s v="No"/>
    <n v="5"/>
    <x v="1"/>
    <d v="2020-04-27T00:00:00"/>
    <m/>
    <s v="Active"/>
    <s v="36-45"/>
    <s v="4-5 Years"/>
  </r>
  <r>
    <s v="EMP0853"/>
    <n v="22"/>
    <s v="Female"/>
    <x v="1"/>
    <s v="Sales Manager"/>
    <s v="B.Com"/>
    <n v="57017"/>
    <n v="0"/>
    <n v="1"/>
    <n v="2"/>
    <n v="3"/>
    <n v="4"/>
    <n v="2"/>
    <s v="No"/>
    <s v="Travel_Rarely"/>
    <n v="17"/>
    <n v="47"/>
    <n v="3"/>
    <s v="No"/>
    <n v="7"/>
    <x v="1"/>
    <d v="2023-07-04T00:00:00"/>
    <m/>
    <s v="Active"/>
    <s v="18-25"/>
    <s v="0-1 Year"/>
  </r>
  <r>
    <s v="EMP0854"/>
    <n v="38"/>
    <s v="Female"/>
    <x v="4"/>
    <s v="HR Manager"/>
    <s v="B.Com"/>
    <n v="60673"/>
    <n v="3"/>
    <n v="17"/>
    <n v="2"/>
    <n v="2"/>
    <n v="1"/>
    <n v="2"/>
    <s v="No"/>
    <s v="Travel_Rarely"/>
    <n v="10"/>
    <n v="44"/>
    <n v="3"/>
    <s v="No"/>
    <n v="1"/>
    <x v="1"/>
    <d v="2020-01-25T00:00:00"/>
    <m/>
    <s v="Active"/>
    <s v="36-45"/>
    <s v="2-3 Years"/>
  </r>
  <r>
    <s v="EMP0855"/>
    <n v="46"/>
    <s v="Female"/>
    <x v="2"/>
    <s v="Data Analyst"/>
    <s v="BBA"/>
    <n v="100785"/>
    <n v="6"/>
    <n v="24"/>
    <n v="4"/>
    <n v="4"/>
    <n v="3"/>
    <n v="1"/>
    <s v="No"/>
    <s v="Travel_Frequently"/>
    <n v="18"/>
    <n v="10"/>
    <n v="2"/>
    <s v="Yes"/>
    <n v="6"/>
    <x v="0"/>
    <d v="2018-11-16T00:00:00"/>
    <d v="2019-06-07T00:00:00"/>
    <s v="2019-06-07"/>
    <s v="46-55"/>
    <s v="6-10 Years"/>
  </r>
  <r>
    <s v="EMP0856"/>
    <n v="24"/>
    <s v="Female"/>
    <x v="1"/>
    <s v="Sales Manager"/>
    <s v="MBA"/>
    <n v="56655"/>
    <n v="0"/>
    <n v="1"/>
    <n v="2"/>
    <n v="3"/>
    <n v="4"/>
    <n v="3"/>
    <s v="No"/>
    <s v="Travel_Frequently"/>
    <n v="6"/>
    <n v="21"/>
    <n v="4"/>
    <s v="No"/>
    <n v="4"/>
    <x v="1"/>
    <d v="2019-12-29T00:00:00"/>
    <m/>
    <s v="Active"/>
    <s v="18-25"/>
    <s v="0-1 Year"/>
  </r>
  <r>
    <s v="EMP0857"/>
    <n v="51"/>
    <s v="Male"/>
    <x v="3"/>
    <s v="Operations Manager"/>
    <s v="MBA"/>
    <n v="134379"/>
    <n v="17"/>
    <n v="29"/>
    <n v="5"/>
    <n v="1"/>
    <n v="4"/>
    <n v="3"/>
    <s v="Yes"/>
    <s v="Travel_Frequently"/>
    <n v="13"/>
    <n v="58"/>
    <n v="3"/>
    <s v="No"/>
    <n v="2"/>
    <x v="1"/>
    <d v="2015-01-22T00:00:00"/>
    <m/>
    <s v="Active"/>
    <s v="46-55"/>
    <s v="10+ Years"/>
  </r>
  <r>
    <s v="EMP0858"/>
    <n v="56"/>
    <s v="Female"/>
    <x v="2"/>
    <s v="IT Manager"/>
    <s v="BBA"/>
    <n v="83500"/>
    <n v="5"/>
    <n v="35"/>
    <n v="3"/>
    <n v="3"/>
    <n v="2"/>
    <n v="4"/>
    <s v="No"/>
    <s v="Travel_Rarely"/>
    <n v="23"/>
    <n v="34"/>
    <n v="3"/>
    <s v="No"/>
    <n v="3"/>
    <x v="1"/>
    <d v="2020-08-06T00:00:00"/>
    <m/>
    <s v="Active"/>
    <s v="56+"/>
    <s v="4-5 Years"/>
  </r>
  <r>
    <s v="EMP0859"/>
    <n v="55"/>
    <s v="Male"/>
    <x v="3"/>
    <s v="Operations Executive"/>
    <s v="B.Tech"/>
    <n v="118111"/>
    <n v="10"/>
    <n v="31"/>
    <n v="5"/>
    <n v="2"/>
    <n v="4"/>
    <n v="4"/>
    <s v="No"/>
    <s v="Travel_Rarely"/>
    <n v="6"/>
    <n v="39"/>
    <n v="3"/>
    <s v="No"/>
    <n v="2"/>
    <x v="1"/>
    <d v="2014-04-16T00:00:00"/>
    <m/>
    <s v="Active"/>
    <s v="46-55"/>
    <s v="6-10 Years"/>
  </r>
  <r>
    <s v="EMP0860"/>
    <n v="33"/>
    <s v="Female"/>
    <x v="1"/>
    <s v="Sales Manager"/>
    <s v="B.A"/>
    <n v="42397"/>
    <n v="2"/>
    <n v="12"/>
    <n v="1"/>
    <n v="3"/>
    <n v="2"/>
    <n v="2"/>
    <s v="No"/>
    <s v="Travel_Rarely"/>
    <n v="3"/>
    <n v="26"/>
    <n v="3"/>
    <s v="No"/>
    <n v="5"/>
    <x v="1"/>
    <d v="2018-12-03T00:00:00"/>
    <m/>
    <s v="Active"/>
    <s v="26-35"/>
    <s v="2-3 Years"/>
  </r>
  <r>
    <s v="EMP0861"/>
    <n v="51"/>
    <s v="Male"/>
    <x v="1"/>
    <s v="Sales Executive"/>
    <s v="B.Com"/>
    <n v="46728"/>
    <n v="1"/>
    <n v="27"/>
    <n v="1"/>
    <n v="4"/>
    <n v="2"/>
    <n v="1"/>
    <s v="Yes"/>
    <s v="Travel_Rarely"/>
    <n v="26"/>
    <n v="13"/>
    <n v="3"/>
    <s v="No"/>
    <n v="6"/>
    <x v="1"/>
    <d v="2016-06-09T00:00:00"/>
    <m/>
    <s v="Active"/>
    <s v="46-55"/>
    <s v="0-1 Year"/>
  </r>
  <r>
    <s v="EMP0862"/>
    <n v="27"/>
    <s v="Female"/>
    <x v="2"/>
    <s v="IT Manager"/>
    <s v="M.Tech"/>
    <n v="60459"/>
    <n v="2"/>
    <n v="6"/>
    <n v="2"/>
    <n v="2"/>
    <n v="3"/>
    <n v="4"/>
    <s v="No"/>
    <s v="Travel_Rarely"/>
    <n v="2"/>
    <n v="30"/>
    <n v="3"/>
    <s v="No"/>
    <n v="3"/>
    <x v="1"/>
    <d v="2015-10-15T00:00:00"/>
    <m/>
    <s v="Active"/>
    <s v="26-35"/>
    <s v="2-3 Years"/>
  </r>
  <r>
    <s v="EMP0863"/>
    <n v="45"/>
    <s v="Male"/>
    <x v="5"/>
    <s v="Marketing Analyst"/>
    <s v="BBA"/>
    <n v="138521"/>
    <n v="17"/>
    <n v="22"/>
    <n v="5"/>
    <n v="4"/>
    <n v="3"/>
    <n v="4"/>
    <s v="Yes"/>
    <s v="Travel_Rarely"/>
    <n v="25"/>
    <n v="37"/>
    <n v="3"/>
    <s v="No"/>
    <n v="5"/>
    <x v="1"/>
    <d v="2013-03-14T00:00:00"/>
    <m/>
    <s v="Active"/>
    <s v="36-45"/>
    <s v="10+ Years"/>
  </r>
  <r>
    <s v="EMP0864"/>
    <n v="53"/>
    <s v="Female"/>
    <x v="5"/>
    <s v="Marketing Manager"/>
    <s v="MBA"/>
    <n v="136234"/>
    <n v="17"/>
    <n v="29"/>
    <n v="5"/>
    <n v="4"/>
    <n v="1"/>
    <n v="2"/>
    <s v="Yes"/>
    <s v="Travel_Rarely"/>
    <n v="12"/>
    <n v="14"/>
    <n v="2"/>
    <s v="No"/>
    <n v="4"/>
    <x v="1"/>
    <d v="2014-06-22T00:00:00"/>
    <m/>
    <s v="Active"/>
    <s v="46-55"/>
    <s v="10+ Years"/>
  </r>
  <r>
    <s v="EMP0865"/>
    <n v="53"/>
    <s v="Female"/>
    <x v="3"/>
    <s v="Operations Executive"/>
    <s v="B.Tech"/>
    <n v="144675"/>
    <n v="23"/>
    <n v="29"/>
    <n v="5"/>
    <n v="1"/>
    <n v="3"/>
    <n v="4"/>
    <s v="No"/>
    <s v="Travel_Rarely"/>
    <n v="23"/>
    <n v="31"/>
    <n v="3"/>
    <s v="No"/>
    <n v="1"/>
    <x v="1"/>
    <d v="2023-02-14T00:00:00"/>
    <m/>
    <s v="Active"/>
    <s v="46-55"/>
    <s v="10+ Years"/>
  </r>
  <r>
    <s v="EMP0866"/>
    <n v="29"/>
    <s v="Male"/>
    <x v="0"/>
    <s v="Financial Analyst"/>
    <s v="M.Tech"/>
    <n v="45860"/>
    <n v="2"/>
    <n v="8"/>
    <n v="1"/>
    <n v="4"/>
    <n v="1"/>
    <n v="4"/>
    <s v="No"/>
    <s v="Travel_Rarely"/>
    <n v="21"/>
    <n v="47"/>
    <n v="2"/>
    <s v="No"/>
    <n v="4"/>
    <x v="0"/>
    <d v="2016-09-16T00:00:00"/>
    <d v="2019-03-07T00:00:00"/>
    <s v="2019-03-07"/>
    <s v="26-35"/>
    <s v="2-3 Years"/>
  </r>
  <r>
    <s v="EMP0867"/>
    <n v="29"/>
    <s v="Male"/>
    <x v="2"/>
    <s v="Software Engineer"/>
    <s v="BBA"/>
    <n v="64021"/>
    <n v="4"/>
    <n v="5"/>
    <n v="2"/>
    <n v="3"/>
    <n v="3"/>
    <n v="1"/>
    <s v="No"/>
    <s v="Travel_Rarely"/>
    <n v="9"/>
    <n v="12"/>
    <n v="4"/>
    <s v="No"/>
    <n v="4"/>
    <x v="1"/>
    <d v="2020-10-12T00:00:00"/>
    <m/>
    <s v="Active"/>
    <s v="26-35"/>
    <s v="4-5 Years"/>
  </r>
  <r>
    <s v="EMP0868"/>
    <n v="44"/>
    <s v="Male"/>
    <x v="5"/>
    <s v="Marketing Analyst"/>
    <s v="BBA"/>
    <n v="58678"/>
    <n v="0"/>
    <n v="21"/>
    <n v="2"/>
    <n v="3"/>
    <n v="3"/>
    <n v="2"/>
    <s v="No"/>
    <s v="Travel_Frequently"/>
    <n v="14"/>
    <n v="16"/>
    <n v="3"/>
    <s v="No"/>
    <n v="5"/>
    <x v="0"/>
    <d v="2016-04-13T00:00:00"/>
    <d v="2017-04-19T00:00:00"/>
    <s v="2017-04-19"/>
    <s v="36-45"/>
    <s v="0-1 Year"/>
  </r>
  <r>
    <s v="EMP0869"/>
    <n v="26"/>
    <s v="Male"/>
    <x v="3"/>
    <s v="Operations Executive"/>
    <s v="MBA"/>
    <n v="66284"/>
    <n v="4"/>
    <n v="4"/>
    <n v="2"/>
    <n v="3"/>
    <n v="1"/>
    <n v="1"/>
    <s v="No"/>
    <s v="Travel_Rarely"/>
    <n v="20"/>
    <n v="43"/>
    <n v="3"/>
    <s v="No"/>
    <n v="9"/>
    <x v="1"/>
    <d v="2014-01-13T00:00:00"/>
    <m/>
    <s v="Active"/>
    <s v="26-35"/>
    <s v="4-5 Years"/>
  </r>
  <r>
    <s v="EMP0870"/>
    <n v="44"/>
    <s v="Female"/>
    <x v="4"/>
    <s v="HR Executive"/>
    <s v="B.Tech"/>
    <n v="129412"/>
    <n v="15"/>
    <n v="23"/>
    <n v="5"/>
    <n v="4"/>
    <n v="4"/>
    <n v="2"/>
    <s v="No"/>
    <s v="Travel_Frequently"/>
    <n v="17"/>
    <n v="14"/>
    <n v="4"/>
    <s v="No"/>
    <n v="5"/>
    <x v="0"/>
    <d v="2023-01-02T00:00:00"/>
    <d v="2024-01-03T00:00:00"/>
    <s v="2024-01-03"/>
    <s v="36-45"/>
    <s v="10+ Years"/>
  </r>
  <r>
    <s v="EMP0871"/>
    <n v="47"/>
    <s v="Male"/>
    <x v="3"/>
    <s v="Operations Executive"/>
    <s v="B.A"/>
    <n v="133121"/>
    <n v="15"/>
    <n v="26"/>
    <n v="5"/>
    <n v="1"/>
    <n v="2"/>
    <n v="4"/>
    <s v="Yes"/>
    <s v="Travel_Frequently"/>
    <n v="28"/>
    <n v="18"/>
    <n v="3"/>
    <s v="Yes"/>
    <n v="5"/>
    <x v="1"/>
    <d v="2019-05-29T00:00:00"/>
    <m/>
    <s v="Active"/>
    <s v="46-55"/>
    <s v="10+ Years"/>
  </r>
  <r>
    <s v="EMP0872"/>
    <n v="35"/>
    <s v="Male"/>
    <x v="2"/>
    <s v="Software Engineer"/>
    <s v="BBA"/>
    <n v="102242"/>
    <n v="7"/>
    <n v="12"/>
    <n v="4"/>
    <n v="2"/>
    <n v="1"/>
    <n v="4"/>
    <s v="No"/>
    <s v="Travel_Rarely"/>
    <n v="20"/>
    <n v="16"/>
    <n v="3"/>
    <s v="No"/>
    <n v="5"/>
    <x v="1"/>
    <d v="2018-09-01T00:00:00"/>
    <m/>
    <s v="Active"/>
    <s v="26-35"/>
    <s v="6-10 Years"/>
  </r>
  <r>
    <s v="EMP0873"/>
    <n v="49"/>
    <s v="Male"/>
    <x v="0"/>
    <s v="Finance Manager"/>
    <s v="B.A"/>
    <n v="154074"/>
    <n v="25"/>
    <n v="27"/>
    <n v="5"/>
    <n v="1"/>
    <n v="4"/>
    <n v="1"/>
    <s v="No"/>
    <s v="Travel_Rarely"/>
    <n v="25"/>
    <n v="42"/>
    <n v="2"/>
    <s v="No"/>
    <n v="3"/>
    <x v="1"/>
    <d v="2020-07-13T00:00:00"/>
    <m/>
    <s v="Active"/>
    <s v="46-55"/>
    <s v="10+ Years"/>
  </r>
  <r>
    <s v="EMP0874"/>
    <n v="31"/>
    <s v="Female"/>
    <x v="4"/>
    <s v="HR Executive"/>
    <s v="BBA"/>
    <n v="116839"/>
    <n v="9"/>
    <n v="9"/>
    <n v="5"/>
    <n v="2"/>
    <n v="4"/>
    <n v="1"/>
    <s v="No"/>
    <s v="Non-Travel"/>
    <n v="7"/>
    <n v="20"/>
    <n v="3"/>
    <s v="No"/>
    <n v="9"/>
    <x v="1"/>
    <d v="2019-08-01T00:00:00"/>
    <m/>
    <s v="Active"/>
    <s v="26-35"/>
    <s v="6-10 Years"/>
  </r>
  <r>
    <s v="EMP0875"/>
    <n v="40"/>
    <s v="Male"/>
    <x v="4"/>
    <s v="HR Executive"/>
    <s v="BBA"/>
    <n v="56091"/>
    <n v="1"/>
    <n v="19"/>
    <n v="2"/>
    <n v="1"/>
    <n v="3"/>
    <n v="4"/>
    <s v="No"/>
    <s v="Non-Travel"/>
    <n v="21"/>
    <n v="16"/>
    <n v="3"/>
    <s v="No"/>
    <n v="5"/>
    <x v="0"/>
    <d v="2012-09-22T00:00:00"/>
    <d v="2015-03-13T00:00:00"/>
    <s v="2015-03-13"/>
    <s v="36-45"/>
    <s v="0-1 Year"/>
  </r>
  <r>
    <s v="EMP0876"/>
    <n v="56"/>
    <s v="Male"/>
    <x v="1"/>
    <s v="Sales Executive"/>
    <s v="MBA"/>
    <n v="148764"/>
    <n v="24"/>
    <n v="33"/>
    <n v="5"/>
    <n v="4"/>
    <n v="1"/>
    <n v="1"/>
    <s v="No"/>
    <s v="Travel_Rarely"/>
    <n v="10"/>
    <n v="54"/>
    <n v="3"/>
    <s v="Yes"/>
    <n v="8"/>
    <x v="1"/>
    <d v="2013-05-12T00:00:00"/>
    <m/>
    <s v="Active"/>
    <s v="56+"/>
    <s v="10+ Years"/>
  </r>
  <r>
    <s v="EMP0877"/>
    <n v="53"/>
    <s v="Female"/>
    <x v="5"/>
    <s v="Marketing Manager"/>
    <s v="B.A"/>
    <n v="134031"/>
    <n v="16"/>
    <n v="30"/>
    <n v="5"/>
    <n v="4"/>
    <n v="1"/>
    <n v="2"/>
    <s v="Yes"/>
    <s v="Travel_Frequently"/>
    <n v="6"/>
    <n v="29"/>
    <n v="2"/>
    <s v="No"/>
    <n v="6"/>
    <x v="1"/>
    <d v="2014-01-26T00:00:00"/>
    <m/>
    <s v="Active"/>
    <s v="46-55"/>
    <s v="10+ Years"/>
  </r>
  <r>
    <s v="EMP0878"/>
    <n v="52"/>
    <s v="Male"/>
    <x v="4"/>
    <s v="HR Manager"/>
    <s v="BBA"/>
    <n v="43069"/>
    <n v="0"/>
    <n v="31"/>
    <n v="1"/>
    <n v="2"/>
    <n v="3"/>
    <n v="3"/>
    <s v="No"/>
    <s v="Travel_Rarely"/>
    <n v="14"/>
    <n v="13"/>
    <n v="3"/>
    <s v="No"/>
    <n v="4"/>
    <x v="1"/>
    <d v="2020-07-28T00:00:00"/>
    <m/>
    <s v="Active"/>
    <s v="46-55"/>
    <s v="0-1 Year"/>
  </r>
  <r>
    <s v="EMP0879"/>
    <n v="31"/>
    <s v="Male"/>
    <x v="0"/>
    <s v="Financial Analyst"/>
    <s v="M.Tech"/>
    <n v="78877"/>
    <n v="4"/>
    <n v="8"/>
    <n v="3"/>
    <n v="4"/>
    <n v="1"/>
    <n v="1"/>
    <s v="Yes"/>
    <s v="Travel_Rarely"/>
    <n v="1"/>
    <n v="12"/>
    <n v="3"/>
    <s v="No"/>
    <n v="9"/>
    <x v="1"/>
    <d v="2014-04-20T00:00:00"/>
    <m/>
    <s v="Active"/>
    <s v="26-35"/>
    <s v="4-5 Years"/>
  </r>
  <r>
    <s v="EMP0880"/>
    <n v="49"/>
    <s v="Female"/>
    <x v="3"/>
    <s v="Operations Manager"/>
    <s v="B.Tech"/>
    <n v="131843"/>
    <n v="15"/>
    <n v="25"/>
    <n v="5"/>
    <n v="4"/>
    <n v="4"/>
    <n v="1"/>
    <s v="No"/>
    <s v="Travel_Rarely"/>
    <n v="17"/>
    <n v="18"/>
    <n v="3"/>
    <s v="No"/>
    <n v="2"/>
    <x v="1"/>
    <d v="2018-05-04T00:00:00"/>
    <m/>
    <s v="Active"/>
    <s v="46-55"/>
    <s v="10+ Years"/>
  </r>
  <r>
    <s v="EMP0881"/>
    <n v="57"/>
    <s v="Female"/>
    <x v="5"/>
    <s v="Marketing Manager"/>
    <s v="B.Com"/>
    <n v="84069"/>
    <n v="5"/>
    <n v="33"/>
    <n v="3"/>
    <n v="3"/>
    <n v="3"/>
    <n v="2"/>
    <s v="No"/>
    <s v="Travel_Frequently"/>
    <n v="3"/>
    <n v="51"/>
    <n v="3"/>
    <s v="No"/>
    <n v="4"/>
    <x v="1"/>
    <d v="2022-06-04T00:00:00"/>
    <m/>
    <s v="Active"/>
    <s v="56+"/>
    <s v="4-5 Years"/>
  </r>
  <r>
    <s v="EMP0882"/>
    <n v="22"/>
    <s v="Male"/>
    <x v="4"/>
    <s v="HR Manager"/>
    <s v="B.Com"/>
    <n v="59707"/>
    <n v="1"/>
    <n v="1"/>
    <n v="2"/>
    <n v="4"/>
    <n v="4"/>
    <n v="3"/>
    <s v="Yes"/>
    <s v="Travel_Rarely"/>
    <n v="14"/>
    <n v="16"/>
    <n v="3"/>
    <s v="No"/>
    <n v="3"/>
    <x v="1"/>
    <d v="2019-07-03T00:00:00"/>
    <m/>
    <s v="Active"/>
    <s v="18-25"/>
    <s v="0-1 Year"/>
  </r>
  <r>
    <s v="EMP0883"/>
    <n v="55"/>
    <s v="Male"/>
    <x v="2"/>
    <s v="IT Manager"/>
    <s v="B.Com"/>
    <n v="58734"/>
    <n v="1"/>
    <n v="33"/>
    <n v="2"/>
    <n v="2"/>
    <n v="2"/>
    <n v="2"/>
    <s v="No"/>
    <s v="Travel_Rarely"/>
    <n v="13"/>
    <n v="42"/>
    <n v="3"/>
    <s v="No"/>
    <n v="7"/>
    <x v="1"/>
    <d v="2018-06-07T00:00:00"/>
    <m/>
    <s v="Active"/>
    <s v="46-55"/>
    <s v="0-1 Year"/>
  </r>
  <r>
    <s v="EMP0884"/>
    <n v="25"/>
    <s v="Female"/>
    <x v="1"/>
    <s v="Sales Executive"/>
    <s v="B.Com"/>
    <n v="79243"/>
    <n v="3"/>
    <n v="4"/>
    <n v="3"/>
    <n v="2"/>
    <n v="3"/>
    <n v="3"/>
    <s v="Yes"/>
    <s v="Non-Travel"/>
    <n v="7"/>
    <n v="43"/>
    <n v="3"/>
    <s v="No"/>
    <n v="4"/>
    <x v="0"/>
    <d v="2017-04-14T00:00:00"/>
    <d v="2018-09-17T00:00:00"/>
    <s v="2018-09-17"/>
    <s v="18-25"/>
    <s v="2-3 Years"/>
  </r>
  <r>
    <s v="EMP0885"/>
    <n v="37"/>
    <s v="Male"/>
    <x v="3"/>
    <s v="Operations Executive"/>
    <s v="M.Tech"/>
    <n v="39721"/>
    <n v="1"/>
    <n v="13"/>
    <n v="1"/>
    <n v="2"/>
    <n v="2"/>
    <n v="2"/>
    <s v="No"/>
    <s v="Travel_Rarely"/>
    <n v="12"/>
    <n v="41"/>
    <n v="3"/>
    <s v="No"/>
    <n v="7"/>
    <x v="0"/>
    <d v="2015-06-15T00:00:00"/>
    <d v="2015-10-14T00:00:00"/>
    <s v="2015-10-14"/>
    <s v="36-45"/>
    <s v="0-1 Year"/>
  </r>
  <r>
    <s v="EMP0886"/>
    <n v="44"/>
    <s v="Male"/>
    <x v="4"/>
    <s v="HR Executive"/>
    <s v="M.Tech"/>
    <n v="137787"/>
    <n v="18"/>
    <n v="20"/>
    <n v="5"/>
    <n v="2"/>
    <n v="4"/>
    <n v="1"/>
    <s v="No"/>
    <s v="Travel_Rarely"/>
    <n v="29"/>
    <n v="16"/>
    <n v="3"/>
    <s v="Yes"/>
    <n v="6"/>
    <x v="1"/>
    <d v="2012-11-23T00:00:00"/>
    <m/>
    <s v="Active"/>
    <s v="36-45"/>
    <s v="10+ Years"/>
  </r>
  <r>
    <s v="EMP0887"/>
    <n v="52"/>
    <s v="Female"/>
    <x v="4"/>
    <s v="HR Manager"/>
    <s v="B.A"/>
    <n v="156033"/>
    <n v="27"/>
    <n v="30"/>
    <n v="5"/>
    <n v="3"/>
    <n v="2"/>
    <n v="1"/>
    <s v="No"/>
    <s v="Non-Travel"/>
    <n v="7"/>
    <n v="59"/>
    <n v="3"/>
    <s v="No"/>
    <n v="5"/>
    <x v="1"/>
    <d v="2021-05-14T00:00:00"/>
    <m/>
    <s v="Active"/>
    <s v="46-55"/>
    <s v="10+ Years"/>
  </r>
  <r>
    <s v="EMP0888"/>
    <n v="32"/>
    <s v="Male"/>
    <x v="0"/>
    <s v="Financial Analyst"/>
    <s v="M.Tech"/>
    <n v="101961"/>
    <n v="8"/>
    <n v="10"/>
    <n v="4"/>
    <n v="1"/>
    <n v="1"/>
    <n v="2"/>
    <s v="No"/>
    <s v="Travel_Rarely"/>
    <n v="20"/>
    <n v="32"/>
    <n v="2"/>
    <s v="No"/>
    <n v="5"/>
    <x v="1"/>
    <d v="2013-06-30T00:00:00"/>
    <m/>
    <s v="Active"/>
    <s v="26-35"/>
    <s v="6-10 Years"/>
  </r>
  <r>
    <s v="EMP0889"/>
    <n v="38"/>
    <s v="Female"/>
    <x v="4"/>
    <s v="HR Executive"/>
    <s v="B.Tech"/>
    <n v="40121"/>
    <n v="0"/>
    <n v="15"/>
    <n v="1"/>
    <n v="3"/>
    <n v="3"/>
    <n v="3"/>
    <s v="Yes"/>
    <s v="Travel_Frequently"/>
    <n v="29"/>
    <n v="35"/>
    <n v="3"/>
    <s v="No"/>
    <n v="2"/>
    <x v="1"/>
    <d v="2020-03-09T00:00:00"/>
    <m/>
    <s v="Active"/>
    <s v="36-45"/>
    <s v="0-1 Year"/>
  </r>
  <r>
    <s v="EMP0890"/>
    <n v="41"/>
    <s v="Female"/>
    <x v="0"/>
    <s v="Financial Analyst"/>
    <s v="B.Tech"/>
    <n v="102570"/>
    <n v="9"/>
    <n v="20"/>
    <n v="4"/>
    <n v="2"/>
    <n v="4"/>
    <n v="3"/>
    <s v="No"/>
    <s v="Travel_Frequently"/>
    <n v="13"/>
    <n v="36"/>
    <n v="4"/>
    <s v="No"/>
    <n v="8"/>
    <x v="1"/>
    <d v="2013-02-13T00:00:00"/>
    <m/>
    <s v="Active"/>
    <s v="36-45"/>
    <s v="6-10 Years"/>
  </r>
  <r>
    <s v="EMP0891"/>
    <n v="28"/>
    <s v="Male"/>
    <x v="1"/>
    <s v="Sales Executive"/>
    <s v="B.A"/>
    <n v="37601"/>
    <n v="0"/>
    <n v="4"/>
    <n v="1"/>
    <n v="4"/>
    <n v="3"/>
    <n v="4"/>
    <s v="Yes"/>
    <s v="Travel_Rarely"/>
    <n v="22"/>
    <n v="26"/>
    <n v="2"/>
    <s v="No"/>
    <n v="5"/>
    <x v="1"/>
    <d v="2022-06-22T00:00:00"/>
    <m/>
    <s v="Active"/>
    <s v="26-35"/>
    <s v="0-1 Year"/>
  </r>
  <r>
    <s v="EMP0892"/>
    <n v="45"/>
    <s v="Female"/>
    <x v="0"/>
    <s v="Financial Analyst"/>
    <s v="B.A"/>
    <n v="64970"/>
    <n v="5"/>
    <n v="22"/>
    <n v="2"/>
    <n v="4"/>
    <n v="3"/>
    <n v="1"/>
    <s v="Yes"/>
    <s v="Travel_Rarely"/>
    <n v="16"/>
    <n v="44"/>
    <n v="3"/>
    <s v="No"/>
    <n v="11"/>
    <x v="1"/>
    <d v="2017-06-11T00:00:00"/>
    <m/>
    <s v="Active"/>
    <s v="36-45"/>
    <s v="4-5 Years"/>
  </r>
  <r>
    <s v="EMP0893"/>
    <n v="31"/>
    <s v="Male"/>
    <x v="3"/>
    <s v="Operations Executive"/>
    <s v="BBA"/>
    <n v="42076"/>
    <n v="2"/>
    <n v="9"/>
    <n v="1"/>
    <n v="4"/>
    <n v="4"/>
    <n v="2"/>
    <s v="No"/>
    <s v="Travel_Frequently"/>
    <n v="22"/>
    <n v="20"/>
    <n v="4"/>
    <s v="No"/>
    <n v="3"/>
    <x v="0"/>
    <d v="2022-03-11T00:00:00"/>
    <d v="2024-01-06T00:00:00"/>
    <s v="2024-01-06"/>
    <s v="26-35"/>
    <s v="2-3 Years"/>
  </r>
  <r>
    <s v="EMP0894"/>
    <n v="40"/>
    <s v="Female"/>
    <x v="0"/>
    <s v="Finance Manager"/>
    <s v="BBA"/>
    <n v="107261"/>
    <n v="10"/>
    <n v="18"/>
    <n v="4"/>
    <n v="4"/>
    <n v="4"/>
    <n v="4"/>
    <s v="No"/>
    <s v="Travel_Rarely"/>
    <n v="20"/>
    <n v="31"/>
    <n v="3"/>
    <s v="No"/>
    <n v="9"/>
    <x v="1"/>
    <d v="2019-03-28T00:00:00"/>
    <m/>
    <s v="Active"/>
    <s v="36-45"/>
    <s v="6-10 Years"/>
  </r>
  <r>
    <s v="EMP0895"/>
    <n v="41"/>
    <s v="Female"/>
    <x v="0"/>
    <s v="Financial Analyst"/>
    <s v="MBA"/>
    <n v="134015"/>
    <n v="15"/>
    <n v="19"/>
    <n v="5"/>
    <n v="3"/>
    <n v="4"/>
    <n v="4"/>
    <s v="Yes"/>
    <s v="Travel_Rarely"/>
    <n v="23"/>
    <n v="19"/>
    <n v="2"/>
    <s v="No"/>
    <n v="5"/>
    <x v="1"/>
    <d v="2015-01-19T00:00:00"/>
    <m/>
    <s v="Active"/>
    <s v="36-45"/>
    <s v="10+ Years"/>
  </r>
  <r>
    <s v="EMP0896"/>
    <n v="57"/>
    <s v="Female"/>
    <x v="0"/>
    <s v="Finance Manager"/>
    <s v="B.A"/>
    <n v="62984"/>
    <n v="2"/>
    <n v="33"/>
    <n v="2"/>
    <n v="3"/>
    <n v="4"/>
    <n v="2"/>
    <s v="No"/>
    <s v="Non-Travel"/>
    <n v="13"/>
    <n v="26"/>
    <n v="3"/>
    <s v="No"/>
    <n v="5"/>
    <x v="0"/>
    <d v="2012-12-18T00:00:00"/>
    <d v="2013-07-21T00:00:00"/>
    <s v="2013-07-21"/>
    <s v="56+"/>
    <s v="2-3 Years"/>
  </r>
  <r>
    <s v="EMP0897"/>
    <n v="34"/>
    <s v="Male"/>
    <x v="0"/>
    <s v="Finance Manager"/>
    <s v="M.Tech"/>
    <n v="103820"/>
    <n v="7"/>
    <n v="10"/>
    <n v="4"/>
    <n v="4"/>
    <n v="3"/>
    <n v="1"/>
    <s v="Yes"/>
    <s v="Non-Travel"/>
    <n v="25"/>
    <n v="50"/>
    <n v="3"/>
    <s v="No"/>
    <n v="8"/>
    <x v="1"/>
    <d v="2012-11-10T00:00:00"/>
    <m/>
    <s v="Active"/>
    <s v="26-35"/>
    <s v="6-10 Years"/>
  </r>
  <r>
    <s v="EMP0898"/>
    <n v="55"/>
    <s v="Male"/>
    <x v="3"/>
    <s v="Operations Manager"/>
    <s v="MBA"/>
    <n v="155630"/>
    <n v="26"/>
    <n v="31"/>
    <n v="5"/>
    <n v="2"/>
    <n v="3"/>
    <n v="2"/>
    <s v="Yes"/>
    <s v="Travel_Rarely"/>
    <n v="21"/>
    <n v="50"/>
    <n v="3"/>
    <s v="No"/>
    <n v="8"/>
    <x v="1"/>
    <d v="2021-12-25T00:00:00"/>
    <m/>
    <s v="Active"/>
    <s v="46-55"/>
    <s v="10+ Years"/>
  </r>
  <r>
    <s v="EMP0899"/>
    <n v="42"/>
    <s v="Male"/>
    <x v="1"/>
    <s v="Sales Manager"/>
    <s v="B.A"/>
    <n v="99365"/>
    <n v="7"/>
    <n v="18"/>
    <n v="4"/>
    <n v="3"/>
    <n v="2"/>
    <n v="2"/>
    <s v="No"/>
    <s v="Travel_Rarely"/>
    <n v="9"/>
    <n v="54"/>
    <n v="3"/>
    <s v="No"/>
    <n v="7"/>
    <x v="1"/>
    <d v="2014-06-06T00:00:00"/>
    <m/>
    <s v="Active"/>
    <s v="36-45"/>
    <s v="6-10 Years"/>
  </r>
  <r>
    <s v="EMP0900"/>
    <n v="38"/>
    <s v="Female"/>
    <x v="1"/>
    <s v="Sales Executive"/>
    <s v="MBA"/>
    <n v="124269"/>
    <n v="11"/>
    <n v="17"/>
    <n v="5"/>
    <n v="1"/>
    <n v="1"/>
    <n v="1"/>
    <s v="No"/>
    <s v="Travel_Rarely"/>
    <n v="1"/>
    <n v="48"/>
    <n v="3"/>
    <s v="Yes"/>
    <n v="5"/>
    <x v="1"/>
    <d v="2015-05-22T00:00:00"/>
    <m/>
    <s v="Active"/>
    <s v="36-45"/>
    <s v="10+ Years"/>
  </r>
  <r>
    <s v="EMP0901"/>
    <n v="27"/>
    <s v="Female"/>
    <x v="1"/>
    <s v="Sales Manager"/>
    <s v="BBA"/>
    <n v="56619"/>
    <n v="0"/>
    <n v="4"/>
    <n v="2"/>
    <n v="2"/>
    <n v="3"/>
    <n v="4"/>
    <s v="No"/>
    <s v="Travel_Rarely"/>
    <n v="21"/>
    <n v="10"/>
    <n v="3"/>
    <s v="No"/>
    <n v="3"/>
    <x v="1"/>
    <d v="2015-10-08T00:00:00"/>
    <m/>
    <s v="Active"/>
    <s v="26-35"/>
    <s v="0-1 Year"/>
  </r>
  <r>
    <s v="EMP0902"/>
    <n v="32"/>
    <s v="Female"/>
    <x v="1"/>
    <s v="Sales Executive"/>
    <s v="M.Tech"/>
    <n v="66409"/>
    <n v="5"/>
    <n v="9"/>
    <n v="2"/>
    <n v="4"/>
    <n v="4"/>
    <n v="4"/>
    <s v="No"/>
    <s v="Travel_Rarely"/>
    <n v="9"/>
    <n v="44"/>
    <n v="3"/>
    <s v="Yes"/>
    <n v="3"/>
    <x v="1"/>
    <d v="2014-05-17T00:00:00"/>
    <m/>
    <s v="Active"/>
    <s v="26-35"/>
    <s v="4-5 Years"/>
  </r>
  <r>
    <s v="EMP0903"/>
    <n v="31"/>
    <s v="Female"/>
    <x v="1"/>
    <s v="Sales Executive"/>
    <s v="M.Tech"/>
    <n v="101381"/>
    <n v="8"/>
    <n v="8"/>
    <n v="4"/>
    <n v="3"/>
    <n v="4"/>
    <n v="1"/>
    <s v="No"/>
    <s v="Travel_Rarely"/>
    <n v="25"/>
    <n v="53"/>
    <n v="3"/>
    <s v="Yes"/>
    <n v="6"/>
    <x v="1"/>
    <d v="2020-11-03T00:00:00"/>
    <m/>
    <s v="Active"/>
    <s v="26-35"/>
    <s v="6-10 Years"/>
  </r>
  <r>
    <s v="EMP0904"/>
    <n v="49"/>
    <s v="Male"/>
    <x v="5"/>
    <s v="Marketing Analyst"/>
    <s v="M.Tech"/>
    <n v="64539"/>
    <n v="3"/>
    <n v="25"/>
    <n v="2"/>
    <n v="1"/>
    <n v="2"/>
    <n v="4"/>
    <s v="No"/>
    <s v="Travel_Rarely"/>
    <n v="13"/>
    <n v="11"/>
    <n v="4"/>
    <s v="No"/>
    <n v="4"/>
    <x v="1"/>
    <d v="2020-06-07T00:00:00"/>
    <m/>
    <s v="Active"/>
    <s v="46-55"/>
    <s v="2-3 Years"/>
  </r>
  <r>
    <s v="EMP0905"/>
    <n v="49"/>
    <s v="Male"/>
    <x v="1"/>
    <s v="Sales Executive"/>
    <s v="B.Com"/>
    <n v="143289"/>
    <n v="22"/>
    <n v="27"/>
    <n v="5"/>
    <n v="2"/>
    <n v="1"/>
    <n v="2"/>
    <s v="No"/>
    <s v="Travel_Rarely"/>
    <n v="7"/>
    <n v="38"/>
    <n v="3"/>
    <s v="No"/>
    <n v="6"/>
    <x v="1"/>
    <d v="2014-10-17T00:00:00"/>
    <m/>
    <s v="Active"/>
    <s v="46-55"/>
    <s v="10+ Years"/>
  </r>
  <r>
    <s v="EMP0906"/>
    <n v="27"/>
    <s v="Female"/>
    <x v="3"/>
    <s v="Operations Executive"/>
    <s v="B.Com"/>
    <n v="41546"/>
    <n v="2"/>
    <n v="4"/>
    <n v="1"/>
    <n v="3"/>
    <n v="3"/>
    <n v="2"/>
    <s v="No"/>
    <s v="Travel_Rarely"/>
    <n v="6"/>
    <n v="55"/>
    <n v="3"/>
    <s v="No"/>
    <n v="6"/>
    <x v="0"/>
    <d v="2022-05-24T00:00:00"/>
    <d v="2024-12-03T00:00:00"/>
    <s v="2024-12-03"/>
    <s v="26-35"/>
    <s v="2-3 Years"/>
  </r>
  <r>
    <s v="EMP0907"/>
    <n v="45"/>
    <s v="Male"/>
    <x v="0"/>
    <s v="Finance Manager"/>
    <s v="BBA"/>
    <n v="82963"/>
    <n v="6"/>
    <n v="23"/>
    <n v="3"/>
    <n v="3"/>
    <n v="3"/>
    <n v="4"/>
    <s v="No"/>
    <s v="Travel_Rarely"/>
    <n v="19"/>
    <n v="36"/>
    <n v="3"/>
    <s v="Yes"/>
    <n v="6"/>
    <x v="0"/>
    <d v="2014-09-14T00:00:00"/>
    <d v="2015-04-25T00:00:00"/>
    <s v="2015-04-25"/>
    <s v="36-45"/>
    <s v="6-10 Years"/>
  </r>
  <r>
    <s v="EMP0908"/>
    <n v="54"/>
    <s v="Male"/>
    <x v="1"/>
    <s v="Sales Executive"/>
    <s v="B.A"/>
    <n v="148381"/>
    <n v="25"/>
    <n v="31"/>
    <n v="5"/>
    <n v="3"/>
    <n v="1"/>
    <n v="2"/>
    <s v="Yes"/>
    <s v="Travel_Rarely"/>
    <n v="27"/>
    <n v="24"/>
    <n v="3"/>
    <s v="No"/>
    <n v="4"/>
    <x v="1"/>
    <d v="2020-10-21T00:00:00"/>
    <m/>
    <s v="Active"/>
    <s v="46-55"/>
    <s v="10+ Years"/>
  </r>
  <r>
    <s v="EMP0909"/>
    <n v="48"/>
    <s v="Female"/>
    <x v="4"/>
    <s v="HR Manager"/>
    <s v="MBA"/>
    <n v="57996"/>
    <n v="1"/>
    <n v="25"/>
    <n v="2"/>
    <n v="1"/>
    <n v="4"/>
    <n v="4"/>
    <s v="No"/>
    <s v="Non-Travel"/>
    <n v="24"/>
    <n v="50"/>
    <n v="3"/>
    <s v="No"/>
    <n v="3"/>
    <x v="1"/>
    <d v="2012-01-26T00:00:00"/>
    <m/>
    <s v="Active"/>
    <s v="46-55"/>
    <s v="0-1 Year"/>
  </r>
  <r>
    <s v="EMP0910"/>
    <n v="40"/>
    <s v="Female"/>
    <x v="0"/>
    <s v="Finance Manager"/>
    <s v="BBA"/>
    <n v="84362"/>
    <n v="5"/>
    <n v="17"/>
    <n v="3"/>
    <n v="1"/>
    <n v="3"/>
    <n v="1"/>
    <s v="Yes"/>
    <s v="Travel_Rarely"/>
    <n v="5"/>
    <n v="40"/>
    <n v="3"/>
    <s v="No"/>
    <n v="2"/>
    <x v="0"/>
    <d v="2022-09-01T00:00:00"/>
    <d v="2025-03-27T00:00:00"/>
    <s v="2025-03-27"/>
    <s v="36-45"/>
    <s v="4-5 Years"/>
  </r>
  <r>
    <s v="EMP0911"/>
    <n v="45"/>
    <s v="Female"/>
    <x v="2"/>
    <s v="Data Analyst"/>
    <s v="B.A"/>
    <n v="86310"/>
    <n v="8"/>
    <n v="21"/>
    <n v="3"/>
    <n v="4"/>
    <n v="2"/>
    <n v="3"/>
    <s v="No"/>
    <s v="Travel_Rarely"/>
    <n v="12"/>
    <n v="47"/>
    <n v="3"/>
    <s v="Yes"/>
    <n v="4"/>
    <x v="1"/>
    <d v="2014-12-13T00:00:00"/>
    <m/>
    <s v="Active"/>
    <s v="36-45"/>
    <s v="6-10 Years"/>
  </r>
  <r>
    <s v="EMP0912"/>
    <n v="39"/>
    <s v="Female"/>
    <x v="0"/>
    <s v="Finance Manager"/>
    <s v="B.A"/>
    <n v="130294"/>
    <n v="15"/>
    <n v="17"/>
    <n v="5"/>
    <n v="4"/>
    <n v="4"/>
    <n v="2"/>
    <s v="No"/>
    <s v="Travel_Rarely"/>
    <n v="16"/>
    <n v="26"/>
    <n v="3"/>
    <s v="No"/>
    <n v="1"/>
    <x v="0"/>
    <d v="2022-10-26T00:00:00"/>
    <d v="2023-07-23T00:00:00"/>
    <s v="2023-07-23"/>
    <s v="36-45"/>
    <s v="10+ Years"/>
  </r>
  <r>
    <s v="EMP0913"/>
    <n v="41"/>
    <s v="Male"/>
    <x v="5"/>
    <s v="Marketing Manager"/>
    <s v="B.A"/>
    <n v="78727"/>
    <n v="3"/>
    <n v="18"/>
    <n v="3"/>
    <n v="1"/>
    <n v="1"/>
    <n v="1"/>
    <s v="No"/>
    <s v="Travel_Frequently"/>
    <n v="6"/>
    <n v="26"/>
    <n v="3"/>
    <s v="No"/>
    <n v="7"/>
    <x v="1"/>
    <d v="2016-11-12T00:00:00"/>
    <m/>
    <s v="Active"/>
    <s v="36-45"/>
    <s v="2-3 Years"/>
  </r>
  <r>
    <s v="EMP0914"/>
    <n v="55"/>
    <s v="Male"/>
    <x v="5"/>
    <s v="Marketing Analyst"/>
    <s v="M.Tech"/>
    <n v="128592"/>
    <n v="15"/>
    <n v="33"/>
    <n v="5"/>
    <n v="1"/>
    <n v="1"/>
    <n v="4"/>
    <s v="Yes"/>
    <s v="Travel_Frequently"/>
    <n v="25"/>
    <n v="39"/>
    <n v="3"/>
    <s v="Yes"/>
    <n v="6"/>
    <x v="1"/>
    <d v="2022-05-07T00:00:00"/>
    <m/>
    <s v="Active"/>
    <s v="46-55"/>
    <s v="10+ Years"/>
  </r>
  <r>
    <s v="EMP0915"/>
    <n v="26"/>
    <s v="Female"/>
    <x v="3"/>
    <s v="Operations Executive"/>
    <s v="B.A"/>
    <n v="62418"/>
    <n v="2"/>
    <n v="3"/>
    <n v="2"/>
    <n v="1"/>
    <n v="3"/>
    <n v="2"/>
    <s v="Yes"/>
    <s v="Travel_Frequently"/>
    <n v="28"/>
    <n v="38"/>
    <n v="3"/>
    <s v="No"/>
    <n v="4"/>
    <x v="1"/>
    <d v="2019-09-16T00:00:00"/>
    <m/>
    <s v="Active"/>
    <s v="26-35"/>
    <s v="2-3 Years"/>
  </r>
  <r>
    <s v="EMP0916"/>
    <n v="32"/>
    <s v="Female"/>
    <x v="1"/>
    <s v="Sales Manager"/>
    <s v="B.A"/>
    <n v="79504"/>
    <n v="6"/>
    <n v="10"/>
    <n v="3"/>
    <n v="2"/>
    <n v="3"/>
    <n v="4"/>
    <s v="No"/>
    <s v="Travel_Rarely"/>
    <n v="7"/>
    <n v="52"/>
    <n v="3"/>
    <s v="Yes"/>
    <n v="4"/>
    <x v="1"/>
    <d v="2014-12-05T00:00:00"/>
    <m/>
    <s v="Active"/>
    <s v="26-35"/>
    <s v="6-10 Years"/>
  </r>
  <r>
    <s v="EMP0917"/>
    <n v="33"/>
    <s v="Female"/>
    <x v="2"/>
    <s v="Software Engineer"/>
    <s v="B.A"/>
    <n v="79628"/>
    <n v="5"/>
    <n v="10"/>
    <n v="3"/>
    <n v="2"/>
    <n v="4"/>
    <n v="2"/>
    <s v="No"/>
    <s v="Travel_Rarely"/>
    <n v="7"/>
    <n v="12"/>
    <n v="3"/>
    <s v="Yes"/>
    <n v="6"/>
    <x v="1"/>
    <d v="2020-03-15T00:00:00"/>
    <m/>
    <s v="Active"/>
    <s v="26-35"/>
    <s v="4-5 Years"/>
  </r>
  <r>
    <s v="EMP0918"/>
    <n v="38"/>
    <s v="Female"/>
    <x v="2"/>
    <s v="IT Manager"/>
    <s v="B.A"/>
    <n v="64121"/>
    <n v="3"/>
    <n v="14"/>
    <n v="2"/>
    <n v="2"/>
    <n v="1"/>
    <n v="2"/>
    <s v="No"/>
    <s v="Travel_Frequently"/>
    <n v="1"/>
    <n v="56"/>
    <n v="2"/>
    <s v="No"/>
    <n v="7"/>
    <x v="1"/>
    <d v="2016-02-02T00:00:00"/>
    <m/>
    <s v="Active"/>
    <s v="36-45"/>
    <s v="2-3 Years"/>
  </r>
  <r>
    <s v="EMP0919"/>
    <n v="22"/>
    <s v="Male"/>
    <x v="4"/>
    <s v="HR Executive"/>
    <s v="B.A"/>
    <n v="54891"/>
    <n v="0"/>
    <n v="1"/>
    <n v="2"/>
    <n v="3"/>
    <n v="4"/>
    <n v="3"/>
    <s v="No"/>
    <s v="Travel_Frequently"/>
    <n v="1"/>
    <n v="43"/>
    <n v="3"/>
    <s v="No"/>
    <n v="5"/>
    <x v="1"/>
    <d v="2022-12-07T00:00:00"/>
    <m/>
    <s v="Active"/>
    <s v="18-25"/>
    <s v="0-1 Year"/>
  </r>
  <r>
    <s v="EMP0920"/>
    <n v="24"/>
    <s v="Female"/>
    <x v="4"/>
    <s v="HR Manager"/>
    <s v="BBA"/>
    <n v="44168"/>
    <n v="2"/>
    <n v="2"/>
    <n v="1"/>
    <n v="3"/>
    <n v="4"/>
    <n v="2"/>
    <s v="No"/>
    <s v="Non-Travel"/>
    <n v="13"/>
    <n v="25"/>
    <n v="3"/>
    <s v="No"/>
    <n v="3"/>
    <x v="0"/>
    <d v="2020-06-11T00:00:00"/>
    <d v="2023-03-07T00:00:00"/>
    <s v="2023-03-07"/>
    <s v="18-25"/>
    <s v="2-3 Years"/>
  </r>
  <r>
    <s v="EMP0921"/>
    <n v="53"/>
    <s v="Male"/>
    <x v="2"/>
    <s v="IT Manager"/>
    <s v="B.Com"/>
    <n v="148805"/>
    <n v="23"/>
    <n v="32"/>
    <n v="5"/>
    <n v="4"/>
    <n v="2"/>
    <n v="1"/>
    <s v="Yes"/>
    <s v="Travel_Rarely"/>
    <n v="3"/>
    <n v="22"/>
    <n v="2"/>
    <s v="No"/>
    <n v="4"/>
    <x v="1"/>
    <d v="2022-10-28T00:00:00"/>
    <m/>
    <s v="Active"/>
    <s v="46-55"/>
    <s v="10+ Years"/>
  </r>
  <r>
    <s v="EMP0922"/>
    <n v="40"/>
    <s v="Male"/>
    <x v="4"/>
    <s v="HR Manager"/>
    <s v="M.Tech"/>
    <n v="60814"/>
    <n v="2"/>
    <n v="16"/>
    <n v="2"/>
    <n v="4"/>
    <n v="1"/>
    <n v="3"/>
    <s v="No"/>
    <s v="Travel_Rarely"/>
    <n v="29"/>
    <n v="53"/>
    <n v="3"/>
    <s v="No"/>
    <n v="4"/>
    <x v="1"/>
    <d v="2020-02-15T00:00:00"/>
    <m/>
    <s v="Active"/>
    <s v="36-45"/>
    <s v="2-3 Years"/>
  </r>
  <r>
    <s v="EMP0923"/>
    <n v="28"/>
    <s v="Male"/>
    <x v="1"/>
    <s v="Sales Manager"/>
    <s v="B.Com"/>
    <n v="56382"/>
    <n v="2"/>
    <n v="5"/>
    <n v="2"/>
    <n v="3"/>
    <n v="1"/>
    <n v="2"/>
    <s v="No"/>
    <s v="Travel_Frequently"/>
    <n v="4"/>
    <n v="36"/>
    <n v="3"/>
    <s v="No"/>
    <n v="4"/>
    <x v="1"/>
    <d v="2013-03-16T00:00:00"/>
    <m/>
    <s v="Active"/>
    <s v="26-35"/>
    <s v="2-3 Years"/>
  </r>
  <r>
    <s v="EMP0924"/>
    <n v="33"/>
    <s v="Female"/>
    <x v="1"/>
    <s v="Sales Manager"/>
    <s v="BBA"/>
    <n v="103194"/>
    <n v="9"/>
    <n v="11"/>
    <n v="4"/>
    <n v="1"/>
    <n v="2"/>
    <n v="3"/>
    <s v="No"/>
    <s v="Travel_Rarely"/>
    <n v="14"/>
    <n v="12"/>
    <n v="3"/>
    <s v="Yes"/>
    <n v="3"/>
    <x v="1"/>
    <d v="2023-09-05T00:00:00"/>
    <m/>
    <s v="Active"/>
    <s v="26-35"/>
    <s v="6-10 Years"/>
  </r>
  <r>
    <s v="EMP0925"/>
    <n v="39"/>
    <s v="Female"/>
    <x v="5"/>
    <s v="Marketing Manager"/>
    <s v="M.Tech"/>
    <n v="57286"/>
    <n v="2"/>
    <n v="15"/>
    <n v="2"/>
    <n v="3"/>
    <n v="1"/>
    <n v="3"/>
    <s v="Yes"/>
    <s v="Non-Travel"/>
    <n v="29"/>
    <n v="44"/>
    <n v="3"/>
    <s v="No"/>
    <n v="10"/>
    <x v="1"/>
    <d v="2020-03-10T00:00:00"/>
    <m/>
    <s v="Active"/>
    <s v="36-45"/>
    <s v="2-3 Years"/>
  </r>
  <r>
    <s v="EMP0926"/>
    <n v="31"/>
    <s v="Female"/>
    <x v="4"/>
    <s v="HR Manager"/>
    <s v="B.Com"/>
    <n v="61057"/>
    <n v="4"/>
    <n v="9"/>
    <n v="2"/>
    <n v="4"/>
    <n v="4"/>
    <n v="3"/>
    <s v="Yes"/>
    <s v="Travel_Rarely"/>
    <n v="13"/>
    <n v="48"/>
    <n v="4"/>
    <s v="No"/>
    <n v="6"/>
    <x v="1"/>
    <d v="2021-04-15T00:00:00"/>
    <m/>
    <s v="Active"/>
    <s v="26-35"/>
    <s v="4-5 Years"/>
  </r>
  <r>
    <s v="EMP0927"/>
    <n v="44"/>
    <s v="Male"/>
    <x v="4"/>
    <s v="HR Executive"/>
    <s v="B.Com"/>
    <n v="130141"/>
    <n v="14"/>
    <n v="20"/>
    <n v="5"/>
    <n v="2"/>
    <n v="3"/>
    <n v="1"/>
    <s v="Yes"/>
    <s v="Travel_Rarely"/>
    <n v="27"/>
    <n v="11"/>
    <n v="3"/>
    <s v="Yes"/>
    <n v="8"/>
    <x v="1"/>
    <d v="2017-08-30T00:00:00"/>
    <m/>
    <s v="Active"/>
    <s v="36-45"/>
    <s v="10+ Years"/>
  </r>
  <r>
    <s v="EMP0928"/>
    <n v="58"/>
    <s v="Male"/>
    <x v="4"/>
    <s v="HR Manager"/>
    <s v="M.Tech"/>
    <n v="140017"/>
    <n v="20"/>
    <n v="35"/>
    <n v="5"/>
    <n v="1"/>
    <n v="3"/>
    <n v="1"/>
    <s v="No"/>
    <s v="Non-Travel"/>
    <n v="14"/>
    <n v="28"/>
    <n v="4"/>
    <s v="No"/>
    <n v="2"/>
    <x v="1"/>
    <d v="2013-05-19T00:00:00"/>
    <m/>
    <s v="Active"/>
    <s v="56+"/>
    <s v="10+ Years"/>
  </r>
  <r>
    <s v="EMP0929"/>
    <n v="57"/>
    <s v="Female"/>
    <x v="2"/>
    <s v="Software Engineer"/>
    <s v="BBA"/>
    <n v="129422"/>
    <n v="15"/>
    <n v="33"/>
    <n v="5"/>
    <n v="1"/>
    <n v="1"/>
    <n v="2"/>
    <s v="No"/>
    <s v="Travel_Rarely"/>
    <n v="20"/>
    <n v="37"/>
    <n v="3"/>
    <s v="No"/>
    <n v="1"/>
    <x v="1"/>
    <d v="2023-10-03T00:00:00"/>
    <m/>
    <s v="Active"/>
    <s v="56+"/>
    <s v="10+ Years"/>
  </r>
  <r>
    <s v="EMP0930"/>
    <n v="24"/>
    <s v="Female"/>
    <x v="5"/>
    <s v="Marketing Analyst"/>
    <s v="MBA"/>
    <n v="61459"/>
    <n v="1"/>
    <n v="1"/>
    <n v="2"/>
    <n v="3"/>
    <n v="1"/>
    <n v="2"/>
    <s v="No"/>
    <s v="Travel_Rarely"/>
    <n v="9"/>
    <n v="31"/>
    <n v="3"/>
    <s v="No"/>
    <n v="3"/>
    <x v="1"/>
    <d v="2017-11-03T00:00:00"/>
    <m/>
    <s v="Active"/>
    <s v="18-25"/>
    <s v="0-1 Year"/>
  </r>
  <r>
    <s v="EMP0931"/>
    <n v="26"/>
    <s v="Male"/>
    <x v="3"/>
    <s v="Operations Executive"/>
    <s v="B.Tech"/>
    <n v="41320"/>
    <n v="0"/>
    <n v="3"/>
    <n v="1"/>
    <n v="3"/>
    <n v="2"/>
    <n v="2"/>
    <s v="No"/>
    <s v="Non-Travel"/>
    <n v="29"/>
    <n v="22"/>
    <n v="3"/>
    <s v="No"/>
    <n v="5"/>
    <x v="1"/>
    <d v="2020-09-01T00:00:00"/>
    <m/>
    <s v="Active"/>
    <s v="26-35"/>
    <s v="0-1 Year"/>
  </r>
  <r>
    <s v="EMP0932"/>
    <n v="48"/>
    <s v="Female"/>
    <x v="4"/>
    <s v="HR Manager"/>
    <s v="B.Tech"/>
    <n v="57679"/>
    <n v="2"/>
    <n v="24"/>
    <n v="2"/>
    <n v="4"/>
    <n v="2"/>
    <n v="4"/>
    <s v="No"/>
    <s v="Non-Travel"/>
    <n v="10"/>
    <n v="29"/>
    <n v="3"/>
    <s v="No"/>
    <n v="9"/>
    <x v="1"/>
    <d v="2012-08-18T00:00:00"/>
    <m/>
    <s v="Active"/>
    <s v="46-55"/>
    <s v="2-3 Years"/>
  </r>
  <r>
    <s v="EMP0933"/>
    <n v="32"/>
    <s v="Male"/>
    <x v="3"/>
    <s v="Operations Executive"/>
    <s v="M.Tech"/>
    <n v="58628"/>
    <n v="1"/>
    <n v="10"/>
    <n v="2"/>
    <n v="1"/>
    <n v="3"/>
    <n v="4"/>
    <s v="No"/>
    <s v="Travel_Rarely"/>
    <n v="27"/>
    <n v="31"/>
    <n v="2"/>
    <s v="No"/>
    <n v="6"/>
    <x v="1"/>
    <d v="2022-11-25T00:00:00"/>
    <m/>
    <s v="Active"/>
    <s v="26-35"/>
    <s v="0-1 Year"/>
  </r>
  <r>
    <s v="EMP0934"/>
    <n v="30"/>
    <s v="Male"/>
    <x v="1"/>
    <s v="Sales Executive"/>
    <s v="MBA"/>
    <n v="98699"/>
    <n v="8"/>
    <n v="9"/>
    <n v="4"/>
    <n v="1"/>
    <n v="2"/>
    <n v="3"/>
    <s v="No"/>
    <s v="Travel_Rarely"/>
    <n v="1"/>
    <n v="54"/>
    <n v="3"/>
    <s v="No"/>
    <n v="13"/>
    <x v="1"/>
    <d v="2022-03-15T00:00:00"/>
    <m/>
    <s v="Active"/>
    <s v="26-35"/>
    <s v="6-10 Years"/>
  </r>
  <r>
    <s v="EMP0935"/>
    <n v="25"/>
    <s v="Male"/>
    <x v="4"/>
    <s v="HR Manager"/>
    <s v="M.Tech"/>
    <n v="58081"/>
    <n v="2"/>
    <n v="2"/>
    <n v="2"/>
    <n v="3"/>
    <n v="4"/>
    <n v="1"/>
    <s v="No"/>
    <s v="Travel_Rarely"/>
    <n v="22"/>
    <n v="50"/>
    <n v="3"/>
    <s v="No"/>
    <n v="4"/>
    <x v="1"/>
    <d v="2019-07-05T00:00:00"/>
    <m/>
    <s v="Active"/>
    <s v="18-25"/>
    <s v="2-3 Years"/>
  </r>
  <r>
    <s v="EMP0936"/>
    <n v="55"/>
    <s v="Male"/>
    <x v="3"/>
    <s v="Operations Manager"/>
    <s v="B.Com"/>
    <n v="125040"/>
    <n v="12"/>
    <n v="31"/>
    <n v="5"/>
    <n v="3"/>
    <n v="2"/>
    <n v="4"/>
    <s v="No"/>
    <s v="Travel_Rarely"/>
    <n v="7"/>
    <n v="32"/>
    <n v="3"/>
    <s v="Yes"/>
    <n v="4"/>
    <x v="1"/>
    <d v="2018-07-17T00:00:00"/>
    <m/>
    <s v="Active"/>
    <s v="46-55"/>
    <s v="10+ Years"/>
  </r>
  <r>
    <s v="EMP0937"/>
    <n v="43"/>
    <s v="Male"/>
    <x v="3"/>
    <s v="Operations Executive"/>
    <s v="MBA"/>
    <n v="134453"/>
    <n v="16"/>
    <n v="20"/>
    <n v="5"/>
    <n v="4"/>
    <n v="3"/>
    <n v="4"/>
    <s v="No"/>
    <s v="Travel_Frequently"/>
    <n v="14"/>
    <n v="53"/>
    <n v="3"/>
    <s v="No"/>
    <n v="3"/>
    <x v="0"/>
    <d v="2023-09-26T00:00:00"/>
    <d v="2025-10-08T00:00:00"/>
    <s v="2025-10-08"/>
    <s v="36-45"/>
    <s v="10+ Years"/>
  </r>
  <r>
    <s v="EMP0938"/>
    <n v="36"/>
    <s v="Male"/>
    <x v="0"/>
    <s v="Financial Analyst"/>
    <s v="MBA"/>
    <n v="66885"/>
    <n v="5"/>
    <n v="14"/>
    <n v="2"/>
    <n v="3"/>
    <n v="2"/>
    <n v="2"/>
    <s v="No"/>
    <s v="Travel_Rarely"/>
    <n v="13"/>
    <n v="16"/>
    <n v="3"/>
    <s v="No"/>
    <n v="4"/>
    <x v="1"/>
    <d v="2020-04-05T00:00:00"/>
    <m/>
    <s v="Active"/>
    <s v="36-45"/>
    <s v="4-5 Years"/>
  </r>
  <r>
    <s v="EMP0939"/>
    <n v="54"/>
    <s v="Male"/>
    <x v="4"/>
    <s v="HR Executive"/>
    <s v="M.Tech"/>
    <n v="128323"/>
    <n v="15"/>
    <n v="33"/>
    <n v="5"/>
    <n v="2"/>
    <n v="3"/>
    <n v="1"/>
    <s v="No"/>
    <s v="Non-Travel"/>
    <n v="20"/>
    <n v="11"/>
    <n v="3"/>
    <s v="Yes"/>
    <n v="2"/>
    <x v="1"/>
    <d v="2012-02-01T00:00:00"/>
    <m/>
    <s v="Active"/>
    <s v="46-55"/>
    <s v="10+ Years"/>
  </r>
  <r>
    <s v="EMP0940"/>
    <n v="57"/>
    <s v="Female"/>
    <x v="4"/>
    <s v="HR Manager"/>
    <s v="BBA"/>
    <n v="57909"/>
    <n v="1"/>
    <n v="34"/>
    <n v="2"/>
    <n v="4"/>
    <n v="3"/>
    <n v="1"/>
    <s v="No"/>
    <s v="Travel_Rarely"/>
    <n v="1"/>
    <n v="24"/>
    <n v="3"/>
    <s v="No"/>
    <n v="4"/>
    <x v="1"/>
    <d v="2014-02-27T00:00:00"/>
    <m/>
    <s v="Active"/>
    <s v="56+"/>
    <s v="0-1 Year"/>
  </r>
  <r>
    <s v="EMP0941"/>
    <n v="59"/>
    <s v="Male"/>
    <x v="0"/>
    <s v="Financial Analyst"/>
    <s v="BBA"/>
    <n v="142203"/>
    <n v="20"/>
    <n v="36"/>
    <n v="5"/>
    <n v="1"/>
    <n v="3"/>
    <n v="4"/>
    <s v="No"/>
    <s v="Travel_Frequently"/>
    <n v="25"/>
    <n v="41"/>
    <n v="3"/>
    <s v="Yes"/>
    <n v="3"/>
    <x v="0"/>
    <d v="2017-04-15T00:00:00"/>
    <d v="2018-10-14T00:00:00"/>
    <s v="2018-10-14"/>
    <s v="56+"/>
    <s v="10+ Years"/>
  </r>
  <r>
    <s v="EMP0942"/>
    <n v="23"/>
    <s v="Male"/>
    <x v="5"/>
    <s v="Marketing Manager"/>
    <s v="B.Tech"/>
    <n v="44457"/>
    <n v="0"/>
    <n v="2"/>
    <n v="1"/>
    <n v="3"/>
    <n v="1"/>
    <n v="3"/>
    <s v="No"/>
    <s v="Travel_Rarely"/>
    <n v="15"/>
    <n v="46"/>
    <n v="2"/>
    <s v="No"/>
    <n v="3"/>
    <x v="1"/>
    <d v="2021-03-21T00:00:00"/>
    <m/>
    <s v="Active"/>
    <s v="18-25"/>
    <s v="0-1 Year"/>
  </r>
  <r>
    <s v="EMP0943"/>
    <n v="32"/>
    <s v="Male"/>
    <x v="1"/>
    <s v="Sales Manager"/>
    <s v="MBA"/>
    <n v="42154"/>
    <n v="0"/>
    <n v="9"/>
    <n v="1"/>
    <n v="2"/>
    <n v="4"/>
    <n v="4"/>
    <s v="No"/>
    <s v="Travel_Rarely"/>
    <n v="16"/>
    <n v="36"/>
    <n v="3"/>
    <s v="No"/>
    <n v="4"/>
    <x v="1"/>
    <d v="2014-11-07T00:00:00"/>
    <m/>
    <s v="Active"/>
    <s v="26-35"/>
    <s v="0-1 Year"/>
  </r>
  <r>
    <s v="EMP0944"/>
    <n v="48"/>
    <s v="Male"/>
    <x v="4"/>
    <s v="HR Manager"/>
    <s v="MBA"/>
    <n v="134299"/>
    <n v="15"/>
    <n v="25"/>
    <n v="5"/>
    <n v="1"/>
    <n v="2"/>
    <n v="4"/>
    <s v="No"/>
    <s v="Travel_Rarely"/>
    <n v="4"/>
    <n v="29"/>
    <n v="3"/>
    <s v="No"/>
    <n v="7"/>
    <x v="1"/>
    <d v="2020-05-02T00:00:00"/>
    <m/>
    <s v="Active"/>
    <s v="46-55"/>
    <s v="10+ Years"/>
  </r>
  <r>
    <s v="EMP0945"/>
    <n v="54"/>
    <s v="Male"/>
    <x v="2"/>
    <s v="Software Engineer"/>
    <s v="M.Tech"/>
    <n v="135463"/>
    <n v="18"/>
    <n v="31"/>
    <n v="5"/>
    <n v="4"/>
    <n v="3"/>
    <n v="4"/>
    <s v="Yes"/>
    <s v="Travel_Rarely"/>
    <n v="14"/>
    <n v="46"/>
    <n v="2"/>
    <s v="No"/>
    <n v="1"/>
    <x v="0"/>
    <d v="2019-03-26T00:00:00"/>
    <d v="2020-11-08T00:00:00"/>
    <s v="2020-11-08"/>
    <s v="46-55"/>
    <s v="10+ Years"/>
  </r>
  <r>
    <s v="EMP0946"/>
    <n v="22"/>
    <s v="Female"/>
    <x v="1"/>
    <s v="Sales Executive"/>
    <s v="MBA"/>
    <n v="58635"/>
    <n v="0"/>
    <n v="1"/>
    <n v="2"/>
    <n v="2"/>
    <n v="3"/>
    <n v="3"/>
    <s v="No"/>
    <s v="Travel_Rarely"/>
    <n v="4"/>
    <n v="39"/>
    <n v="4"/>
    <s v="No"/>
    <n v="2"/>
    <x v="1"/>
    <d v="2017-05-12T00:00:00"/>
    <m/>
    <s v="Active"/>
    <s v="18-25"/>
    <s v="0-1 Year"/>
  </r>
  <r>
    <s v="EMP0947"/>
    <n v="37"/>
    <s v="Male"/>
    <x v="4"/>
    <s v="HR Manager"/>
    <s v="B.Tech"/>
    <n v="101903"/>
    <n v="9"/>
    <n v="14"/>
    <n v="4"/>
    <n v="2"/>
    <n v="4"/>
    <n v="1"/>
    <s v="No"/>
    <s v="Travel_Rarely"/>
    <n v="19"/>
    <n v="35"/>
    <n v="2"/>
    <s v="No"/>
    <n v="6"/>
    <x v="1"/>
    <d v="2017-01-14T00:00:00"/>
    <m/>
    <s v="Active"/>
    <s v="36-45"/>
    <s v="6-10 Years"/>
  </r>
  <r>
    <s v="EMP0948"/>
    <n v="46"/>
    <s v="Male"/>
    <x v="0"/>
    <s v="Financial Analyst"/>
    <s v="B.A"/>
    <n v="73299"/>
    <n v="3"/>
    <n v="22"/>
    <n v="3"/>
    <n v="3"/>
    <n v="3"/>
    <n v="4"/>
    <s v="No"/>
    <s v="Travel_Rarely"/>
    <n v="16"/>
    <n v="34"/>
    <n v="3"/>
    <s v="No"/>
    <n v="4"/>
    <x v="0"/>
    <d v="2014-03-14T00:00:00"/>
    <d v="2014-07-19T00:00:00"/>
    <s v="2014-07-19"/>
    <s v="46-55"/>
    <s v="2-3 Years"/>
  </r>
  <r>
    <s v="EMP0949"/>
    <n v="48"/>
    <s v="Female"/>
    <x v="4"/>
    <s v="HR Manager"/>
    <s v="B.Com"/>
    <n v="43945"/>
    <n v="1"/>
    <n v="25"/>
    <n v="1"/>
    <n v="2"/>
    <n v="1"/>
    <n v="2"/>
    <s v="No"/>
    <s v="Travel_Frequently"/>
    <n v="19"/>
    <n v="23"/>
    <n v="3"/>
    <s v="No"/>
    <n v="8"/>
    <x v="1"/>
    <d v="2022-06-22T00:00:00"/>
    <m/>
    <s v="Active"/>
    <s v="46-55"/>
    <s v="0-1 Year"/>
  </r>
  <r>
    <s v="EMP0950"/>
    <n v="58"/>
    <s v="Female"/>
    <x v="1"/>
    <s v="Sales Executive"/>
    <s v="B.A"/>
    <n v="152269"/>
    <n v="24"/>
    <n v="35"/>
    <n v="5"/>
    <n v="4"/>
    <n v="2"/>
    <n v="1"/>
    <s v="No"/>
    <s v="Travel_Rarely"/>
    <n v="18"/>
    <n v="42"/>
    <n v="3"/>
    <s v="No"/>
    <n v="9"/>
    <x v="1"/>
    <d v="2019-10-15T00:00:00"/>
    <m/>
    <s v="Active"/>
    <s v="56+"/>
    <s v="10+ Years"/>
  </r>
  <r>
    <s v="EMP0951"/>
    <n v="32"/>
    <s v="Male"/>
    <x v="1"/>
    <s v="Sales Manager"/>
    <s v="B.Com"/>
    <n v="52202"/>
    <n v="0"/>
    <n v="11"/>
    <n v="2"/>
    <n v="3"/>
    <n v="4"/>
    <n v="3"/>
    <s v="No"/>
    <s v="Travel_Rarely"/>
    <n v="17"/>
    <n v="27"/>
    <n v="3"/>
    <s v="No"/>
    <n v="4"/>
    <x v="1"/>
    <d v="2015-12-15T00:00:00"/>
    <m/>
    <s v="Active"/>
    <s v="26-35"/>
    <s v="0-1 Year"/>
  </r>
  <r>
    <s v="EMP0952"/>
    <n v="32"/>
    <s v="Female"/>
    <x v="0"/>
    <s v="Finance Manager"/>
    <s v="BBA"/>
    <n v="84290"/>
    <n v="6"/>
    <n v="8"/>
    <n v="3"/>
    <n v="2"/>
    <n v="1"/>
    <n v="2"/>
    <s v="No"/>
    <s v="Travel_Frequently"/>
    <n v="27"/>
    <n v="43"/>
    <n v="3"/>
    <s v="No"/>
    <n v="9"/>
    <x v="0"/>
    <d v="2020-04-29T00:00:00"/>
    <d v="2021-05-24T00:00:00"/>
    <s v="2021-05-24"/>
    <s v="26-35"/>
    <s v="6-10 Years"/>
  </r>
  <r>
    <s v="EMP0953"/>
    <n v="25"/>
    <s v="Male"/>
    <x v="5"/>
    <s v="Marketing Manager"/>
    <s v="BBA"/>
    <n v="40604"/>
    <n v="1"/>
    <n v="2"/>
    <n v="1"/>
    <n v="4"/>
    <n v="3"/>
    <n v="3"/>
    <s v="No"/>
    <s v="Travel_Rarely"/>
    <n v="8"/>
    <n v="38"/>
    <n v="3"/>
    <s v="No"/>
    <n v="7"/>
    <x v="1"/>
    <d v="2012-06-05T00:00:00"/>
    <m/>
    <s v="Active"/>
    <s v="18-25"/>
    <s v="0-1 Year"/>
  </r>
  <r>
    <s v="EMP0954"/>
    <n v="31"/>
    <s v="Female"/>
    <x v="1"/>
    <s v="Sales Manager"/>
    <s v="B.A"/>
    <n v="41976"/>
    <n v="1"/>
    <n v="10"/>
    <n v="1"/>
    <n v="4"/>
    <n v="4"/>
    <n v="2"/>
    <s v="No"/>
    <s v="Travel_Frequently"/>
    <n v="28"/>
    <n v="11"/>
    <n v="3"/>
    <s v="No"/>
    <n v="6"/>
    <x v="1"/>
    <d v="2015-09-29T00:00:00"/>
    <m/>
    <s v="Active"/>
    <s v="26-35"/>
    <s v="0-1 Year"/>
  </r>
  <r>
    <s v="EMP0955"/>
    <n v="48"/>
    <s v="Female"/>
    <x v="1"/>
    <s v="Sales Manager"/>
    <s v="MBA"/>
    <n v="110731"/>
    <n v="11"/>
    <n v="24"/>
    <n v="4"/>
    <n v="1"/>
    <n v="1"/>
    <n v="1"/>
    <s v="No"/>
    <s v="Travel_Rarely"/>
    <n v="1"/>
    <n v="19"/>
    <n v="3"/>
    <s v="Yes"/>
    <n v="3"/>
    <x v="1"/>
    <d v="2021-04-23T00:00:00"/>
    <m/>
    <s v="Active"/>
    <s v="46-55"/>
    <s v="10+ Years"/>
  </r>
  <r>
    <s v="EMP0956"/>
    <n v="46"/>
    <s v="Female"/>
    <x v="5"/>
    <s v="Marketing Analyst"/>
    <s v="B.A"/>
    <n v="142417"/>
    <n v="21"/>
    <n v="25"/>
    <n v="5"/>
    <n v="3"/>
    <n v="4"/>
    <n v="1"/>
    <s v="No"/>
    <s v="Non-Travel"/>
    <n v="15"/>
    <n v="28"/>
    <n v="3"/>
    <s v="No"/>
    <n v="4"/>
    <x v="1"/>
    <d v="2019-01-09T00:00:00"/>
    <m/>
    <s v="Active"/>
    <s v="46-55"/>
    <s v="10+ Years"/>
  </r>
  <r>
    <s v="EMP0957"/>
    <n v="48"/>
    <s v="Female"/>
    <x v="5"/>
    <s v="Marketing Analyst"/>
    <s v="B.Tech"/>
    <n v="136230"/>
    <n v="19"/>
    <n v="25"/>
    <n v="5"/>
    <n v="3"/>
    <n v="3"/>
    <n v="2"/>
    <s v="No"/>
    <s v="Non-Travel"/>
    <n v="2"/>
    <n v="24"/>
    <n v="3"/>
    <s v="Yes"/>
    <n v="7"/>
    <x v="0"/>
    <d v="2015-11-15T00:00:00"/>
    <d v="2016-12-15T00:00:00"/>
    <s v="2016-12-15"/>
    <s v="46-55"/>
    <s v="10+ Years"/>
  </r>
  <r>
    <s v="EMP0958"/>
    <n v="57"/>
    <s v="Female"/>
    <x v="5"/>
    <s v="Marketing Manager"/>
    <s v="M.Tech"/>
    <n v="130476"/>
    <n v="13"/>
    <n v="34"/>
    <n v="5"/>
    <n v="2"/>
    <n v="1"/>
    <n v="1"/>
    <s v="No"/>
    <s v="Travel_Rarely"/>
    <n v="24"/>
    <n v="14"/>
    <n v="3"/>
    <s v="No"/>
    <n v="6"/>
    <x v="1"/>
    <d v="2022-09-25T00:00:00"/>
    <m/>
    <s v="Active"/>
    <s v="56+"/>
    <s v="10+ Years"/>
  </r>
  <r>
    <s v="EMP0959"/>
    <n v="34"/>
    <s v="Male"/>
    <x v="1"/>
    <s v="Sales Executive"/>
    <s v="M.Tech"/>
    <n v="85424"/>
    <n v="7"/>
    <n v="13"/>
    <n v="3"/>
    <n v="4"/>
    <n v="4"/>
    <n v="4"/>
    <s v="No"/>
    <s v="Non-Travel"/>
    <n v="5"/>
    <n v="26"/>
    <n v="4"/>
    <s v="Yes"/>
    <n v="8"/>
    <x v="1"/>
    <d v="2017-10-22T00:00:00"/>
    <m/>
    <s v="Active"/>
    <s v="26-35"/>
    <s v="6-10 Years"/>
  </r>
  <r>
    <s v="EMP0960"/>
    <n v="26"/>
    <s v="Male"/>
    <x v="5"/>
    <s v="Marketing Analyst"/>
    <s v="M.Tech"/>
    <n v="67520"/>
    <n v="4"/>
    <n v="5"/>
    <n v="2"/>
    <n v="2"/>
    <n v="4"/>
    <n v="3"/>
    <s v="No"/>
    <s v="Travel_Rarely"/>
    <n v="23"/>
    <n v="43"/>
    <n v="3"/>
    <s v="No"/>
    <n v="5"/>
    <x v="0"/>
    <d v="2013-05-19T00:00:00"/>
    <d v="2014-06-22T00:00:00"/>
    <s v="2014-06-22"/>
    <s v="26-35"/>
    <s v="4-5 Years"/>
  </r>
  <r>
    <s v="EMP0961"/>
    <n v="58"/>
    <s v="Male"/>
    <x v="4"/>
    <s v="HR Manager"/>
    <s v="B.Com"/>
    <n v="97201"/>
    <n v="7"/>
    <n v="34"/>
    <n v="4"/>
    <n v="2"/>
    <n v="1"/>
    <n v="1"/>
    <s v="Yes"/>
    <s v="Travel_Frequently"/>
    <n v="22"/>
    <n v="23"/>
    <n v="3"/>
    <s v="Yes"/>
    <n v="0"/>
    <x v="1"/>
    <d v="2012-03-04T00:00:00"/>
    <m/>
    <s v="Active"/>
    <s v="56+"/>
    <s v="6-10 Years"/>
  </r>
  <r>
    <s v="EMP0962"/>
    <n v="33"/>
    <s v="Female"/>
    <x v="2"/>
    <s v="Software Engineer"/>
    <s v="B.A"/>
    <n v="37931"/>
    <n v="0"/>
    <n v="11"/>
    <n v="1"/>
    <n v="4"/>
    <n v="3"/>
    <n v="1"/>
    <s v="No"/>
    <s v="Travel_Frequently"/>
    <n v="17"/>
    <n v="21"/>
    <n v="4"/>
    <s v="No"/>
    <n v="1"/>
    <x v="1"/>
    <d v="2013-10-13T00:00:00"/>
    <m/>
    <s v="Active"/>
    <s v="26-35"/>
    <s v="0-1 Year"/>
  </r>
  <r>
    <s v="EMP0963"/>
    <n v="48"/>
    <s v="Female"/>
    <x v="0"/>
    <s v="Finance Manager"/>
    <s v="MBA"/>
    <n v="142056"/>
    <n v="20"/>
    <n v="27"/>
    <n v="5"/>
    <n v="1"/>
    <n v="3"/>
    <n v="2"/>
    <s v="No"/>
    <s v="Travel_Rarely"/>
    <n v="2"/>
    <n v="31"/>
    <n v="3"/>
    <s v="No"/>
    <n v="1"/>
    <x v="1"/>
    <d v="2013-07-24T00:00:00"/>
    <m/>
    <s v="Active"/>
    <s v="46-55"/>
    <s v="10+ Years"/>
  </r>
  <r>
    <s v="EMP0964"/>
    <n v="25"/>
    <s v="Male"/>
    <x v="4"/>
    <s v="HR Manager"/>
    <s v="M.Tech"/>
    <n v="64526"/>
    <n v="3"/>
    <n v="4"/>
    <n v="2"/>
    <n v="1"/>
    <n v="4"/>
    <n v="4"/>
    <s v="No"/>
    <s v="Travel_Rarely"/>
    <n v="14"/>
    <n v="57"/>
    <n v="3"/>
    <s v="No"/>
    <n v="1"/>
    <x v="1"/>
    <d v="2021-10-01T00:00:00"/>
    <m/>
    <s v="Active"/>
    <s v="18-25"/>
    <s v="2-3 Years"/>
  </r>
  <r>
    <s v="EMP0965"/>
    <n v="56"/>
    <s v="Female"/>
    <x v="0"/>
    <s v="Financial Analyst"/>
    <s v="B.Com"/>
    <n v="100198"/>
    <n v="9"/>
    <n v="32"/>
    <n v="4"/>
    <n v="1"/>
    <n v="3"/>
    <n v="1"/>
    <s v="No"/>
    <s v="Travel_Rarely"/>
    <n v="25"/>
    <n v="17"/>
    <n v="3"/>
    <s v="No"/>
    <n v="5"/>
    <x v="1"/>
    <d v="2022-07-15T00:00:00"/>
    <m/>
    <s v="Active"/>
    <s v="56+"/>
    <s v="6-10 Years"/>
  </r>
  <r>
    <s v="EMP0966"/>
    <n v="27"/>
    <s v="Female"/>
    <x v="1"/>
    <s v="Sales Executive"/>
    <s v="BBA"/>
    <n v="61515"/>
    <n v="4"/>
    <n v="5"/>
    <n v="2"/>
    <n v="3"/>
    <n v="1"/>
    <n v="1"/>
    <s v="Yes"/>
    <s v="Travel_Rarely"/>
    <n v="16"/>
    <n v="49"/>
    <n v="2"/>
    <s v="No"/>
    <n v="8"/>
    <x v="1"/>
    <d v="2012-11-14T00:00:00"/>
    <m/>
    <s v="Active"/>
    <s v="26-35"/>
    <s v="4-5 Years"/>
  </r>
  <r>
    <s v="EMP0967"/>
    <n v="49"/>
    <s v="Male"/>
    <x v="1"/>
    <s v="Sales Executive"/>
    <s v="M.Tech"/>
    <n v="101606"/>
    <n v="7"/>
    <n v="28"/>
    <n v="4"/>
    <n v="1"/>
    <n v="4"/>
    <n v="2"/>
    <s v="No"/>
    <s v="Travel_Rarely"/>
    <n v="18"/>
    <n v="41"/>
    <n v="4"/>
    <s v="No"/>
    <n v="3"/>
    <x v="1"/>
    <d v="2013-12-20T00:00:00"/>
    <m/>
    <s v="Active"/>
    <s v="46-55"/>
    <s v="6-10 Years"/>
  </r>
  <r>
    <s v="EMP0968"/>
    <n v="39"/>
    <s v="Female"/>
    <x v="1"/>
    <s v="Sales Manager"/>
    <s v="B.A"/>
    <n v="57172"/>
    <n v="1"/>
    <n v="18"/>
    <n v="2"/>
    <n v="2"/>
    <n v="3"/>
    <n v="2"/>
    <s v="No"/>
    <s v="Non-Travel"/>
    <n v="11"/>
    <n v="41"/>
    <n v="3"/>
    <s v="No"/>
    <n v="7"/>
    <x v="1"/>
    <d v="2013-11-24T00:00:00"/>
    <m/>
    <s v="Active"/>
    <s v="36-45"/>
    <s v="0-1 Year"/>
  </r>
  <r>
    <s v="EMP0969"/>
    <n v="52"/>
    <s v="Male"/>
    <x v="3"/>
    <s v="Operations Executive"/>
    <s v="MBA"/>
    <n v="147453"/>
    <n v="24"/>
    <n v="29"/>
    <n v="5"/>
    <n v="4"/>
    <n v="1"/>
    <n v="3"/>
    <s v="No"/>
    <s v="Travel_Rarely"/>
    <n v="9"/>
    <n v="31"/>
    <n v="3"/>
    <s v="No"/>
    <n v="3"/>
    <x v="1"/>
    <d v="2020-03-15T00:00:00"/>
    <m/>
    <s v="Active"/>
    <s v="46-55"/>
    <s v="10+ Years"/>
  </r>
  <r>
    <s v="EMP0970"/>
    <n v="48"/>
    <s v="Female"/>
    <x v="5"/>
    <s v="Marketing Manager"/>
    <s v="MBA"/>
    <n v="130005"/>
    <n v="15"/>
    <n v="27"/>
    <n v="5"/>
    <n v="3"/>
    <n v="1"/>
    <n v="2"/>
    <s v="No"/>
    <s v="Travel_Rarely"/>
    <n v="12"/>
    <n v="17"/>
    <n v="3"/>
    <s v="No"/>
    <n v="0"/>
    <x v="1"/>
    <d v="2019-08-09T00:00:00"/>
    <m/>
    <s v="Active"/>
    <s v="46-55"/>
    <s v="10+ Years"/>
  </r>
  <r>
    <s v="EMP0971"/>
    <n v="44"/>
    <s v="Male"/>
    <x v="2"/>
    <s v="IT Manager"/>
    <s v="MBA"/>
    <n v="102621"/>
    <n v="9"/>
    <n v="21"/>
    <n v="4"/>
    <n v="3"/>
    <n v="1"/>
    <n v="4"/>
    <s v="No"/>
    <s v="Travel_Rarely"/>
    <n v="3"/>
    <n v="47"/>
    <n v="3"/>
    <s v="No"/>
    <n v="4"/>
    <x v="1"/>
    <d v="2014-09-20T00:00:00"/>
    <m/>
    <s v="Active"/>
    <s v="36-45"/>
    <s v="6-10 Years"/>
  </r>
  <r>
    <s v="EMP0972"/>
    <n v="25"/>
    <s v="Male"/>
    <x v="2"/>
    <s v="Data Analyst"/>
    <s v="M.Tech"/>
    <n v="39259"/>
    <n v="1"/>
    <n v="4"/>
    <n v="1"/>
    <n v="1"/>
    <n v="2"/>
    <n v="4"/>
    <s v="No"/>
    <s v="Travel_Rarely"/>
    <n v="10"/>
    <n v="27"/>
    <n v="3"/>
    <s v="No"/>
    <n v="6"/>
    <x v="1"/>
    <d v="2014-05-05T00:00:00"/>
    <m/>
    <s v="Active"/>
    <s v="18-25"/>
    <s v="0-1 Year"/>
  </r>
  <r>
    <s v="EMP0973"/>
    <n v="37"/>
    <s v="Female"/>
    <x v="3"/>
    <s v="Operations Executive"/>
    <s v="B.A"/>
    <n v="88661"/>
    <n v="7"/>
    <n v="15"/>
    <n v="3"/>
    <n v="1"/>
    <n v="4"/>
    <n v="3"/>
    <s v="No"/>
    <s v="Non-Travel"/>
    <n v="14"/>
    <n v="46"/>
    <n v="3"/>
    <s v="Yes"/>
    <n v="3"/>
    <x v="1"/>
    <d v="2021-10-07T00:00:00"/>
    <m/>
    <s v="Active"/>
    <s v="36-45"/>
    <s v="6-10 Years"/>
  </r>
  <r>
    <s v="EMP0974"/>
    <n v="42"/>
    <s v="Male"/>
    <x v="0"/>
    <s v="Financial Analyst"/>
    <s v="M.Tech"/>
    <n v="64842"/>
    <n v="3"/>
    <n v="18"/>
    <n v="2"/>
    <n v="3"/>
    <n v="4"/>
    <n v="3"/>
    <s v="Yes"/>
    <s v="Travel_Rarely"/>
    <n v="24"/>
    <n v="49"/>
    <n v="2"/>
    <s v="No"/>
    <n v="7"/>
    <x v="1"/>
    <d v="2018-07-26T00:00:00"/>
    <m/>
    <s v="Active"/>
    <s v="36-45"/>
    <s v="2-3 Years"/>
  </r>
  <r>
    <s v="EMP0975"/>
    <n v="49"/>
    <s v="Male"/>
    <x v="0"/>
    <s v="Finance Manager"/>
    <s v="MBA"/>
    <n v="140355"/>
    <n v="20"/>
    <n v="25"/>
    <n v="5"/>
    <n v="3"/>
    <n v="2"/>
    <n v="1"/>
    <s v="No"/>
    <s v="Travel_Rarely"/>
    <n v="25"/>
    <n v="52"/>
    <n v="4"/>
    <s v="No"/>
    <n v="5"/>
    <x v="0"/>
    <d v="2022-10-01T00:00:00"/>
    <d v="2023-01-27T00:00:00"/>
    <s v="2023-01-27"/>
    <s v="46-55"/>
    <s v="10+ Years"/>
  </r>
  <r>
    <s v="EMP0976"/>
    <n v="51"/>
    <s v="Female"/>
    <x v="5"/>
    <s v="Marketing Manager"/>
    <s v="B.A"/>
    <n v="46562"/>
    <n v="1"/>
    <n v="27"/>
    <n v="1"/>
    <n v="2"/>
    <n v="4"/>
    <n v="3"/>
    <s v="No"/>
    <s v="Travel_Rarely"/>
    <n v="22"/>
    <n v="31"/>
    <n v="3"/>
    <s v="No"/>
    <n v="3"/>
    <x v="1"/>
    <d v="2020-01-20T00:00:00"/>
    <m/>
    <s v="Active"/>
    <s v="46-55"/>
    <s v="0-1 Year"/>
  </r>
  <r>
    <s v="EMP0977"/>
    <n v="50"/>
    <s v="Male"/>
    <x v="0"/>
    <s v="Finance Manager"/>
    <s v="B.A"/>
    <n v="151407"/>
    <n v="24"/>
    <n v="28"/>
    <n v="5"/>
    <n v="1"/>
    <n v="4"/>
    <n v="2"/>
    <s v="No"/>
    <s v="Travel_Frequently"/>
    <n v="18"/>
    <n v="45"/>
    <n v="3"/>
    <s v="Yes"/>
    <n v="5"/>
    <x v="0"/>
    <d v="2014-05-29T00:00:00"/>
    <d v="2014-09-06T00:00:00"/>
    <s v="2014-09-06"/>
    <s v="46-55"/>
    <s v="10+ Years"/>
  </r>
  <r>
    <s v="EMP0978"/>
    <n v="37"/>
    <s v="Female"/>
    <x v="3"/>
    <s v="Operations Manager"/>
    <s v="BBA"/>
    <n v="105634"/>
    <n v="11"/>
    <n v="15"/>
    <n v="4"/>
    <n v="3"/>
    <n v="4"/>
    <n v="3"/>
    <s v="No"/>
    <s v="Travel_Rarely"/>
    <n v="5"/>
    <n v="34"/>
    <n v="4"/>
    <s v="Yes"/>
    <n v="4"/>
    <x v="1"/>
    <d v="2022-08-01T00:00:00"/>
    <m/>
    <s v="Active"/>
    <s v="36-45"/>
    <s v="10+ Years"/>
  </r>
  <r>
    <s v="EMP0979"/>
    <n v="28"/>
    <s v="Female"/>
    <x v="0"/>
    <s v="Finance Manager"/>
    <s v="MBA"/>
    <n v="81630"/>
    <n v="5"/>
    <n v="7"/>
    <n v="3"/>
    <n v="3"/>
    <n v="4"/>
    <n v="2"/>
    <s v="No"/>
    <s v="Travel_Rarely"/>
    <n v="18"/>
    <n v="45"/>
    <n v="3"/>
    <s v="No"/>
    <n v="2"/>
    <x v="1"/>
    <d v="2017-09-01T00:00:00"/>
    <m/>
    <s v="Active"/>
    <s v="26-35"/>
    <s v="4-5 Years"/>
  </r>
  <r>
    <s v="EMP0980"/>
    <n v="55"/>
    <s v="Male"/>
    <x v="2"/>
    <s v="Software Engineer"/>
    <s v="B.A"/>
    <n v="132621"/>
    <n v="15"/>
    <n v="33"/>
    <n v="5"/>
    <n v="3"/>
    <n v="1"/>
    <n v="4"/>
    <s v="Yes"/>
    <s v="Travel_Rarely"/>
    <n v="24"/>
    <n v="53"/>
    <n v="4"/>
    <s v="Yes"/>
    <n v="4"/>
    <x v="1"/>
    <d v="2022-11-28T00:00:00"/>
    <m/>
    <s v="Active"/>
    <s v="46-55"/>
    <s v="10+ Years"/>
  </r>
  <r>
    <s v="EMP0981"/>
    <n v="49"/>
    <s v="Female"/>
    <x v="1"/>
    <s v="Sales Executive"/>
    <s v="B.Tech"/>
    <n v="124007"/>
    <n v="12"/>
    <n v="28"/>
    <n v="5"/>
    <n v="4"/>
    <n v="4"/>
    <n v="1"/>
    <s v="Yes"/>
    <s v="Travel_Rarely"/>
    <n v="10"/>
    <n v="46"/>
    <n v="3"/>
    <s v="Yes"/>
    <n v="4"/>
    <x v="1"/>
    <d v="2012-04-30T00:00:00"/>
    <m/>
    <s v="Active"/>
    <s v="46-55"/>
    <s v="10+ Years"/>
  </r>
  <r>
    <s v="EMP0982"/>
    <n v="38"/>
    <s v="Male"/>
    <x v="5"/>
    <s v="Marketing Manager"/>
    <s v="B.Com"/>
    <n v="44112"/>
    <n v="1"/>
    <n v="16"/>
    <n v="1"/>
    <n v="1"/>
    <n v="3"/>
    <n v="3"/>
    <s v="No"/>
    <s v="Travel_Rarely"/>
    <n v="23"/>
    <n v="35"/>
    <n v="3"/>
    <s v="No"/>
    <n v="4"/>
    <x v="0"/>
    <d v="2020-11-29T00:00:00"/>
    <d v="2023-01-08T00:00:00"/>
    <s v="2023-01-08"/>
    <s v="36-45"/>
    <s v="0-1 Year"/>
  </r>
  <r>
    <s v="EMP0983"/>
    <n v="23"/>
    <s v="Male"/>
    <x v="2"/>
    <s v="IT Manager"/>
    <s v="B.Com"/>
    <n v="58530"/>
    <n v="2"/>
    <n v="2"/>
    <n v="2"/>
    <n v="1"/>
    <n v="1"/>
    <n v="4"/>
    <s v="Yes"/>
    <s v="Travel_Rarely"/>
    <n v="22"/>
    <n v="39"/>
    <n v="3"/>
    <s v="No"/>
    <n v="4"/>
    <x v="1"/>
    <d v="2022-07-31T00:00:00"/>
    <m/>
    <s v="Active"/>
    <s v="18-25"/>
    <s v="2-3 Years"/>
  </r>
  <r>
    <s v="EMP0984"/>
    <n v="59"/>
    <s v="Male"/>
    <x v="4"/>
    <s v="HR Executive"/>
    <s v="B.Com"/>
    <n v="168490"/>
    <n v="34"/>
    <n v="38"/>
    <n v="5"/>
    <n v="3"/>
    <n v="3"/>
    <n v="1"/>
    <s v="No"/>
    <s v="Travel_Rarely"/>
    <n v="17"/>
    <n v="52"/>
    <n v="3"/>
    <s v="No"/>
    <n v="4"/>
    <x v="0"/>
    <d v="2023-10-26T00:00:00"/>
    <d v="2024-09-12T00:00:00"/>
    <s v="2024-09-12"/>
    <s v="56+"/>
    <s v="10+ Years"/>
  </r>
  <r>
    <s v="EMP0985"/>
    <n v="58"/>
    <s v="Male"/>
    <x v="4"/>
    <s v="HR Executive"/>
    <s v="B.Com"/>
    <n v="78271"/>
    <n v="5"/>
    <n v="35"/>
    <n v="3"/>
    <n v="1"/>
    <n v="2"/>
    <n v="1"/>
    <s v="No"/>
    <s v="Travel_Rarely"/>
    <n v="28"/>
    <n v="47"/>
    <n v="3"/>
    <s v="Yes"/>
    <n v="6"/>
    <x v="0"/>
    <d v="2021-02-04T00:00:00"/>
    <d v="2023-02-20T00:00:00"/>
    <s v="2023-02-20"/>
    <s v="56+"/>
    <s v="4-5 Years"/>
  </r>
  <r>
    <s v="EMP0986"/>
    <n v="28"/>
    <s v="Female"/>
    <x v="4"/>
    <s v="HR Executive"/>
    <s v="MBA"/>
    <n v="41187"/>
    <n v="0"/>
    <n v="7"/>
    <n v="1"/>
    <n v="4"/>
    <n v="4"/>
    <n v="3"/>
    <s v="Yes"/>
    <s v="Travel_Rarely"/>
    <n v="19"/>
    <n v="38"/>
    <n v="2"/>
    <s v="No"/>
    <n v="3"/>
    <x v="1"/>
    <d v="2012-12-04T00:00:00"/>
    <m/>
    <s v="Active"/>
    <s v="26-35"/>
    <s v="0-1 Year"/>
  </r>
  <r>
    <s v="EMP0987"/>
    <n v="38"/>
    <s v="Male"/>
    <x v="0"/>
    <s v="Finance Manager"/>
    <s v="B.A"/>
    <n v="119233"/>
    <n v="9"/>
    <n v="16"/>
    <n v="5"/>
    <n v="4"/>
    <n v="3"/>
    <n v="2"/>
    <s v="No"/>
    <s v="Travel_Frequently"/>
    <n v="18"/>
    <n v="10"/>
    <n v="4"/>
    <s v="No"/>
    <n v="5"/>
    <x v="1"/>
    <d v="2021-02-25T00:00:00"/>
    <m/>
    <s v="Active"/>
    <s v="36-45"/>
    <s v="6-10 Years"/>
  </r>
  <r>
    <s v="EMP0988"/>
    <n v="23"/>
    <s v="Female"/>
    <x v="3"/>
    <s v="Operations Manager"/>
    <s v="M.Tech"/>
    <n v="44758"/>
    <n v="1"/>
    <n v="1"/>
    <n v="1"/>
    <n v="3"/>
    <n v="2"/>
    <n v="2"/>
    <s v="No"/>
    <s v="Travel_Rarely"/>
    <n v="17"/>
    <n v="27"/>
    <n v="3"/>
    <s v="No"/>
    <n v="4"/>
    <x v="1"/>
    <d v="2023-07-30T00:00:00"/>
    <m/>
    <s v="Active"/>
    <s v="18-25"/>
    <s v="0-1 Year"/>
  </r>
  <r>
    <s v="EMP0989"/>
    <n v="35"/>
    <s v="Male"/>
    <x v="1"/>
    <s v="Sales Executive"/>
    <s v="B.A"/>
    <n v="66555"/>
    <n v="4"/>
    <n v="11"/>
    <n v="2"/>
    <n v="3"/>
    <n v="2"/>
    <n v="1"/>
    <s v="Yes"/>
    <s v="Travel_Rarely"/>
    <n v="23"/>
    <n v="33"/>
    <n v="2"/>
    <s v="No"/>
    <n v="6"/>
    <x v="1"/>
    <d v="2021-12-13T00:00:00"/>
    <m/>
    <s v="Active"/>
    <s v="26-35"/>
    <s v="4-5 Years"/>
  </r>
  <r>
    <s v="EMP0990"/>
    <n v="34"/>
    <s v="Male"/>
    <x v="0"/>
    <s v="Finance Manager"/>
    <s v="B.Com"/>
    <n v="75803"/>
    <n v="3"/>
    <n v="12"/>
    <n v="3"/>
    <n v="4"/>
    <n v="1"/>
    <n v="1"/>
    <s v="No"/>
    <s v="Travel_Rarely"/>
    <n v="8"/>
    <n v="13"/>
    <n v="3"/>
    <s v="No"/>
    <n v="7"/>
    <x v="1"/>
    <d v="2016-05-02T00:00:00"/>
    <m/>
    <s v="Active"/>
    <s v="26-35"/>
    <s v="2-3 Years"/>
  </r>
  <r>
    <s v="EMP0991"/>
    <n v="48"/>
    <s v="Female"/>
    <x v="4"/>
    <s v="HR Executive"/>
    <s v="B.A"/>
    <n v="63363"/>
    <n v="2"/>
    <n v="24"/>
    <n v="2"/>
    <n v="1"/>
    <n v="4"/>
    <n v="1"/>
    <s v="No"/>
    <s v="Travel_Rarely"/>
    <n v="16"/>
    <n v="16"/>
    <n v="3"/>
    <s v="No"/>
    <n v="8"/>
    <x v="1"/>
    <d v="2021-11-18T00:00:00"/>
    <m/>
    <s v="Active"/>
    <s v="46-55"/>
    <s v="2-3 Years"/>
  </r>
  <r>
    <s v="EMP0992"/>
    <n v="52"/>
    <s v="Male"/>
    <x v="5"/>
    <s v="Marketing Analyst"/>
    <s v="MBA"/>
    <n v="59654"/>
    <n v="2"/>
    <n v="29"/>
    <n v="2"/>
    <n v="1"/>
    <n v="4"/>
    <n v="1"/>
    <s v="No"/>
    <s v="Travel_Rarely"/>
    <n v="3"/>
    <n v="48"/>
    <n v="4"/>
    <s v="No"/>
    <n v="5"/>
    <x v="1"/>
    <d v="2015-05-17T00:00:00"/>
    <m/>
    <s v="Active"/>
    <s v="46-55"/>
    <s v="2-3 Years"/>
  </r>
  <r>
    <s v="EMP0993"/>
    <n v="47"/>
    <s v="Female"/>
    <x v="5"/>
    <s v="Marketing Manager"/>
    <s v="M.Tech"/>
    <n v="129531"/>
    <n v="13"/>
    <n v="26"/>
    <n v="5"/>
    <n v="3"/>
    <n v="2"/>
    <n v="4"/>
    <s v="No"/>
    <s v="Travel_Frequently"/>
    <n v="17"/>
    <n v="36"/>
    <n v="3"/>
    <s v="No"/>
    <n v="4"/>
    <x v="1"/>
    <d v="2019-12-11T00:00:00"/>
    <m/>
    <s v="Active"/>
    <s v="46-55"/>
    <s v="10+ Years"/>
  </r>
  <r>
    <s v="EMP0994"/>
    <n v="23"/>
    <s v="Male"/>
    <x v="0"/>
    <s v="Financial Analyst"/>
    <s v="B.Com"/>
    <n v="40638"/>
    <n v="0"/>
    <n v="1"/>
    <n v="1"/>
    <n v="1"/>
    <n v="2"/>
    <n v="3"/>
    <s v="No"/>
    <s v="Travel_Rarely"/>
    <n v="2"/>
    <n v="28"/>
    <n v="3"/>
    <s v="No"/>
    <n v="2"/>
    <x v="1"/>
    <d v="2013-10-12T00:00:00"/>
    <m/>
    <s v="Active"/>
    <s v="18-25"/>
    <s v="0-1 Year"/>
  </r>
  <r>
    <s v="EMP0995"/>
    <n v="27"/>
    <s v="Female"/>
    <x v="4"/>
    <s v="HR Executive"/>
    <s v="M.Tech"/>
    <n v="60224"/>
    <n v="1"/>
    <n v="4"/>
    <n v="2"/>
    <n v="2"/>
    <n v="3"/>
    <n v="3"/>
    <s v="No"/>
    <s v="Travel_Rarely"/>
    <n v="10"/>
    <n v="50"/>
    <n v="2"/>
    <s v="No"/>
    <n v="5"/>
    <x v="1"/>
    <d v="2022-10-06T00:00:00"/>
    <m/>
    <s v="Active"/>
    <s v="26-35"/>
    <s v="0-1 Year"/>
  </r>
  <r>
    <s v="EMP0996"/>
    <n v="53"/>
    <s v="Male"/>
    <x v="3"/>
    <s v="Operations Manager"/>
    <s v="BBA"/>
    <n v="144452"/>
    <n v="23"/>
    <n v="29"/>
    <n v="5"/>
    <n v="2"/>
    <n v="2"/>
    <n v="2"/>
    <s v="Yes"/>
    <s v="Travel_Frequently"/>
    <n v="22"/>
    <n v="49"/>
    <n v="3"/>
    <s v="No"/>
    <n v="5"/>
    <x v="1"/>
    <d v="2015-06-30T00:00:00"/>
    <m/>
    <s v="Active"/>
    <s v="46-55"/>
    <s v="10+ Years"/>
  </r>
  <r>
    <s v="EMP0997"/>
    <n v="47"/>
    <s v="Male"/>
    <x v="1"/>
    <s v="Sales Executive"/>
    <s v="B.A"/>
    <n v="87676"/>
    <n v="7"/>
    <n v="23"/>
    <n v="3"/>
    <n v="4"/>
    <n v="3"/>
    <n v="4"/>
    <s v="No"/>
    <s v="Non-Travel"/>
    <n v="24"/>
    <n v="57"/>
    <n v="3"/>
    <s v="No"/>
    <n v="5"/>
    <x v="1"/>
    <d v="2013-01-21T00:00:00"/>
    <m/>
    <s v="Active"/>
    <s v="46-55"/>
    <s v="6-10 Years"/>
  </r>
  <r>
    <s v="EMP0998"/>
    <n v="49"/>
    <s v="Male"/>
    <x v="3"/>
    <s v="Operations Manager"/>
    <s v="B.A"/>
    <n v="127168"/>
    <n v="12"/>
    <n v="28"/>
    <n v="5"/>
    <n v="2"/>
    <n v="2"/>
    <n v="1"/>
    <s v="No"/>
    <s v="Travel_Rarely"/>
    <n v="15"/>
    <n v="49"/>
    <n v="4"/>
    <s v="No"/>
    <n v="1"/>
    <x v="1"/>
    <d v="2022-06-06T00:00:00"/>
    <m/>
    <s v="Active"/>
    <s v="46-55"/>
    <s v="10+ Years"/>
  </r>
  <r>
    <s v="EMP0999"/>
    <n v="25"/>
    <s v="Male"/>
    <x v="5"/>
    <s v="Marketing Manager"/>
    <s v="BBA"/>
    <n v="43489"/>
    <n v="2"/>
    <n v="2"/>
    <n v="1"/>
    <n v="1"/>
    <n v="3"/>
    <n v="1"/>
    <s v="Yes"/>
    <s v="Travel_Frequently"/>
    <n v="23"/>
    <n v="59"/>
    <n v="4"/>
    <s v="No"/>
    <n v="9"/>
    <x v="1"/>
    <d v="2019-02-02T00:00:00"/>
    <m/>
    <s v="Active"/>
    <s v="18-25"/>
    <s v="2-3 Years"/>
  </r>
  <r>
    <s v="EMP1000"/>
    <n v="51"/>
    <s v="Male"/>
    <x v="5"/>
    <s v="Marketing Analyst"/>
    <s v="B.Com"/>
    <n v="148162"/>
    <n v="23"/>
    <n v="28"/>
    <n v="5"/>
    <n v="2"/>
    <n v="4"/>
    <n v="1"/>
    <s v="No"/>
    <s v="Travel_Rarely"/>
    <n v="15"/>
    <n v="45"/>
    <n v="4"/>
    <s v="No"/>
    <n v="4"/>
    <x v="1"/>
    <d v="2018-09-07T00:00:00"/>
    <m/>
    <s v="Active"/>
    <s v="46-55"/>
    <s v="10+ Yea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EFF99-0468-447F-829B-1303EE71706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13:E21" firstHeaderRow="1" firstDataRow="2" firstDataCol="1"/>
  <pivotFields count="26">
    <pivotField dataField="1" showAll="0"/>
    <pivotField showAll="0"/>
    <pivotField showAll="0"/>
    <pivotField axis="axisRow" showAll="0">
      <items count="7">
        <item x="0"/>
        <item x="4"/>
        <item x="2"/>
        <item x="5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Employee_ID" fld="0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E3084-5905-4AE5-95E5-390B46AECB65}" name="Table1" displayName="Table1" ref="A1:Z1001" totalsRowShown="0">
  <autoFilter ref="A1:Z1001" xr:uid="{A43E3084-5905-4AE5-95E5-390B46AECB65}"/>
  <tableColumns count="26">
    <tableColumn id="1" xr3:uid="{61222453-2F2C-4A21-B0A3-7505A10F5DE8}" name="Employee_ID"/>
    <tableColumn id="2" xr3:uid="{1701BC31-A2C4-4CBD-B837-71E14DAF80EF}" name="Age"/>
    <tableColumn id="3" xr3:uid="{0A34818D-DE4F-4826-8848-E632DD2758E9}" name="Gender"/>
    <tableColumn id="4" xr3:uid="{15489203-4078-4E18-9E07-FA81AF51B780}" name="Department"/>
    <tableColumn id="5" xr3:uid="{60D221D5-7387-48F4-A8CC-046B5EA98941}" name="Job_Role"/>
    <tableColumn id="6" xr3:uid="{F1357D2E-95A8-4771-BC56-53C0DF7367BA}" name="Education"/>
    <tableColumn id="7" xr3:uid="{B55AE9D1-1B0F-4F6E-8185-DEF3B7B947E9}" name="Monthly_Income"/>
    <tableColumn id="8" xr3:uid="{62895A5C-E2C2-492B-9AF7-4D2D5978DE17}" name="Years_At_Company"/>
    <tableColumn id="9" xr3:uid="{74D58F05-9578-413F-A190-518274422730}" name="Total_Working_Years"/>
    <tableColumn id="10" xr3:uid="{0C4193A0-1C69-47F2-A4FC-B5443F0A7976}" name="Job_Level"/>
    <tableColumn id="11" xr3:uid="{E1551C5D-4E32-4339-AFD7-6E48B89225BD}" name="Job_Satisfaction"/>
    <tableColumn id="12" xr3:uid="{E93753CC-02F7-4E02-AB3D-A47C9D99B8A1}" name="Environment_Satisfaction"/>
    <tableColumn id="13" xr3:uid="{A5F1DA10-F47B-4FE0-8586-D602314FB429}" name="Work_Life_Balance"/>
    <tableColumn id="14" xr3:uid="{097E4400-72D6-4C74-A423-A364B4B17617}" name="OverTime"/>
    <tableColumn id="15" xr3:uid="{D5F48A32-AFAE-4C19-8508-DE3648690390}" name="Business_Travel"/>
    <tableColumn id="16" xr3:uid="{CD01C32B-ABA3-4EEE-87D9-060A9466F05E}" name="Distance_From_Home"/>
    <tableColumn id="17" xr3:uid="{24B998B4-7E77-4EEA-84B6-FC9A086CEE06}" name="Training_Hours"/>
    <tableColumn id="18" xr3:uid="{802496C7-1D9A-44A9-A0CE-62C982E2B6CB}" name="Performance_Rating"/>
    <tableColumn id="19" xr3:uid="{72F4AA6B-08D8-4A2E-B1EF-35B7B4C441BA}" name="Promotion_Last_5_Years"/>
    <tableColumn id="20" xr3:uid="{0964FBF7-D0BE-4F6C-8ECE-FFF78C37C8CA}" name="Absenteeism_Days"/>
    <tableColumn id="21" xr3:uid="{2AB6CE9E-2F25-4773-B263-CFA88D246693}" name="Attrition"/>
    <tableColumn id="22" xr3:uid="{442C7B5B-405B-4138-9CED-A3D4FB50D84D}" name="Joining_Date" dataDxfId="0"/>
    <tableColumn id="23" xr3:uid="{7DB140C6-166E-4071-BBFC-F6127C4C56CE}" name="Exit_Date"/>
    <tableColumn id="24" xr3:uid="{0A3641CE-FF88-444E-A9CA-BEAA68215A2A}" name="Exit Date Cleaned">
      <calculatedColumnFormula>IF(ISBLANK(W2), "Active", TEXT(W2, "yyyy-mm-dd"))</calculatedColumnFormula>
    </tableColumn>
    <tableColumn id="25" xr3:uid="{314D7AF1-731B-4A2C-829F-F474D61BF9CF}" name="Age Group">
      <calculatedColumnFormula>_xlfn.IFS(B2&lt;=25, "18-25", B2&lt;=35, "26-35", B2&lt;=45, "36-45", B2&lt;=55, "46-55", B2&gt;55, "56+")</calculatedColumnFormula>
    </tableColumn>
    <tableColumn id="26" xr3:uid="{9FB9BE73-1E52-4BCB-8768-8CCE79910AC6}" name="Tenure_Group">
      <calculatedColumnFormula>_xlfn.IFS(H2&lt;=1, "0-1 Year", H2&lt;=3, "2-3 Years", H2&lt;=5, "4-5 Years", H2&lt;=10, "6-10 Years", H2&gt;10, "10+ Years")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E9B705-B323-46C9-A985-69E319F79149}" name="Table2" displayName="Table2" ref="B4:C9" totalsRowShown="0">
  <autoFilter ref="B4:C9" xr:uid="{B2E9B705-B323-46C9-A985-69E319F79149}"/>
  <tableColumns count="2">
    <tableColumn id="1" xr3:uid="{6A37E42B-C4D5-4FEC-B5FA-EF90B8BFF874}" name="Total Headcount"/>
    <tableColumn id="2" xr3:uid="{9D8266DA-E3C9-415D-BDE7-ECABDD08FBF3}" name="100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6045-3611-4098-BA39-0AD3E94E5992}">
  <dimension ref="A1:W1001"/>
  <sheetViews>
    <sheetView topLeftCell="I1" workbookViewId="0">
      <selection activeCell="X1" sqref="X1:Z1048576"/>
    </sheetView>
  </sheetViews>
  <sheetFormatPr defaultRowHeight="14.5" x14ac:dyDescent="0.35"/>
  <cols>
    <col min="22" max="22" width="11.453125" bestFit="1" customWidth="1"/>
    <col min="23" max="23" width="10.0898437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26</v>
      </c>
      <c r="B2">
        <v>50</v>
      </c>
      <c r="C2" t="s">
        <v>27</v>
      </c>
      <c r="D2" t="s">
        <v>28</v>
      </c>
      <c r="E2" t="s">
        <v>29</v>
      </c>
      <c r="F2" t="s">
        <v>30</v>
      </c>
      <c r="G2">
        <v>146578</v>
      </c>
      <c r="H2">
        <v>22</v>
      </c>
      <c r="I2">
        <v>27</v>
      </c>
      <c r="J2">
        <v>5</v>
      </c>
      <c r="K2">
        <v>4</v>
      </c>
      <c r="L2">
        <v>1</v>
      </c>
      <c r="M2">
        <v>4</v>
      </c>
      <c r="N2" t="s">
        <v>31</v>
      </c>
      <c r="O2" t="s">
        <v>32</v>
      </c>
      <c r="P2">
        <v>24</v>
      </c>
      <c r="Q2">
        <v>53</v>
      </c>
      <c r="R2">
        <v>2</v>
      </c>
      <c r="S2" t="s">
        <v>33</v>
      </c>
      <c r="T2">
        <v>0</v>
      </c>
      <c r="U2" t="s">
        <v>33</v>
      </c>
      <c r="V2" s="1">
        <v>42093</v>
      </c>
      <c r="W2" s="1">
        <v>42652</v>
      </c>
    </row>
    <row r="3" spans="1:23" x14ac:dyDescent="0.35">
      <c r="A3" t="s">
        <v>34</v>
      </c>
      <c r="B3">
        <v>43</v>
      </c>
      <c r="C3" t="s">
        <v>27</v>
      </c>
      <c r="D3" t="s">
        <v>35</v>
      </c>
      <c r="E3" t="s">
        <v>36</v>
      </c>
      <c r="F3" t="s">
        <v>37</v>
      </c>
      <c r="G3">
        <v>122643</v>
      </c>
      <c r="H3">
        <v>9</v>
      </c>
      <c r="I3">
        <v>20</v>
      </c>
      <c r="J3">
        <v>5</v>
      </c>
      <c r="K3">
        <v>4</v>
      </c>
      <c r="L3">
        <v>4</v>
      </c>
      <c r="M3">
        <v>3</v>
      </c>
      <c r="N3" t="s">
        <v>31</v>
      </c>
      <c r="O3" t="s">
        <v>32</v>
      </c>
      <c r="P3">
        <v>23</v>
      </c>
      <c r="Q3">
        <v>12</v>
      </c>
      <c r="R3">
        <v>3</v>
      </c>
      <c r="S3" t="s">
        <v>33</v>
      </c>
      <c r="T3">
        <v>2</v>
      </c>
      <c r="U3" t="s">
        <v>33</v>
      </c>
      <c r="V3" s="1">
        <v>42970</v>
      </c>
      <c r="W3" s="1">
        <v>43311</v>
      </c>
    </row>
    <row r="4" spans="1:23" x14ac:dyDescent="0.35">
      <c r="A4" t="s">
        <v>38</v>
      </c>
      <c r="B4">
        <v>30</v>
      </c>
      <c r="C4" t="s">
        <v>27</v>
      </c>
      <c r="D4" t="s">
        <v>39</v>
      </c>
      <c r="E4" t="s">
        <v>40</v>
      </c>
      <c r="F4" t="s">
        <v>41</v>
      </c>
      <c r="G4">
        <v>58775</v>
      </c>
      <c r="H4">
        <v>3</v>
      </c>
      <c r="I4">
        <v>7</v>
      </c>
      <c r="J4">
        <v>2</v>
      </c>
      <c r="K4">
        <v>3</v>
      </c>
      <c r="L4">
        <v>3</v>
      </c>
      <c r="M4">
        <v>2</v>
      </c>
      <c r="N4" t="s">
        <v>33</v>
      </c>
      <c r="O4" t="s">
        <v>42</v>
      </c>
      <c r="P4">
        <v>6</v>
      </c>
      <c r="Q4">
        <v>51</v>
      </c>
      <c r="R4">
        <v>3</v>
      </c>
      <c r="S4" t="s">
        <v>31</v>
      </c>
      <c r="T4">
        <v>3</v>
      </c>
      <c r="U4" t="s">
        <v>31</v>
      </c>
      <c r="V4" s="1">
        <v>41904</v>
      </c>
    </row>
    <row r="5" spans="1:23" x14ac:dyDescent="0.35">
      <c r="A5" t="s">
        <v>43</v>
      </c>
      <c r="B5">
        <v>35</v>
      </c>
      <c r="C5" t="s">
        <v>44</v>
      </c>
      <c r="D5" t="s">
        <v>45</v>
      </c>
      <c r="E5" t="s">
        <v>46</v>
      </c>
      <c r="F5" t="s">
        <v>41</v>
      </c>
      <c r="G5">
        <v>130892</v>
      </c>
      <c r="H5">
        <v>13</v>
      </c>
      <c r="I5">
        <v>14</v>
      </c>
      <c r="J5">
        <v>5</v>
      </c>
      <c r="K5">
        <v>4</v>
      </c>
      <c r="L5">
        <v>1</v>
      </c>
      <c r="M5">
        <v>2</v>
      </c>
      <c r="N5" t="s">
        <v>31</v>
      </c>
      <c r="O5" t="s">
        <v>47</v>
      </c>
      <c r="P5">
        <v>28</v>
      </c>
      <c r="Q5">
        <v>54</v>
      </c>
      <c r="R5">
        <v>3</v>
      </c>
      <c r="S5" t="s">
        <v>31</v>
      </c>
      <c r="T5">
        <v>5</v>
      </c>
      <c r="U5" t="s">
        <v>31</v>
      </c>
      <c r="V5" s="1">
        <v>41300</v>
      </c>
    </row>
    <row r="6" spans="1:23" x14ac:dyDescent="0.35">
      <c r="A6" t="s">
        <v>48</v>
      </c>
      <c r="B6">
        <v>56</v>
      </c>
      <c r="C6" t="s">
        <v>44</v>
      </c>
      <c r="D6" t="s">
        <v>49</v>
      </c>
      <c r="E6" t="s">
        <v>50</v>
      </c>
      <c r="F6" t="s">
        <v>30</v>
      </c>
      <c r="G6">
        <v>151200</v>
      </c>
      <c r="H6">
        <v>27</v>
      </c>
      <c r="I6">
        <v>33</v>
      </c>
      <c r="J6">
        <v>5</v>
      </c>
      <c r="K6">
        <v>4</v>
      </c>
      <c r="L6">
        <v>4</v>
      </c>
      <c r="M6">
        <v>2</v>
      </c>
      <c r="N6" t="s">
        <v>31</v>
      </c>
      <c r="O6" t="s">
        <v>32</v>
      </c>
      <c r="P6">
        <v>5</v>
      </c>
      <c r="Q6">
        <v>44</v>
      </c>
      <c r="R6">
        <v>2</v>
      </c>
      <c r="S6" t="s">
        <v>31</v>
      </c>
      <c r="T6">
        <v>7</v>
      </c>
      <c r="U6" t="s">
        <v>31</v>
      </c>
      <c r="V6" s="1">
        <v>41115</v>
      </c>
    </row>
    <row r="7" spans="1:23" x14ac:dyDescent="0.35">
      <c r="A7" t="s">
        <v>51</v>
      </c>
      <c r="B7">
        <v>36</v>
      </c>
      <c r="C7" t="s">
        <v>27</v>
      </c>
      <c r="D7" t="s">
        <v>52</v>
      </c>
      <c r="E7" t="s">
        <v>53</v>
      </c>
      <c r="F7" t="s">
        <v>37</v>
      </c>
      <c r="G7">
        <v>79563</v>
      </c>
      <c r="H7">
        <v>6</v>
      </c>
      <c r="I7">
        <v>13</v>
      </c>
      <c r="J7">
        <v>3</v>
      </c>
      <c r="K7">
        <v>1</v>
      </c>
      <c r="L7">
        <v>4</v>
      </c>
      <c r="M7">
        <v>4</v>
      </c>
      <c r="N7" t="s">
        <v>33</v>
      </c>
      <c r="O7" t="s">
        <v>32</v>
      </c>
      <c r="P7">
        <v>11</v>
      </c>
      <c r="Q7">
        <v>38</v>
      </c>
      <c r="R7">
        <v>4</v>
      </c>
      <c r="S7" t="s">
        <v>31</v>
      </c>
      <c r="T7">
        <v>2</v>
      </c>
      <c r="U7" t="s">
        <v>33</v>
      </c>
      <c r="V7" s="1">
        <v>42506</v>
      </c>
      <c r="W7" s="1">
        <v>43251</v>
      </c>
    </row>
    <row r="8" spans="1:23" x14ac:dyDescent="0.35">
      <c r="A8" t="s">
        <v>54</v>
      </c>
      <c r="B8">
        <v>49</v>
      </c>
      <c r="C8" t="s">
        <v>44</v>
      </c>
      <c r="D8" t="s">
        <v>52</v>
      </c>
      <c r="E8" t="s">
        <v>55</v>
      </c>
      <c r="F8" t="s">
        <v>56</v>
      </c>
      <c r="G8">
        <v>118529</v>
      </c>
      <c r="H8">
        <v>10</v>
      </c>
      <c r="I8">
        <v>27</v>
      </c>
      <c r="J8">
        <v>5</v>
      </c>
      <c r="K8">
        <v>3</v>
      </c>
      <c r="L8">
        <v>4</v>
      </c>
      <c r="M8">
        <v>1</v>
      </c>
      <c r="N8" t="s">
        <v>33</v>
      </c>
      <c r="O8" t="s">
        <v>32</v>
      </c>
      <c r="P8">
        <v>25</v>
      </c>
      <c r="Q8">
        <v>22</v>
      </c>
      <c r="R8">
        <v>3</v>
      </c>
      <c r="S8" t="s">
        <v>33</v>
      </c>
      <c r="T8">
        <v>1</v>
      </c>
      <c r="U8" t="s">
        <v>31</v>
      </c>
      <c r="V8" s="1">
        <v>44657</v>
      </c>
    </row>
    <row r="9" spans="1:23" x14ac:dyDescent="0.35">
      <c r="A9" t="s">
        <v>57</v>
      </c>
      <c r="B9">
        <v>54</v>
      </c>
      <c r="C9" t="s">
        <v>27</v>
      </c>
      <c r="D9" t="s">
        <v>52</v>
      </c>
      <c r="E9" t="s">
        <v>55</v>
      </c>
      <c r="F9" t="s">
        <v>37</v>
      </c>
      <c r="G9">
        <v>160495</v>
      </c>
      <c r="H9">
        <v>31</v>
      </c>
      <c r="I9">
        <v>32</v>
      </c>
      <c r="J9">
        <v>5</v>
      </c>
      <c r="K9">
        <v>1</v>
      </c>
      <c r="L9">
        <v>4</v>
      </c>
      <c r="M9">
        <v>1</v>
      </c>
      <c r="N9" t="s">
        <v>33</v>
      </c>
      <c r="O9" t="s">
        <v>32</v>
      </c>
      <c r="P9">
        <v>7</v>
      </c>
      <c r="Q9">
        <v>11</v>
      </c>
      <c r="R9">
        <v>2</v>
      </c>
      <c r="S9" t="s">
        <v>33</v>
      </c>
      <c r="T9">
        <v>5</v>
      </c>
      <c r="U9" t="s">
        <v>31</v>
      </c>
      <c r="V9" s="1">
        <v>44383</v>
      </c>
    </row>
    <row r="10" spans="1:23" x14ac:dyDescent="0.35">
      <c r="A10" t="s">
        <v>58</v>
      </c>
      <c r="B10">
        <v>23</v>
      </c>
      <c r="C10" t="s">
        <v>27</v>
      </c>
      <c r="D10" t="s">
        <v>39</v>
      </c>
      <c r="E10" t="s">
        <v>59</v>
      </c>
      <c r="F10" t="s">
        <v>41</v>
      </c>
      <c r="G10">
        <v>56218</v>
      </c>
      <c r="H10">
        <v>0</v>
      </c>
      <c r="I10">
        <v>1</v>
      </c>
      <c r="J10">
        <v>2</v>
      </c>
      <c r="K10">
        <v>1</v>
      </c>
      <c r="L10">
        <v>3</v>
      </c>
      <c r="M10">
        <v>2</v>
      </c>
      <c r="N10" t="s">
        <v>31</v>
      </c>
      <c r="O10" t="s">
        <v>32</v>
      </c>
      <c r="P10">
        <v>11</v>
      </c>
      <c r="Q10">
        <v>57</v>
      </c>
      <c r="R10">
        <v>3</v>
      </c>
      <c r="S10" t="s">
        <v>31</v>
      </c>
      <c r="T10">
        <v>6</v>
      </c>
      <c r="U10" t="s">
        <v>31</v>
      </c>
      <c r="V10" s="1">
        <v>41055</v>
      </c>
    </row>
    <row r="11" spans="1:23" x14ac:dyDescent="0.35">
      <c r="A11" t="s">
        <v>60</v>
      </c>
      <c r="B11">
        <v>41</v>
      </c>
      <c r="C11" t="s">
        <v>44</v>
      </c>
      <c r="D11" t="s">
        <v>52</v>
      </c>
      <c r="E11" t="s">
        <v>53</v>
      </c>
      <c r="F11" t="s">
        <v>61</v>
      </c>
      <c r="G11">
        <v>96919</v>
      </c>
      <c r="H11">
        <v>6</v>
      </c>
      <c r="I11">
        <v>17</v>
      </c>
      <c r="J11">
        <v>4</v>
      </c>
      <c r="K11">
        <v>1</v>
      </c>
      <c r="L11">
        <v>3</v>
      </c>
      <c r="M11">
        <v>4</v>
      </c>
      <c r="N11" t="s">
        <v>33</v>
      </c>
      <c r="O11" t="s">
        <v>32</v>
      </c>
      <c r="P11">
        <v>10</v>
      </c>
      <c r="Q11">
        <v>44</v>
      </c>
      <c r="R11">
        <v>3</v>
      </c>
      <c r="S11" t="s">
        <v>31</v>
      </c>
      <c r="T11">
        <v>8</v>
      </c>
      <c r="U11" t="s">
        <v>31</v>
      </c>
      <c r="V11" s="1">
        <v>42591</v>
      </c>
    </row>
    <row r="12" spans="1:23" x14ac:dyDescent="0.35">
      <c r="A12" t="s">
        <v>62</v>
      </c>
      <c r="B12">
        <v>37</v>
      </c>
      <c r="C12" t="s">
        <v>44</v>
      </c>
      <c r="D12" t="s">
        <v>45</v>
      </c>
      <c r="E12" t="s">
        <v>63</v>
      </c>
      <c r="F12" t="s">
        <v>61</v>
      </c>
      <c r="G12">
        <v>59648</v>
      </c>
      <c r="H12">
        <v>3</v>
      </c>
      <c r="I12">
        <v>13</v>
      </c>
      <c r="J12">
        <v>2</v>
      </c>
      <c r="K12">
        <v>4</v>
      </c>
      <c r="L12">
        <v>4</v>
      </c>
      <c r="M12">
        <v>2</v>
      </c>
      <c r="N12" t="s">
        <v>31</v>
      </c>
      <c r="O12" t="s">
        <v>32</v>
      </c>
      <c r="P12">
        <v>25</v>
      </c>
      <c r="Q12">
        <v>44</v>
      </c>
      <c r="R12">
        <v>3</v>
      </c>
      <c r="S12" t="s">
        <v>31</v>
      </c>
      <c r="T12">
        <v>6</v>
      </c>
      <c r="U12" t="s">
        <v>31</v>
      </c>
      <c r="V12" s="1">
        <v>42209</v>
      </c>
    </row>
    <row r="13" spans="1:23" x14ac:dyDescent="0.35">
      <c r="A13" t="s">
        <v>64</v>
      </c>
      <c r="B13">
        <v>41</v>
      </c>
      <c r="C13" t="s">
        <v>27</v>
      </c>
      <c r="D13" t="s">
        <v>49</v>
      </c>
      <c r="E13" t="s">
        <v>50</v>
      </c>
      <c r="F13" t="s">
        <v>61</v>
      </c>
      <c r="G13">
        <v>108565</v>
      </c>
      <c r="H13">
        <v>11</v>
      </c>
      <c r="I13">
        <v>17</v>
      </c>
      <c r="J13">
        <v>4</v>
      </c>
      <c r="K13">
        <v>3</v>
      </c>
      <c r="L13">
        <v>2</v>
      </c>
      <c r="M13">
        <v>2</v>
      </c>
      <c r="N13" t="s">
        <v>31</v>
      </c>
      <c r="O13" t="s">
        <v>32</v>
      </c>
      <c r="P13">
        <v>8</v>
      </c>
      <c r="Q13">
        <v>36</v>
      </c>
      <c r="R13">
        <v>3</v>
      </c>
      <c r="S13" t="s">
        <v>31</v>
      </c>
      <c r="T13">
        <v>7</v>
      </c>
      <c r="U13" t="s">
        <v>31</v>
      </c>
      <c r="V13" s="1">
        <v>42152</v>
      </c>
    </row>
    <row r="14" spans="1:23" x14ac:dyDescent="0.35">
      <c r="A14" t="s">
        <v>65</v>
      </c>
      <c r="B14">
        <v>51</v>
      </c>
      <c r="C14" t="s">
        <v>44</v>
      </c>
      <c r="D14" t="s">
        <v>28</v>
      </c>
      <c r="E14" t="s">
        <v>66</v>
      </c>
      <c r="F14" t="s">
        <v>37</v>
      </c>
      <c r="G14">
        <v>85327</v>
      </c>
      <c r="H14">
        <v>8</v>
      </c>
      <c r="I14">
        <v>27</v>
      </c>
      <c r="J14">
        <v>3</v>
      </c>
      <c r="K14">
        <v>1</v>
      </c>
      <c r="L14">
        <v>1</v>
      </c>
      <c r="M14">
        <v>2</v>
      </c>
      <c r="N14" t="s">
        <v>31</v>
      </c>
      <c r="O14" t="s">
        <v>42</v>
      </c>
      <c r="P14">
        <v>29</v>
      </c>
      <c r="Q14">
        <v>30</v>
      </c>
      <c r="R14">
        <v>4</v>
      </c>
      <c r="S14" t="s">
        <v>31</v>
      </c>
      <c r="T14">
        <v>6</v>
      </c>
      <c r="U14" t="s">
        <v>31</v>
      </c>
      <c r="V14" s="1">
        <v>44923</v>
      </c>
    </row>
    <row r="15" spans="1:23" x14ac:dyDescent="0.35">
      <c r="A15" t="s">
        <v>67</v>
      </c>
      <c r="B15">
        <v>43</v>
      </c>
      <c r="C15" t="s">
        <v>27</v>
      </c>
      <c r="D15" t="s">
        <v>49</v>
      </c>
      <c r="E15" t="s">
        <v>68</v>
      </c>
      <c r="F15" t="s">
        <v>30</v>
      </c>
      <c r="G15">
        <v>136560</v>
      </c>
      <c r="H15">
        <v>16</v>
      </c>
      <c r="I15">
        <v>21</v>
      </c>
      <c r="J15">
        <v>5</v>
      </c>
      <c r="K15">
        <v>3</v>
      </c>
      <c r="L15">
        <v>2</v>
      </c>
      <c r="M15">
        <v>4</v>
      </c>
      <c r="N15" t="s">
        <v>33</v>
      </c>
      <c r="O15" t="s">
        <v>32</v>
      </c>
      <c r="P15">
        <v>18</v>
      </c>
      <c r="Q15">
        <v>34</v>
      </c>
      <c r="R15">
        <v>3</v>
      </c>
      <c r="S15" t="s">
        <v>33</v>
      </c>
      <c r="T15">
        <v>1</v>
      </c>
      <c r="U15" t="s">
        <v>31</v>
      </c>
      <c r="V15" s="1">
        <v>45024</v>
      </c>
    </row>
    <row r="16" spans="1:23" x14ac:dyDescent="0.35">
      <c r="A16" t="s">
        <v>69</v>
      </c>
      <c r="B16">
        <v>22</v>
      </c>
      <c r="C16" t="s">
        <v>27</v>
      </c>
      <c r="D16" t="s">
        <v>45</v>
      </c>
      <c r="E16" t="s">
        <v>63</v>
      </c>
      <c r="F16" t="s">
        <v>56</v>
      </c>
      <c r="G16">
        <v>38166</v>
      </c>
      <c r="H16">
        <v>0</v>
      </c>
      <c r="I16">
        <v>1</v>
      </c>
      <c r="J16">
        <v>1</v>
      </c>
      <c r="K16">
        <v>4</v>
      </c>
      <c r="L16">
        <v>2</v>
      </c>
      <c r="M16">
        <v>2</v>
      </c>
      <c r="N16" t="s">
        <v>31</v>
      </c>
      <c r="O16" t="s">
        <v>32</v>
      </c>
      <c r="P16">
        <v>26</v>
      </c>
      <c r="Q16">
        <v>31</v>
      </c>
      <c r="R16">
        <v>3</v>
      </c>
      <c r="S16" t="s">
        <v>31</v>
      </c>
      <c r="T16">
        <v>2</v>
      </c>
      <c r="U16" t="s">
        <v>31</v>
      </c>
      <c r="V16" s="1">
        <v>43400</v>
      </c>
    </row>
    <row r="17" spans="1:23" x14ac:dyDescent="0.35">
      <c r="A17" t="s">
        <v>70</v>
      </c>
      <c r="B17">
        <v>58</v>
      </c>
      <c r="C17" t="s">
        <v>27</v>
      </c>
      <c r="D17" t="s">
        <v>28</v>
      </c>
      <c r="E17" t="s">
        <v>66</v>
      </c>
      <c r="F17" t="s">
        <v>41</v>
      </c>
      <c r="G17">
        <v>65315</v>
      </c>
      <c r="H17">
        <v>4</v>
      </c>
      <c r="I17">
        <v>34</v>
      </c>
      <c r="J17">
        <v>2</v>
      </c>
      <c r="K17">
        <v>2</v>
      </c>
      <c r="L17">
        <v>1</v>
      </c>
      <c r="M17">
        <v>4</v>
      </c>
      <c r="N17" t="s">
        <v>31</v>
      </c>
      <c r="O17" t="s">
        <v>32</v>
      </c>
      <c r="P17">
        <v>20</v>
      </c>
      <c r="Q17">
        <v>25</v>
      </c>
      <c r="R17">
        <v>3</v>
      </c>
      <c r="S17" t="s">
        <v>31</v>
      </c>
      <c r="T17">
        <v>6</v>
      </c>
      <c r="U17" t="s">
        <v>31</v>
      </c>
      <c r="V17" s="1">
        <v>41025</v>
      </c>
    </row>
    <row r="18" spans="1:23" x14ac:dyDescent="0.35">
      <c r="A18" t="s">
        <v>71</v>
      </c>
      <c r="B18">
        <v>44</v>
      </c>
      <c r="C18" t="s">
        <v>27</v>
      </c>
      <c r="D18" t="s">
        <v>52</v>
      </c>
      <c r="E18" t="s">
        <v>53</v>
      </c>
      <c r="F18" t="s">
        <v>61</v>
      </c>
      <c r="G18">
        <v>39849</v>
      </c>
      <c r="H18">
        <v>0</v>
      </c>
      <c r="I18">
        <v>22</v>
      </c>
      <c r="J18">
        <v>1</v>
      </c>
      <c r="K18">
        <v>4</v>
      </c>
      <c r="L18">
        <v>2</v>
      </c>
      <c r="M18">
        <v>2</v>
      </c>
      <c r="N18" t="s">
        <v>31</v>
      </c>
      <c r="O18" t="s">
        <v>32</v>
      </c>
      <c r="P18">
        <v>16</v>
      </c>
      <c r="Q18">
        <v>48</v>
      </c>
      <c r="R18">
        <v>3</v>
      </c>
      <c r="S18" t="s">
        <v>31</v>
      </c>
      <c r="T18">
        <v>4</v>
      </c>
      <c r="U18" t="s">
        <v>31</v>
      </c>
      <c r="V18" s="1">
        <v>43653</v>
      </c>
    </row>
    <row r="19" spans="1:23" x14ac:dyDescent="0.35">
      <c r="A19" t="s">
        <v>72</v>
      </c>
      <c r="B19">
        <v>50</v>
      </c>
      <c r="C19" t="s">
        <v>27</v>
      </c>
      <c r="D19" t="s">
        <v>28</v>
      </c>
      <c r="E19" t="s">
        <v>29</v>
      </c>
      <c r="F19" t="s">
        <v>61</v>
      </c>
      <c r="G19">
        <v>126059</v>
      </c>
      <c r="H19">
        <v>13</v>
      </c>
      <c r="I19">
        <v>28</v>
      </c>
      <c r="J19">
        <v>5</v>
      </c>
      <c r="K19">
        <v>1</v>
      </c>
      <c r="L19">
        <v>4</v>
      </c>
      <c r="M19">
        <v>4</v>
      </c>
      <c r="N19" t="s">
        <v>31</v>
      </c>
      <c r="O19" t="s">
        <v>32</v>
      </c>
      <c r="P19">
        <v>1</v>
      </c>
      <c r="Q19">
        <v>39</v>
      </c>
      <c r="R19">
        <v>2</v>
      </c>
      <c r="S19" t="s">
        <v>33</v>
      </c>
      <c r="T19">
        <v>4</v>
      </c>
      <c r="U19" t="s">
        <v>33</v>
      </c>
      <c r="V19" s="1">
        <v>42540</v>
      </c>
      <c r="W19" s="1">
        <v>43408</v>
      </c>
    </row>
    <row r="20" spans="1:23" x14ac:dyDescent="0.35">
      <c r="A20" t="s">
        <v>73</v>
      </c>
      <c r="B20">
        <v>26</v>
      </c>
      <c r="C20" t="s">
        <v>44</v>
      </c>
      <c r="D20" t="s">
        <v>39</v>
      </c>
      <c r="E20" t="s">
        <v>74</v>
      </c>
      <c r="F20" t="s">
        <v>41</v>
      </c>
      <c r="G20">
        <v>57687</v>
      </c>
      <c r="H20">
        <v>2</v>
      </c>
      <c r="I20">
        <v>2</v>
      </c>
      <c r="J20">
        <v>2</v>
      </c>
      <c r="K20">
        <v>4</v>
      </c>
      <c r="L20">
        <v>2</v>
      </c>
      <c r="M20">
        <v>3</v>
      </c>
      <c r="N20" t="s">
        <v>31</v>
      </c>
      <c r="O20" t="s">
        <v>32</v>
      </c>
      <c r="P20">
        <v>5</v>
      </c>
      <c r="Q20">
        <v>21</v>
      </c>
      <c r="R20">
        <v>3</v>
      </c>
      <c r="S20" t="s">
        <v>31</v>
      </c>
      <c r="T20">
        <v>4</v>
      </c>
      <c r="U20" t="s">
        <v>31</v>
      </c>
      <c r="V20" s="1">
        <v>44878</v>
      </c>
    </row>
    <row r="21" spans="1:23" x14ac:dyDescent="0.35">
      <c r="A21" t="s">
        <v>75</v>
      </c>
      <c r="B21">
        <v>56</v>
      </c>
      <c r="C21" t="s">
        <v>27</v>
      </c>
      <c r="D21" t="s">
        <v>39</v>
      </c>
      <c r="E21" t="s">
        <v>74</v>
      </c>
      <c r="F21" t="s">
        <v>30</v>
      </c>
      <c r="G21">
        <v>147417</v>
      </c>
      <c r="H21">
        <v>25</v>
      </c>
      <c r="I21">
        <v>34</v>
      </c>
      <c r="J21">
        <v>5</v>
      </c>
      <c r="K21">
        <v>3</v>
      </c>
      <c r="L21">
        <v>1</v>
      </c>
      <c r="M21">
        <v>3</v>
      </c>
      <c r="N21" t="s">
        <v>31</v>
      </c>
      <c r="O21" t="s">
        <v>32</v>
      </c>
      <c r="P21">
        <v>29</v>
      </c>
      <c r="Q21">
        <v>45</v>
      </c>
      <c r="R21">
        <v>2</v>
      </c>
      <c r="S21" t="s">
        <v>31</v>
      </c>
      <c r="T21">
        <v>7</v>
      </c>
      <c r="U21" t="s">
        <v>31</v>
      </c>
      <c r="V21" s="1">
        <v>45041</v>
      </c>
    </row>
    <row r="22" spans="1:23" x14ac:dyDescent="0.35">
      <c r="A22" t="s">
        <v>76</v>
      </c>
      <c r="B22">
        <v>33</v>
      </c>
      <c r="C22" t="s">
        <v>27</v>
      </c>
      <c r="D22" t="s">
        <v>28</v>
      </c>
      <c r="E22" t="s">
        <v>29</v>
      </c>
      <c r="F22" t="s">
        <v>61</v>
      </c>
      <c r="G22">
        <v>103392</v>
      </c>
      <c r="H22">
        <v>8</v>
      </c>
      <c r="I22">
        <v>10</v>
      </c>
      <c r="J22">
        <v>4</v>
      </c>
      <c r="K22">
        <v>1</v>
      </c>
      <c r="L22">
        <v>2</v>
      </c>
      <c r="M22">
        <v>4</v>
      </c>
      <c r="N22" t="s">
        <v>31</v>
      </c>
      <c r="O22" t="s">
        <v>42</v>
      </c>
      <c r="P22">
        <v>17</v>
      </c>
      <c r="Q22">
        <v>45</v>
      </c>
      <c r="R22">
        <v>3</v>
      </c>
      <c r="S22" t="s">
        <v>31</v>
      </c>
      <c r="T22">
        <v>7</v>
      </c>
      <c r="U22" t="s">
        <v>31</v>
      </c>
      <c r="V22" s="1">
        <v>43847</v>
      </c>
    </row>
    <row r="23" spans="1:23" x14ac:dyDescent="0.35">
      <c r="A23" t="s">
        <v>77</v>
      </c>
      <c r="B23">
        <v>42</v>
      </c>
      <c r="C23" t="s">
        <v>44</v>
      </c>
      <c r="D23" t="s">
        <v>35</v>
      </c>
      <c r="E23" t="s">
        <v>36</v>
      </c>
      <c r="F23" t="s">
        <v>78</v>
      </c>
      <c r="G23">
        <v>117982</v>
      </c>
      <c r="H23">
        <v>9</v>
      </c>
      <c r="I23">
        <v>21</v>
      </c>
      <c r="J23">
        <v>5</v>
      </c>
      <c r="K23">
        <v>2</v>
      </c>
      <c r="L23">
        <v>3</v>
      </c>
      <c r="M23">
        <v>2</v>
      </c>
      <c r="N23" t="s">
        <v>31</v>
      </c>
      <c r="O23" t="s">
        <v>32</v>
      </c>
      <c r="P23">
        <v>18</v>
      </c>
      <c r="Q23">
        <v>56</v>
      </c>
      <c r="R23">
        <v>3</v>
      </c>
      <c r="S23" t="s">
        <v>31</v>
      </c>
      <c r="T23">
        <v>3</v>
      </c>
      <c r="U23" t="s">
        <v>31</v>
      </c>
      <c r="V23" s="1">
        <v>43902</v>
      </c>
    </row>
    <row r="24" spans="1:23" x14ac:dyDescent="0.35">
      <c r="A24" t="s">
        <v>79</v>
      </c>
      <c r="B24">
        <v>48</v>
      </c>
      <c r="C24" t="s">
        <v>44</v>
      </c>
      <c r="D24" t="s">
        <v>28</v>
      </c>
      <c r="E24" t="s">
        <v>29</v>
      </c>
      <c r="F24" t="s">
        <v>78</v>
      </c>
      <c r="G24">
        <v>138615</v>
      </c>
      <c r="H24">
        <v>18</v>
      </c>
      <c r="I24">
        <v>26</v>
      </c>
      <c r="J24">
        <v>5</v>
      </c>
      <c r="K24">
        <v>1</v>
      </c>
      <c r="L24">
        <v>1</v>
      </c>
      <c r="M24">
        <v>2</v>
      </c>
      <c r="N24" t="s">
        <v>31</v>
      </c>
      <c r="O24" t="s">
        <v>47</v>
      </c>
      <c r="P24">
        <v>4</v>
      </c>
      <c r="Q24">
        <v>45</v>
      </c>
      <c r="R24">
        <v>3</v>
      </c>
      <c r="S24" t="s">
        <v>31</v>
      </c>
      <c r="T24">
        <v>5</v>
      </c>
      <c r="U24" t="s">
        <v>31</v>
      </c>
      <c r="V24" s="1">
        <v>42152</v>
      </c>
    </row>
    <row r="25" spans="1:23" x14ac:dyDescent="0.35">
      <c r="A25" t="s">
        <v>80</v>
      </c>
      <c r="B25">
        <v>41</v>
      </c>
      <c r="C25" t="s">
        <v>27</v>
      </c>
      <c r="D25" t="s">
        <v>28</v>
      </c>
      <c r="E25" t="s">
        <v>29</v>
      </c>
      <c r="F25" t="s">
        <v>61</v>
      </c>
      <c r="G25">
        <v>38996</v>
      </c>
      <c r="H25">
        <v>0</v>
      </c>
      <c r="I25">
        <v>18</v>
      </c>
      <c r="J25">
        <v>1</v>
      </c>
      <c r="K25">
        <v>4</v>
      </c>
      <c r="L25">
        <v>2</v>
      </c>
      <c r="M25">
        <v>1</v>
      </c>
      <c r="N25" t="s">
        <v>33</v>
      </c>
      <c r="O25" t="s">
        <v>42</v>
      </c>
      <c r="P25">
        <v>6</v>
      </c>
      <c r="Q25">
        <v>15</v>
      </c>
      <c r="R25">
        <v>3</v>
      </c>
      <c r="S25" t="s">
        <v>31</v>
      </c>
      <c r="T25">
        <v>4</v>
      </c>
      <c r="U25" t="s">
        <v>33</v>
      </c>
      <c r="V25" s="1">
        <v>43720</v>
      </c>
      <c r="W25" s="1">
        <v>44048</v>
      </c>
    </row>
    <row r="26" spans="1:23" x14ac:dyDescent="0.35">
      <c r="A26" t="s">
        <v>81</v>
      </c>
      <c r="B26">
        <v>57</v>
      </c>
      <c r="C26" t="s">
        <v>44</v>
      </c>
      <c r="D26" t="s">
        <v>52</v>
      </c>
      <c r="E26" t="s">
        <v>53</v>
      </c>
      <c r="F26" t="s">
        <v>30</v>
      </c>
      <c r="G26">
        <v>126486</v>
      </c>
      <c r="H26">
        <v>13</v>
      </c>
      <c r="I26">
        <v>34</v>
      </c>
      <c r="J26">
        <v>5</v>
      </c>
      <c r="K26">
        <v>1</v>
      </c>
      <c r="L26">
        <v>1</v>
      </c>
      <c r="M26">
        <v>2</v>
      </c>
      <c r="N26" t="s">
        <v>31</v>
      </c>
      <c r="O26" t="s">
        <v>32</v>
      </c>
      <c r="P26">
        <v>12</v>
      </c>
      <c r="Q26">
        <v>19</v>
      </c>
      <c r="R26">
        <v>3</v>
      </c>
      <c r="S26" t="s">
        <v>33</v>
      </c>
      <c r="T26">
        <v>5</v>
      </c>
      <c r="U26" t="s">
        <v>31</v>
      </c>
      <c r="V26" s="1">
        <v>41448</v>
      </c>
    </row>
    <row r="27" spans="1:23" x14ac:dyDescent="0.35">
      <c r="A27" t="s">
        <v>82</v>
      </c>
      <c r="B27">
        <v>49</v>
      </c>
      <c r="C27" t="s">
        <v>27</v>
      </c>
      <c r="D27" t="s">
        <v>52</v>
      </c>
      <c r="E27" t="s">
        <v>55</v>
      </c>
      <c r="F27" t="s">
        <v>37</v>
      </c>
      <c r="G27">
        <v>134024</v>
      </c>
      <c r="H27">
        <v>16</v>
      </c>
      <c r="I27">
        <v>27</v>
      </c>
      <c r="J27">
        <v>5</v>
      </c>
      <c r="K27">
        <v>1</v>
      </c>
      <c r="L27">
        <v>4</v>
      </c>
      <c r="M27">
        <v>1</v>
      </c>
      <c r="N27" t="s">
        <v>33</v>
      </c>
      <c r="O27" t="s">
        <v>47</v>
      </c>
      <c r="P27">
        <v>29</v>
      </c>
      <c r="Q27">
        <v>15</v>
      </c>
      <c r="R27">
        <v>3</v>
      </c>
      <c r="S27" t="s">
        <v>33</v>
      </c>
      <c r="T27">
        <v>6</v>
      </c>
      <c r="U27" t="s">
        <v>31</v>
      </c>
      <c r="V27" s="1">
        <v>44045</v>
      </c>
    </row>
    <row r="28" spans="1:23" x14ac:dyDescent="0.35">
      <c r="A28" t="s">
        <v>83</v>
      </c>
      <c r="B28">
        <v>39</v>
      </c>
      <c r="C28" t="s">
        <v>44</v>
      </c>
      <c r="D28" t="s">
        <v>35</v>
      </c>
      <c r="E28" t="s">
        <v>36</v>
      </c>
      <c r="F28" t="s">
        <v>78</v>
      </c>
      <c r="G28">
        <v>133000</v>
      </c>
      <c r="H28">
        <v>16</v>
      </c>
      <c r="I28">
        <v>17</v>
      </c>
      <c r="J28">
        <v>5</v>
      </c>
      <c r="K28">
        <v>2</v>
      </c>
      <c r="L28">
        <v>1</v>
      </c>
      <c r="M28">
        <v>3</v>
      </c>
      <c r="N28" t="s">
        <v>33</v>
      </c>
      <c r="O28" t="s">
        <v>32</v>
      </c>
      <c r="P28">
        <v>28</v>
      </c>
      <c r="Q28">
        <v>26</v>
      </c>
      <c r="R28">
        <v>2</v>
      </c>
      <c r="S28" t="s">
        <v>31</v>
      </c>
      <c r="T28">
        <v>7</v>
      </c>
      <c r="U28" t="s">
        <v>31</v>
      </c>
      <c r="V28" s="1">
        <v>41625</v>
      </c>
    </row>
    <row r="29" spans="1:23" x14ac:dyDescent="0.35">
      <c r="A29" t="s">
        <v>84</v>
      </c>
      <c r="B29">
        <v>25</v>
      </c>
      <c r="C29" t="s">
        <v>27</v>
      </c>
      <c r="D29" t="s">
        <v>35</v>
      </c>
      <c r="E29" t="s">
        <v>85</v>
      </c>
      <c r="F29" t="s">
        <v>30</v>
      </c>
      <c r="G29">
        <v>53574</v>
      </c>
      <c r="H29">
        <v>0</v>
      </c>
      <c r="I29">
        <v>1</v>
      </c>
      <c r="J29">
        <v>2</v>
      </c>
      <c r="K29">
        <v>2</v>
      </c>
      <c r="L29">
        <v>2</v>
      </c>
      <c r="M29">
        <v>2</v>
      </c>
      <c r="N29" t="s">
        <v>31</v>
      </c>
      <c r="O29" t="s">
        <v>32</v>
      </c>
      <c r="P29">
        <v>1</v>
      </c>
      <c r="Q29">
        <v>53</v>
      </c>
      <c r="R29">
        <v>3</v>
      </c>
      <c r="S29" t="s">
        <v>31</v>
      </c>
      <c r="T29">
        <v>4</v>
      </c>
      <c r="U29" t="s">
        <v>31</v>
      </c>
      <c r="V29" s="1">
        <v>44890</v>
      </c>
    </row>
    <row r="30" spans="1:23" x14ac:dyDescent="0.35">
      <c r="A30" t="s">
        <v>86</v>
      </c>
      <c r="B30">
        <v>23</v>
      </c>
      <c r="C30" t="s">
        <v>44</v>
      </c>
      <c r="D30" t="s">
        <v>45</v>
      </c>
      <c r="E30" t="s">
        <v>63</v>
      </c>
      <c r="F30" t="s">
        <v>41</v>
      </c>
      <c r="G30">
        <v>60241</v>
      </c>
      <c r="H30">
        <v>1</v>
      </c>
      <c r="I30">
        <v>1</v>
      </c>
      <c r="J30">
        <v>2</v>
      </c>
      <c r="K30">
        <v>2</v>
      </c>
      <c r="L30">
        <v>2</v>
      </c>
      <c r="M30">
        <v>3</v>
      </c>
      <c r="N30" t="s">
        <v>31</v>
      </c>
      <c r="O30" t="s">
        <v>32</v>
      </c>
      <c r="P30">
        <v>6</v>
      </c>
      <c r="Q30">
        <v>42</v>
      </c>
      <c r="R30">
        <v>3</v>
      </c>
      <c r="S30" t="s">
        <v>31</v>
      </c>
      <c r="T30">
        <v>8</v>
      </c>
      <c r="U30" t="s">
        <v>31</v>
      </c>
      <c r="V30" s="1">
        <v>43502</v>
      </c>
    </row>
    <row r="31" spans="1:23" x14ac:dyDescent="0.35">
      <c r="A31" t="s">
        <v>87</v>
      </c>
      <c r="B31">
        <v>27</v>
      </c>
      <c r="C31" t="s">
        <v>27</v>
      </c>
      <c r="D31" t="s">
        <v>28</v>
      </c>
      <c r="E31" t="s">
        <v>66</v>
      </c>
      <c r="F31" t="s">
        <v>37</v>
      </c>
      <c r="G31">
        <v>47254</v>
      </c>
      <c r="H31">
        <v>2</v>
      </c>
      <c r="I31">
        <v>4</v>
      </c>
      <c r="J31">
        <v>1</v>
      </c>
      <c r="K31">
        <v>1</v>
      </c>
      <c r="L31">
        <v>3</v>
      </c>
      <c r="M31">
        <v>3</v>
      </c>
      <c r="N31" t="s">
        <v>31</v>
      </c>
      <c r="O31" t="s">
        <v>32</v>
      </c>
      <c r="P31">
        <v>4</v>
      </c>
      <c r="Q31">
        <v>49</v>
      </c>
      <c r="R31">
        <v>3</v>
      </c>
      <c r="S31" t="s">
        <v>31</v>
      </c>
      <c r="T31">
        <v>8</v>
      </c>
      <c r="U31" t="s">
        <v>31</v>
      </c>
      <c r="V31" s="1">
        <v>41432</v>
      </c>
    </row>
    <row r="32" spans="1:23" x14ac:dyDescent="0.35">
      <c r="A32" t="s">
        <v>88</v>
      </c>
      <c r="B32">
        <v>47</v>
      </c>
      <c r="C32" t="s">
        <v>44</v>
      </c>
      <c r="D32" t="s">
        <v>35</v>
      </c>
      <c r="E32" t="s">
        <v>85</v>
      </c>
      <c r="F32" t="s">
        <v>30</v>
      </c>
      <c r="G32">
        <v>155937</v>
      </c>
      <c r="H32">
        <v>26</v>
      </c>
      <c r="I32">
        <v>26</v>
      </c>
      <c r="J32">
        <v>5</v>
      </c>
      <c r="K32">
        <v>1</v>
      </c>
      <c r="L32">
        <v>3</v>
      </c>
      <c r="M32">
        <v>1</v>
      </c>
      <c r="N32" t="s">
        <v>31</v>
      </c>
      <c r="O32" t="s">
        <v>32</v>
      </c>
      <c r="P32">
        <v>16</v>
      </c>
      <c r="Q32">
        <v>26</v>
      </c>
      <c r="R32">
        <v>3</v>
      </c>
      <c r="S32" t="s">
        <v>31</v>
      </c>
      <c r="T32">
        <v>5</v>
      </c>
      <c r="U32" t="s">
        <v>31</v>
      </c>
      <c r="V32" s="1">
        <v>43034</v>
      </c>
    </row>
    <row r="33" spans="1:23" x14ac:dyDescent="0.35">
      <c r="A33" t="s">
        <v>89</v>
      </c>
      <c r="B33">
        <v>45</v>
      </c>
      <c r="C33" t="s">
        <v>44</v>
      </c>
      <c r="D33" t="s">
        <v>39</v>
      </c>
      <c r="E33" t="s">
        <v>59</v>
      </c>
      <c r="F33" t="s">
        <v>37</v>
      </c>
      <c r="G33">
        <v>138122</v>
      </c>
      <c r="H33">
        <v>18</v>
      </c>
      <c r="I33">
        <v>21</v>
      </c>
      <c r="J33">
        <v>5</v>
      </c>
      <c r="K33">
        <v>3</v>
      </c>
      <c r="L33">
        <v>3</v>
      </c>
      <c r="M33">
        <v>2</v>
      </c>
      <c r="N33" t="s">
        <v>33</v>
      </c>
      <c r="O33" t="s">
        <v>42</v>
      </c>
      <c r="P33">
        <v>6</v>
      </c>
      <c r="Q33">
        <v>44</v>
      </c>
      <c r="R33">
        <v>3</v>
      </c>
      <c r="S33" t="s">
        <v>31</v>
      </c>
      <c r="T33">
        <v>4</v>
      </c>
      <c r="U33" t="s">
        <v>31</v>
      </c>
      <c r="V33" s="1">
        <v>41034</v>
      </c>
    </row>
    <row r="34" spans="1:23" x14ac:dyDescent="0.35">
      <c r="A34" t="s">
        <v>90</v>
      </c>
      <c r="B34">
        <v>46</v>
      </c>
      <c r="C34" t="s">
        <v>44</v>
      </c>
      <c r="D34" t="s">
        <v>52</v>
      </c>
      <c r="E34" t="s">
        <v>53</v>
      </c>
      <c r="F34" t="s">
        <v>41</v>
      </c>
      <c r="G34">
        <v>43156</v>
      </c>
      <c r="H34">
        <v>2</v>
      </c>
      <c r="I34">
        <v>24</v>
      </c>
      <c r="J34">
        <v>1</v>
      </c>
      <c r="K34">
        <v>2</v>
      </c>
      <c r="L34">
        <v>3</v>
      </c>
      <c r="M34">
        <v>4</v>
      </c>
      <c r="N34" t="s">
        <v>31</v>
      </c>
      <c r="O34" t="s">
        <v>42</v>
      </c>
      <c r="P34">
        <v>17</v>
      </c>
      <c r="Q34">
        <v>53</v>
      </c>
      <c r="R34">
        <v>3</v>
      </c>
      <c r="S34" t="s">
        <v>31</v>
      </c>
      <c r="T34">
        <v>4</v>
      </c>
      <c r="U34" t="s">
        <v>31</v>
      </c>
      <c r="V34" s="1">
        <v>41785</v>
      </c>
    </row>
    <row r="35" spans="1:23" x14ac:dyDescent="0.35">
      <c r="A35" t="s">
        <v>91</v>
      </c>
      <c r="B35">
        <v>27</v>
      </c>
      <c r="C35" t="s">
        <v>44</v>
      </c>
      <c r="D35" t="s">
        <v>35</v>
      </c>
      <c r="E35" t="s">
        <v>36</v>
      </c>
      <c r="F35" t="s">
        <v>56</v>
      </c>
      <c r="G35">
        <v>82622</v>
      </c>
      <c r="H35">
        <v>5</v>
      </c>
      <c r="I35">
        <v>6</v>
      </c>
      <c r="J35">
        <v>3</v>
      </c>
      <c r="K35">
        <v>4</v>
      </c>
      <c r="L35">
        <v>4</v>
      </c>
      <c r="M35">
        <v>2</v>
      </c>
      <c r="N35" t="s">
        <v>33</v>
      </c>
      <c r="O35" t="s">
        <v>32</v>
      </c>
      <c r="P35">
        <v>23</v>
      </c>
      <c r="Q35">
        <v>18</v>
      </c>
      <c r="R35">
        <v>3</v>
      </c>
      <c r="S35" t="s">
        <v>31</v>
      </c>
      <c r="T35">
        <v>7</v>
      </c>
      <c r="U35" t="s">
        <v>31</v>
      </c>
      <c r="V35" s="1">
        <v>43460</v>
      </c>
    </row>
    <row r="36" spans="1:23" x14ac:dyDescent="0.35">
      <c r="A36" t="s">
        <v>92</v>
      </c>
      <c r="B36">
        <v>59</v>
      </c>
      <c r="C36" t="s">
        <v>44</v>
      </c>
      <c r="D36" t="s">
        <v>35</v>
      </c>
      <c r="E36" t="s">
        <v>85</v>
      </c>
      <c r="F36" t="s">
        <v>37</v>
      </c>
      <c r="G36">
        <v>153316</v>
      </c>
      <c r="H36">
        <v>25</v>
      </c>
      <c r="I36">
        <v>35</v>
      </c>
      <c r="J36">
        <v>5</v>
      </c>
      <c r="K36">
        <v>4</v>
      </c>
      <c r="L36">
        <v>1</v>
      </c>
      <c r="M36">
        <v>2</v>
      </c>
      <c r="N36" t="s">
        <v>31</v>
      </c>
      <c r="O36" t="s">
        <v>32</v>
      </c>
      <c r="P36">
        <v>20</v>
      </c>
      <c r="Q36">
        <v>58</v>
      </c>
      <c r="R36">
        <v>4</v>
      </c>
      <c r="S36" t="s">
        <v>31</v>
      </c>
      <c r="T36">
        <v>6</v>
      </c>
      <c r="U36" t="s">
        <v>31</v>
      </c>
      <c r="V36" s="1">
        <v>42948</v>
      </c>
    </row>
    <row r="37" spans="1:23" x14ac:dyDescent="0.35">
      <c r="A37" t="s">
        <v>93</v>
      </c>
      <c r="B37">
        <v>31</v>
      </c>
      <c r="C37" t="s">
        <v>27</v>
      </c>
      <c r="D37" t="s">
        <v>39</v>
      </c>
      <c r="E37" t="s">
        <v>59</v>
      </c>
      <c r="F37" t="s">
        <v>78</v>
      </c>
      <c r="G37">
        <v>54320</v>
      </c>
      <c r="H37">
        <v>1</v>
      </c>
      <c r="I37">
        <v>7</v>
      </c>
      <c r="J37">
        <v>2</v>
      </c>
      <c r="K37">
        <v>3</v>
      </c>
      <c r="L37">
        <v>1</v>
      </c>
      <c r="M37">
        <v>1</v>
      </c>
      <c r="N37" t="s">
        <v>31</v>
      </c>
      <c r="O37" t="s">
        <v>32</v>
      </c>
      <c r="P37">
        <v>23</v>
      </c>
      <c r="Q37">
        <v>44</v>
      </c>
      <c r="R37">
        <v>3</v>
      </c>
      <c r="S37" t="s">
        <v>31</v>
      </c>
      <c r="T37">
        <v>7</v>
      </c>
      <c r="U37" t="s">
        <v>31</v>
      </c>
      <c r="V37" s="1">
        <v>44300</v>
      </c>
    </row>
    <row r="38" spans="1:23" x14ac:dyDescent="0.35">
      <c r="A38" t="s">
        <v>94</v>
      </c>
      <c r="B38">
        <v>43</v>
      </c>
      <c r="C38" t="s">
        <v>27</v>
      </c>
      <c r="D38" t="s">
        <v>28</v>
      </c>
      <c r="E38" t="s">
        <v>66</v>
      </c>
      <c r="F38" t="s">
        <v>37</v>
      </c>
      <c r="G38">
        <v>80947</v>
      </c>
      <c r="H38">
        <v>4</v>
      </c>
      <c r="I38">
        <v>22</v>
      </c>
      <c r="J38">
        <v>3</v>
      </c>
      <c r="K38">
        <v>2</v>
      </c>
      <c r="L38">
        <v>3</v>
      </c>
      <c r="M38">
        <v>1</v>
      </c>
      <c r="N38" t="s">
        <v>33</v>
      </c>
      <c r="O38" t="s">
        <v>32</v>
      </c>
      <c r="P38">
        <v>4</v>
      </c>
      <c r="Q38">
        <v>34</v>
      </c>
      <c r="R38">
        <v>3</v>
      </c>
      <c r="S38" t="s">
        <v>31</v>
      </c>
      <c r="T38">
        <v>6</v>
      </c>
      <c r="U38" t="s">
        <v>31</v>
      </c>
      <c r="V38" s="1">
        <v>43099</v>
      </c>
    </row>
    <row r="39" spans="1:23" x14ac:dyDescent="0.35">
      <c r="A39" t="s">
        <v>95</v>
      </c>
      <c r="B39">
        <v>54</v>
      </c>
      <c r="C39" t="s">
        <v>27</v>
      </c>
      <c r="D39" t="s">
        <v>35</v>
      </c>
      <c r="E39" t="s">
        <v>36</v>
      </c>
      <c r="F39" t="s">
        <v>30</v>
      </c>
      <c r="G39">
        <v>79626</v>
      </c>
      <c r="H39">
        <v>5</v>
      </c>
      <c r="I39">
        <v>32</v>
      </c>
      <c r="J39">
        <v>3</v>
      </c>
      <c r="K39">
        <v>3</v>
      </c>
      <c r="L39">
        <v>3</v>
      </c>
      <c r="M39">
        <v>4</v>
      </c>
      <c r="N39" t="s">
        <v>33</v>
      </c>
      <c r="O39" t="s">
        <v>42</v>
      </c>
      <c r="P39">
        <v>1</v>
      </c>
      <c r="Q39">
        <v>39</v>
      </c>
      <c r="R39">
        <v>3</v>
      </c>
      <c r="S39" t="s">
        <v>33</v>
      </c>
      <c r="T39">
        <v>5</v>
      </c>
      <c r="U39" t="s">
        <v>31</v>
      </c>
      <c r="V39" s="1">
        <v>42774</v>
      </c>
    </row>
    <row r="40" spans="1:23" x14ac:dyDescent="0.35">
      <c r="A40" t="s">
        <v>96</v>
      </c>
      <c r="B40">
        <v>54</v>
      </c>
      <c r="C40" t="s">
        <v>27</v>
      </c>
      <c r="D40" t="s">
        <v>28</v>
      </c>
      <c r="E40" t="s">
        <v>29</v>
      </c>
      <c r="F40" t="s">
        <v>41</v>
      </c>
      <c r="G40">
        <v>150863</v>
      </c>
      <c r="H40">
        <v>23</v>
      </c>
      <c r="I40">
        <v>33</v>
      </c>
      <c r="J40">
        <v>5</v>
      </c>
      <c r="K40">
        <v>3</v>
      </c>
      <c r="L40">
        <v>1</v>
      </c>
      <c r="M40">
        <v>4</v>
      </c>
      <c r="N40" t="s">
        <v>33</v>
      </c>
      <c r="O40" t="s">
        <v>42</v>
      </c>
      <c r="P40">
        <v>2</v>
      </c>
      <c r="Q40">
        <v>36</v>
      </c>
      <c r="R40">
        <v>2</v>
      </c>
      <c r="S40" t="s">
        <v>33</v>
      </c>
      <c r="T40">
        <v>4</v>
      </c>
      <c r="U40" t="s">
        <v>33</v>
      </c>
      <c r="V40" s="1">
        <v>43506</v>
      </c>
      <c r="W40" s="1">
        <v>43739</v>
      </c>
    </row>
    <row r="41" spans="1:23" x14ac:dyDescent="0.35">
      <c r="A41" t="s">
        <v>97</v>
      </c>
      <c r="B41">
        <v>29</v>
      </c>
      <c r="C41" t="s">
        <v>27</v>
      </c>
      <c r="D41" t="s">
        <v>39</v>
      </c>
      <c r="E41" t="s">
        <v>59</v>
      </c>
      <c r="F41" t="s">
        <v>37</v>
      </c>
      <c r="G41">
        <v>46783</v>
      </c>
      <c r="H41">
        <v>1</v>
      </c>
      <c r="I41">
        <v>5</v>
      </c>
      <c r="J41">
        <v>1</v>
      </c>
      <c r="K41">
        <v>2</v>
      </c>
      <c r="L41">
        <v>2</v>
      </c>
      <c r="M41">
        <v>1</v>
      </c>
      <c r="N41" t="s">
        <v>31</v>
      </c>
      <c r="O41" t="s">
        <v>32</v>
      </c>
      <c r="P41">
        <v>12</v>
      </c>
      <c r="Q41">
        <v>45</v>
      </c>
      <c r="R41">
        <v>3</v>
      </c>
      <c r="S41" t="s">
        <v>31</v>
      </c>
      <c r="T41">
        <v>5</v>
      </c>
      <c r="U41" t="s">
        <v>31</v>
      </c>
      <c r="V41" s="1">
        <v>45055</v>
      </c>
    </row>
    <row r="42" spans="1:23" x14ac:dyDescent="0.35">
      <c r="A42" t="s">
        <v>98</v>
      </c>
      <c r="B42">
        <v>50</v>
      </c>
      <c r="C42" t="s">
        <v>27</v>
      </c>
      <c r="D42" t="s">
        <v>35</v>
      </c>
      <c r="E42" t="s">
        <v>85</v>
      </c>
      <c r="F42" t="s">
        <v>37</v>
      </c>
      <c r="G42">
        <v>57732</v>
      </c>
      <c r="H42">
        <v>0</v>
      </c>
      <c r="I42">
        <v>27</v>
      </c>
      <c r="J42">
        <v>2</v>
      </c>
      <c r="K42">
        <v>1</v>
      </c>
      <c r="L42">
        <v>2</v>
      </c>
      <c r="M42">
        <v>2</v>
      </c>
      <c r="N42" t="s">
        <v>31</v>
      </c>
      <c r="O42" t="s">
        <v>32</v>
      </c>
      <c r="P42">
        <v>22</v>
      </c>
      <c r="Q42">
        <v>49</v>
      </c>
      <c r="R42">
        <v>3</v>
      </c>
      <c r="S42" t="s">
        <v>31</v>
      </c>
      <c r="T42">
        <v>6</v>
      </c>
      <c r="U42" t="s">
        <v>31</v>
      </c>
      <c r="V42" s="1">
        <v>42534</v>
      </c>
    </row>
    <row r="43" spans="1:23" x14ac:dyDescent="0.35">
      <c r="A43" t="s">
        <v>99</v>
      </c>
      <c r="B43">
        <v>32</v>
      </c>
      <c r="C43" t="s">
        <v>44</v>
      </c>
      <c r="D43" t="s">
        <v>39</v>
      </c>
      <c r="E43" t="s">
        <v>40</v>
      </c>
      <c r="F43" t="s">
        <v>30</v>
      </c>
      <c r="G43">
        <v>57034</v>
      </c>
      <c r="H43">
        <v>0</v>
      </c>
      <c r="I43">
        <v>9</v>
      </c>
      <c r="J43">
        <v>2</v>
      </c>
      <c r="K43">
        <v>3</v>
      </c>
      <c r="L43">
        <v>4</v>
      </c>
      <c r="M43">
        <v>3</v>
      </c>
      <c r="N43" t="s">
        <v>33</v>
      </c>
      <c r="O43" t="s">
        <v>32</v>
      </c>
      <c r="P43">
        <v>6</v>
      </c>
      <c r="Q43">
        <v>33</v>
      </c>
      <c r="R43">
        <v>2</v>
      </c>
      <c r="S43" t="s">
        <v>31</v>
      </c>
      <c r="T43">
        <v>4</v>
      </c>
      <c r="U43" t="s">
        <v>31</v>
      </c>
      <c r="V43" s="1">
        <v>44341</v>
      </c>
    </row>
    <row r="44" spans="1:23" x14ac:dyDescent="0.35">
      <c r="A44" t="s">
        <v>100</v>
      </c>
      <c r="B44">
        <v>41</v>
      </c>
      <c r="C44" t="s">
        <v>27</v>
      </c>
      <c r="D44" t="s">
        <v>52</v>
      </c>
      <c r="E44" t="s">
        <v>53</v>
      </c>
      <c r="F44" t="s">
        <v>78</v>
      </c>
      <c r="G44">
        <v>130792</v>
      </c>
      <c r="H44">
        <v>16</v>
      </c>
      <c r="I44">
        <v>17</v>
      </c>
      <c r="J44">
        <v>5</v>
      </c>
      <c r="K44">
        <v>4</v>
      </c>
      <c r="L44">
        <v>1</v>
      </c>
      <c r="M44">
        <v>2</v>
      </c>
      <c r="N44" t="s">
        <v>33</v>
      </c>
      <c r="O44" t="s">
        <v>42</v>
      </c>
      <c r="P44">
        <v>29</v>
      </c>
      <c r="Q44">
        <v>58</v>
      </c>
      <c r="R44">
        <v>3</v>
      </c>
      <c r="S44" t="s">
        <v>31</v>
      </c>
      <c r="T44">
        <v>4</v>
      </c>
      <c r="U44" t="s">
        <v>31</v>
      </c>
      <c r="V44" s="1">
        <v>43070</v>
      </c>
    </row>
    <row r="45" spans="1:23" x14ac:dyDescent="0.35">
      <c r="A45" t="s">
        <v>101</v>
      </c>
      <c r="B45">
        <v>51</v>
      </c>
      <c r="C45" t="s">
        <v>44</v>
      </c>
      <c r="D45" t="s">
        <v>52</v>
      </c>
      <c r="E45" t="s">
        <v>53</v>
      </c>
      <c r="F45" t="s">
        <v>78</v>
      </c>
      <c r="G45">
        <v>83895</v>
      </c>
      <c r="H45">
        <v>6</v>
      </c>
      <c r="I45">
        <v>28</v>
      </c>
      <c r="J45">
        <v>3</v>
      </c>
      <c r="K45">
        <v>2</v>
      </c>
      <c r="L45">
        <v>2</v>
      </c>
      <c r="M45">
        <v>3</v>
      </c>
      <c r="N45" t="s">
        <v>31</v>
      </c>
      <c r="O45" t="s">
        <v>32</v>
      </c>
      <c r="P45">
        <v>28</v>
      </c>
      <c r="Q45">
        <v>41</v>
      </c>
      <c r="R45">
        <v>3</v>
      </c>
      <c r="S45" t="s">
        <v>33</v>
      </c>
      <c r="T45">
        <v>2</v>
      </c>
      <c r="U45" t="s">
        <v>31</v>
      </c>
      <c r="V45" s="1">
        <v>43399</v>
      </c>
    </row>
    <row r="46" spans="1:23" x14ac:dyDescent="0.35">
      <c r="A46" t="s">
        <v>102</v>
      </c>
      <c r="B46">
        <v>29</v>
      </c>
      <c r="C46" t="s">
        <v>27</v>
      </c>
      <c r="D46" t="s">
        <v>28</v>
      </c>
      <c r="E46" t="s">
        <v>29</v>
      </c>
      <c r="F46" t="s">
        <v>37</v>
      </c>
      <c r="G46">
        <v>103970</v>
      </c>
      <c r="H46">
        <v>7</v>
      </c>
      <c r="I46">
        <v>8</v>
      </c>
      <c r="J46">
        <v>4</v>
      </c>
      <c r="K46">
        <v>4</v>
      </c>
      <c r="L46">
        <v>4</v>
      </c>
      <c r="M46">
        <v>2</v>
      </c>
      <c r="N46" t="s">
        <v>31</v>
      </c>
      <c r="O46" t="s">
        <v>47</v>
      </c>
      <c r="P46">
        <v>20</v>
      </c>
      <c r="Q46">
        <v>46</v>
      </c>
      <c r="R46">
        <v>3</v>
      </c>
      <c r="S46" t="s">
        <v>31</v>
      </c>
      <c r="T46">
        <v>4</v>
      </c>
      <c r="U46" t="s">
        <v>33</v>
      </c>
      <c r="V46" s="1">
        <v>44604</v>
      </c>
      <c r="W46" s="1">
        <v>45084</v>
      </c>
    </row>
    <row r="47" spans="1:23" x14ac:dyDescent="0.35">
      <c r="A47" t="s">
        <v>103</v>
      </c>
      <c r="B47">
        <v>40</v>
      </c>
      <c r="C47" t="s">
        <v>44</v>
      </c>
      <c r="D47" t="s">
        <v>52</v>
      </c>
      <c r="E47" t="s">
        <v>55</v>
      </c>
      <c r="F47" t="s">
        <v>30</v>
      </c>
      <c r="G47">
        <v>131035</v>
      </c>
      <c r="H47">
        <v>14</v>
      </c>
      <c r="I47">
        <v>19</v>
      </c>
      <c r="J47">
        <v>5</v>
      </c>
      <c r="K47">
        <v>3</v>
      </c>
      <c r="L47">
        <v>2</v>
      </c>
      <c r="M47">
        <v>3</v>
      </c>
      <c r="N47" t="s">
        <v>31</v>
      </c>
      <c r="O47" t="s">
        <v>32</v>
      </c>
      <c r="P47">
        <v>5</v>
      </c>
      <c r="Q47">
        <v>46</v>
      </c>
      <c r="R47">
        <v>3</v>
      </c>
      <c r="S47" t="s">
        <v>31</v>
      </c>
      <c r="T47">
        <v>6</v>
      </c>
      <c r="U47" t="s">
        <v>31</v>
      </c>
      <c r="V47" s="1">
        <v>45132</v>
      </c>
    </row>
    <row r="48" spans="1:23" x14ac:dyDescent="0.35">
      <c r="A48" t="s">
        <v>104</v>
      </c>
      <c r="B48">
        <v>53</v>
      </c>
      <c r="C48" t="s">
        <v>27</v>
      </c>
      <c r="D48" t="s">
        <v>49</v>
      </c>
      <c r="E48" t="s">
        <v>50</v>
      </c>
      <c r="F48" t="s">
        <v>56</v>
      </c>
      <c r="G48">
        <v>40304</v>
      </c>
      <c r="H48">
        <v>1</v>
      </c>
      <c r="I48">
        <v>32</v>
      </c>
      <c r="J48">
        <v>1</v>
      </c>
      <c r="K48">
        <v>3</v>
      </c>
      <c r="L48">
        <v>1</v>
      </c>
      <c r="M48">
        <v>2</v>
      </c>
      <c r="N48" t="s">
        <v>31</v>
      </c>
      <c r="O48" t="s">
        <v>32</v>
      </c>
      <c r="P48">
        <v>29</v>
      </c>
      <c r="Q48">
        <v>54</v>
      </c>
      <c r="R48">
        <v>3</v>
      </c>
      <c r="S48" t="s">
        <v>31</v>
      </c>
      <c r="T48">
        <v>6</v>
      </c>
      <c r="U48" t="s">
        <v>31</v>
      </c>
      <c r="V48" s="1">
        <v>42531</v>
      </c>
    </row>
    <row r="49" spans="1:23" x14ac:dyDescent="0.35">
      <c r="A49" t="s">
        <v>105</v>
      </c>
      <c r="B49">
        <v>43</v>
      </c>
      <c r="C49" t="s">
        <v>27</v>
      </c>
      <c r="D49" t="s">
        <v>35</v>
      </c>
      <c r="E49" t="s">
        <v>36</v>
      </c>
      <c r="F49" t="s">
        <v>56</v>
      </c>
      <c r="G49">
        <v>102411</v>
      </c>
      <c r="H49">
        <v>7</v>
      </c>
      <c r="I49">
        <v>20</v>
      </c>
      <c r="J49">
        <v>4</v>
      </c>
      <c r="K49">
        <v>1</v>
      </c>
      <c r="L49">
        <v>1</v>
      </c>
      <c r="M49">
        <v>1</v>
      </c>
      <c r="N49" t="s">
        <v>31</v>
      </c>
      <c r="O49" t="s">
        <v>32</v>
      </c>
      <c r="P49">
        <v>28</v>
      </c>
      <c r="Q49">
        <v>55</v>
      </c>
      <c r="R49">
        <v>3</v>
      </c>
      <c r="S49" t="s">
        <v>31</v>
      </c>
      <c r="T49">
        <v>3</v>
      </c>
      <c r="U49" t="s">
        <v>31</v>
      </c>
      <c r="V49" s="1">
        <v>41057</v>
      </c>
    </row>
    <row r="50" spans="1:23" x14ac:dyDescent="0.35">
      <c r="A50" t="s">
        <v>106</v>
      </c>
      <c r="B50">
        <v>32</v>
      </c>
      <c r="C50" t="s">
        <v>27</v>
      </c>
      <c r="D50" t="s">
        <v>52</v>
      </c>
      <c r="E50" t="s">
        <v>53</v>
      </c>
      <c r="F50" t="s">
        <v>37</v>
      </c>
      <c r="G50">
        <v>82333</v>
      </c>
      <c r="H50">
        <v>7</v>
      </c>
      <c r="I50">
        <v>9</v>
      </c>
      <c r="J50">
        <v>3</v>
      </c>
      <c r="K50">
        <v>2</v>
      </c>
      <c r="L50">
        <v>3</v>
      </c>
      <c r="M50">
        <v>3</v>
      </c>
      <c r="N50" t="s">
        <v>33</v>
      </c>
      <c r="O50" t="s">
        <v>32</v>
      </c>
      <c r="P50">
        <v>26</v>
      </c>
      <c r="Q50">
        <v>45</v>
      </c>
      <c r="R50">
        <v>4</v>
      </c>
      <c r="S50" t="s">
        <v>31</v>
      </c>
      <c r="T50">
        <v>6</v>
      </c>
      <c r="U50" t="s">
        <v>31</v>
      </c>
      <c r="V50" s="1">
        <v>43252</v>
      </c>
    </row>
    <row r="51" spans="1:23" x14ac:dyDescent="0.35">
      <c r="A51" t="s">
        <v>107</v>
      </c>
      <c r="B51">
        <v>38</v>
      </c>
      <c r="C51" t="s">
        <v>27</v>
      </c>
      <c r="D51" t="s">
        <v>28</v>
      </c>
      <c r="E51" t="s">
        <v>29</v>
      </c>
      <c r="F51" t="s">
        <v>30</v>
      </c>
      <c r="G51">
        <v>83226</v>
      </c>
      <c r="H51">
        <v>6</v>
      </c>
      <c r="I51">
        <v>17</v>
      </c>
      <c r="J51">
        <v>3</v>
      </c>
      <c r="K51">
        <v>2</v>
      </c>
      <c r="L51">
        <v>1</v>
      </c>
      <c r="M51">
        <v>4</v>
      </c>
      <c r="N51" t="s">
        <v>33</v>
      </c>
      <c r="O51" t="s">
        <v>32</v>
      </c>
      <c r="P51">
        <v>19</v>
      </c>
      <c r="Q51">
        <v>46</v>
      </c>
      <c r="R51">
        <v>3</v>
      </c>
      <c r="S51" t="s">
        <v>31</v>
      </c>
      <c r="T51">
        <v>5</v>
      </c>
      <c r="U51" t="s">
        <v>33</v>
      </c>
      <c r="V51" s="1">
        <v>44971</v>
      </c>
      <c r="W51" s="1">
        <v>45731</v>
      </c>
    </row>
    <row r="52" spans="1:23" x14ac:dyDescent="0.35">
      <c r="A52" t="s">
        <v>108</v>
      </c>
      <c r="B52">
        <v>38</v>
      </c>
      <c r="C52" t="s">
        <v>44</v>
      </c>
      <c r="D52" t="s">
        <v>45</v>
      </c>
      <c r="E52" t="s">
        <v>63</v>
      </c>
      <c r="F52" t="s">
        <v>56</v>
      </c>
      <c r="G52">
        <v>103208</v>
      </c>
      <c r="H52">
        <v>8</v>
      </c>
      <c r="I52">
        <v>14</v>
      </c>
      <c r="J52">
        <v>4</v>
      </c>
      <c r="K52">
        <v>4</v>
      </c>
      <c r="L52">
        <v>3</v>
      </c>
      <c r="M52">
        <v>3</v>
      </c>
      <c r="N52" t="s">
        <v>31</v>
      </c>
      <c r="O52" t="s">
        <v>32</v>
      </c>
      <c r="P52">
        <v>10</v>
      </c>
      <c r="Q52">
        <v>25</v>
      </c>
      <c r="R52">
        <v>4</v>
      </c>
      <c r="S52" t="s">
        <v>33</v>
      </c>
      <c r="T52">
        <v>3</v>
      </c>
      <c r="U52" t="s">
        <v>31</v>
      </c>
      <c r="V52" s="1">
        <v>45141</v>
      </c>
    </row>
    <row r="53" spans="1:23" x14ac:dyDescent="0.35">
      <c r="A53" t="s">
        <v>109</v>
      </c>
      <c r="B53">
        <v>29</v>
      </c>
      <c r="C53" t="s">
        <v>44</v>
      </c>
      <c r="D53" t="s">
        <v>28</v>
      </c>
      <c r="E53" t="s">
        <v>66</v>
      </c>
      <c r="F53" t="s">
        <v>56</v>
      </c>
      <c r="G53">
        <v>57466</v>
      </c>
      <c r="H53">
        <v>2</v>
      </c>
      <c r="I53">
        <v>5</v>
      </c>
      <c r="J53">
        <v>2</v>
      </c>
      <c r="K53">
        <v>2</v>
      </c>
      <c r="L53">
        <v>3</v>
      </c>
      <c r="M53">
        <v>1</v>
      </c>
      <c r="N53" t="s">
        <v>31</v>
      </c>
      <c r="O53" t="s">
        <v>32</v>
      </c>
      <c r="P53">
        <v>13</v>
      </c>
      <c r="Q53">
        <v>43</v>
      </c>
      <c r="R53">
        <v>3</v>
      </c>
      <c r="S53" t="s">
        <v>31</v>
      </c>
      <c r="T53">
        <v>9</v>
      </c>
      <c r="U53" t="s">
        <v>31</v>
      </c>
      <c r="V53" s="1">
        <v>42040</v>
      </c>
    </row>
    <row r="54" spans="1:23" x14ac:dyDescent="0.35">
      <c r="A54" t="s">
        <v>110</v>
      </c>
      <c r="B54">
        <v>23</v>
      </c>
      <c r="C54" t="s">
        <v>27</v>
      </c>
      <c r="D54" t="s">
        <v>39</v>
      </c>
      <c r="E54" t="s">
        <v>59</v>
      </c>
      <c r="F54" t="s">
        <v>56</v>
      </c>
      <c r="G54">
        <v>40212</v>
      </c>
      <c r="H54">
        <v>0</v>
      </c>
      <c r="I54">
        <v>1</v>
      </c>
      <c r="J54">
        <v>1</v>
      </c>
      <c r="K54">
        <v>2</v>
      </c>
      <c r="L54">
        <v>4</v>
      </c>
      <c r="M54">
        <v>4</v>
      </c>
      <c r="N54" t="s">
        <v>31</v>
      </c>
      <c r="O54" t="s">
        <v>32</v>
      </c>
      <c r="P54">
        <v>17</v>
      </c>
      <c r="Q54">
        <v>38</v>
      </c>
      <c r="R54">
        <v>3</v>
      </c>
      <c r="S54" t="s">
        <v>31</v>
      </c>
      <c r="T54">
        <v>3</v>
      </c>
      <c r="U54" t="s">
        <v>31</v>
      </c>
      <c r="V54" s="1">
        <v>41829</v>
      </c>
    </row>
    <row r="55" spans="1:23" x14ac:dyDescent="0.35">
      <c r="A55" t="s">
        <v>111</v>
      </c>
      <c r="B55">
        <v>41</v>
      </c>
      <c r="C55" t="s">
        <v>44</v>
      </c>
      <c r="D55" t="s">
        <v>45</v>
      </c>
      <c r="E55" t="s">
        <v>46</v>
      </c>
      <c r="F55" t="s">
        <v>37</v>
      </c>
      <c r="G55">
        <v>130837</v>
      </c>
      <c r="H55">
        <v>13</v>
      </c>
      <c r="I55">
        <v>20</v>
      </c>
      <c r="J55">
        <v>5</v>
      </c>
      <c r="K55">
        <v>2</v>
      </c>
      <c r="L55">
        <v>4</v>
      </c>
      <c r="M55">
        <v>2</v>
      </c>
      <c r="N55" t="s">
        <v>33</v>
      </c>
      <c r="O55" t="s">
        <v>32</v>
      </c>
      <c r="P55">
        <v>14</v>
      </c>
      <c r="Q55">
        <v>24</v>
      </c>
      <c r="R55">
        <v>3</v>
      </c>
      <c r="S55" t="s">
        <v>31</v>
      </c>
      <c r="T55">
        <v>5</v>
      </c>
      <c r="U55" t="s">
        <v>31</v>
      </c>
      <c r="V55" s="1">
        <v>42372</v>
      </c>
    </row>
    <row r="56" spans="1:23" x14ac:dyDescent="0.35">
      <c r="A56" t="s">
        <v>112</v>
      </c>
      <c r="B56">
        <v>45</v>
      </c>
      <c r="C56" t="s">
        <v>27</v>
      </c>
      <c r="D56" t="s">
        <v>28</v>
      </c>
      <c r="E56" t="s">
        <v>66</v>
      </c>
      <c r="F56" t="s">
        <v>61</v>
      </c>
      <c r="G56">
        <v>140690</v>
      </c>
      <c r="H56">
        <v>19</v>
      </c>
      <c r="I56">
        <v>22</v>
      </c>
      <c r="J56">
        <v>5</v>
      </c>
      <c r="K56">
        <v>4</v>
      </c>
      <c r="L56">
        <v>4</v>
      </c>
      <c r="M56">
        <v>1</v>
      </c>
      <c r="N56" t="s">
        <v>31</v>
      </c>
      <c r="O56" t="s">
        <v>32</v>
      </c>
      <c r="P56">
        <v>10</v>
      </c>
      <c r="Q56">
        <v>52</v>
      </c>
      <c r="R56">
        <v>3</v>
      </c>
      <c r="S56" t="s">
        <v>31</v>
      </c>
      <c r="T56">
        <v>4</v>
      </c>
      <c r="U56" t="s">
        <v>33</v>
      </c>
      <c r="V56" s="1">
        <v>43645</v>
      </c>
      <c r="W56" s="1">
        <v>44265</v>
      </c>
    </row>
    <row r="57" spans="1:23" x14ac:dyDescent="0.35">
      <c r="A57" t="s">
        <v>113</v>
      </c>
      <c r="B57">
        <v>56</v>
      </c>
      <c r="C57" t="s">
        <v>44</v>
      </c>
      <c r="D57" t="s">
        <v>35</v>
      </c>
      <c r="E57" t="s">
        <v>36</v>
      </c>
      <c r="F57" t="s">
        <v>37</v>
      </c>
      <c r="G57">
        <v>165849</v>
      </c>
      <c r="H57">
        <v>34</v>
      </c>
      <c r="I57">
        <v>34</v>
      </c>
      <c r="J57">
        <v>5</v>
      </c>
      <c r="K57">
        <v>2</v>
      </c>
      <c r="L57">
        <v>1</v>
      </c>
      <c r="M57">
        <v>4</v>
      </c>
      <c r="N57" t="s">
        <v>31</v>
      </c>
      <c r="O57" t="s">
        <v>32</v>
      </c>
      <c r="P57">
        <v>29</v>
      </c>
      <c r="Q57">
        <v>56</v>
      </c>
      <c r="R57">
        <v>4</v>
      </c>
      <c r="S57" t="s">
        <v>31</v>
      </c>
      <c r="T57">
        <v>6</v>
      </c>
      <c r="U57" t="s">
        <v>33</v>
      </c>
      <c r="V57" s="1">
        <v>45174</v>
      </c>
      <c r="W57" s="1">
        <v>45794</v>
      </c>
    </row>
    <row r="58" spans="1:23" x14ac:dyDescent="0.35">
      <c r="A58" t="s">
        <v>114</v>
      </c>
      <c r="B58">
        <v>36</v>
      </c>
      <c r="C58" t="s">
        <v>44</v>
      </c>
      <c r="D58" t="s">
        <v>28</v>
      </c>
      <c r="E58" t="s">
        <v>29</v>
      </c>
      <c r="F58" t="s">
        <v>37</v>
      </c>
      <c r="G58">
        <v>96974</v>
      </c>
      <c r="H58">
        <v>7</v>
      </c>
      <c r="I58">
        <v>14</v>
      </c>
      <c r="J58">
        <v>4</v>
      </c>
      <c r="K58">
        <v>2</v>
      </c>
      <c r="L58">
        <v>4</v>
      </c>
      <c r="M58">
        <v>3</v>
      </c>
      <c r="N58" t="s">
        <v>31</v>
      </c>
      <c r="O58" t="s">
        <v>32</v>
      </c>
      <c r="P58">
        <v>28</v>
      </c>
      <c r="Q58">
        <v>57</v>
      </c>
      <c r="R58">
        <v>3</v>
      </c>
      <c r="S58" t="s">
        <v>33</v>
      </c>
      <c r="T58">
        <v>6</v>
      </c>
      <c r="U58" t="s">
        <v>31</v>
      </c>
      <c r="V58" s="1">
        <v>44839</v>
      </c>
    </row>
    <row r="59" spans="1:23" x14ac:dyDescent="0.35">
      <c r="A59" t="s">
        <v>115</v>
      </c>
      <c r="B59">
        <v>34</v>
      </c>
      <c r="C59" t="s">
        <v>27</v>
      </c>
      <c r="D59" t="s">
        <v>45</v>
      </c>
      <c r="E59" t="s">
        <v>63</v>
      </c>
      <c r="F59" t="s">
        <v>37</v>
      </c>
      <c r="G59">
        <v>102496</v>
      </c>
      <c r="H59">
        <v>7</v>
      </c>
      <c r="I59">
        <v>10</v>
      </c>
      <c r="J59">
        <v>4</v>
      </c>
      <c r="K59">
        <v>3</v>
      </c>
      <c r="L59">
        <v>3</v>
      </c>
      <c r="M59">
        <v>4</v>
      </c>
      <c r="N59" t="s">
        <v>31</v>
      </c>
      <c r="O59" t="s">
        <v>32</v>
      </c>
      <c r="P59">
        <v>10</v>
      </c>
      <c r="Q59">
        <v>45</v>
      </c>
      <c r="R59">
        <v>3</v>
      </c>
      <c r="S59" t="s">
        <v>33</v>
      </c>
      <c r="T59">
        <v>4</v>
      </c>
      <c r="U59" t="s">
        <v>31</v>
      </c>
      <c r="V59" s="1">
        <v>43628</v>
      </c>
    </row>
    <row r="60" spans="1:23" x14ac:dyDescent="0.35">
      <c r="A60" t="s">
        <v>116</v>
      </c>
      <c r="B60">
        <v>51</v>
      </c>
      <c r="C60" t="s">
        <v>44</v>
      </c>
      <c r="D60" t="s">
        <v>39</v>
      </c>
      <c r="E60" t="s">
        <v>59</v>
      </c>
      <c r="F60" t="s">
        <v>56</v>
      </c>
      <c r="G60">
        <v>153294</v>
      </c>
      <c r="H60">
        <v>28</v>
      </c>
      <c r="I60">
        <v>30</v>
      </c>
      <c r="J60">
        <v>5</v>
      </c>
      <c r="K60">
        <v>2</v>
      </c>
      <c r="L60">
        <v>4</v>
      </c>
      <c r="M60">
        <v>1</v>
      </c>
      <c r="N60" t="s">
        <v>31</v>
      </c>
      <c r="O60" t="s">
        <v>32</v>
      </c>
      <c r="P60">
        <v>2</v>
      </c>
      <c r="Q60">
        <v>33</v>
      </c>
      <c r="R60">
        <v>3</v>
      </c>
      <c r="S60" t="s">
        <v>33</v>
      </c>
      <c r="T60">
        <v>2</v>
      </c>
      <c r="U60" t="s">
        <v>31</v>
      </c>
      <c r="V60" s="1">
        <v>44811</v>
      </c>
    </row>
    <row r="61" spans="1:23" x14ac:dyDescent="0.35">
      <c r="A61" t="s">
        <v>117</v>
      </c>
      <c r="B61">
        <v>49</v>
      </c>
      <c r="C61" t="s">
        <v>44</v>
      </c>
      <c r="D61" t="s">
        <v>45</v>
      </c>
      <c r="E61" t="s">
        <v>46</v>
      </c>
      <c r="F61" t="s">
        <v>78</v>
      </c>
      <c r="G61">
        <v>74887</v>
      </c>
      <c r="H61">
        <v>3</v>
      </c>
      <c r="I61">
        <v>27</v>
      </c>
      <c r="J61">
        <v>3</v>
      </c>
      <c r="K61">
        <v>4</v>
      </c>
      <c r="L61">
        <v>2</v>
      </c>
      <c r="M61">
        <v>4</v>
      </c>
      <c r="N61" t="s">
        <v>31</v>
      </c>
      <c r="O61" t="s">
        <v>32</v>
      </c>
      <c r="P61">
        <v>10</v>
      </c>
      <c r="Q61">
        <v>10</v>
      </c>
      <c r="R61">
        <v>3</v>
      </c>
      <c r="S61" t="s">
        <v>31</v>
      </c>
      <c r="T61">
        <v>1</v>
      </c>
      <c r="U61" t="s">
        <v>33</v>
      </c>
      <c r="V61" s="1">
        <v>41595</v>
      </c>
      <c r="W61" s="1">
        <v>41979</v>
      </c>
    </row>
    <row r="62" spans="1:23" x14ac:dyDescent="0.35">
      <c r="A62" t="s">
        <v>118</v>
      </c>
      <c r="B62">
        <v>33</v>
      </c>
      <c r="C62" t="s">
        <v>44</v>
      </c>
      <c r="D62" t="s">
        <v>49</v>
      </c>
      <c r="E62" t="s">
        <v>68</v>
      </c>
      <c r="F62" t="s">
        <v>78</v>
      </c>
      <c r="G62">
        <v>79906</v>
      </c>
      <c r="H62">
        <v>6</v>
      </c>
      <c r="I62">
        <v>9</v>
      </c>
      <c r="J62">
        <v>3</v>
      </c>
      <c r="K62">
        <v>1</v>
      </c>
      <c r="L62">
        <v>2</v>
      </c>
      <c r="M62">
        <v>3</v>
      </c>
      <c r="N62" t="s">
        <v>31</v>
      </c>
      <c r="O62" t="s">
        <v>32</v>
      </c>
      <c r="P62">
        <v>26</v>
      </c>
      <c r="Q62">
        <v>43</v>
      </c>
      <c r="R62">
        <v>3</v>
      </c>
      <c r="S62" t="s">
        <v>31</v>
      </c>
      <c r="T62">
        <v>6</v>
      </c>
      <c r="U62" t="s">
        <v>31</v>
      </c>
      <c r="V62" s="1">
        <v>44064</v>
      </c>
    </row>
    <row r="63" spans="1:23" x14ac:dyDescent="0.35">
      <c r="A63" t="s">
        <v>119</v>
      </c>
      <c r="B63">
        <v>43</v>
      </c>
      <c r="C63" t="s">
        <v>27</v>
      </c>
      <c r="D63" t="s">
        <v>49</v>
      </c>
      <c r="E63" t="s">
        <v>50</v>
      </c>
      <c r="F63" t="s">
        <v>56</v>
      </c>
      <c r="G63">
        <v>129964</v>
      </c>
      <c r="H63">
        <v>14</v>
      </c>
      <c r="I63">
        <v>19</v>
      </c>
      <c r="J63">
        <v>5</v>
      </c>
      <c r="K63">
        <v>3</v>
      </c>
      <c r="L63">
        <v>4</v>
      </c>
      <c r="M63">
        <v>2</v>
      </c>
      <c r="N63" t="s">
        <v>31</v>
      </c>
      <c r="O63" t="s">
        <v>32</v>
      </c>
      <c r="P63">
        <v>26</v>
      </c>
      <c r="Q63">
        <v>47</v>
      </c>
      <c r="R63">
        <v>3</v>
      </c>
      <c r="S63" t="s">
        <v>31</v>
      </c>
      <c r="T63">
        <v>1</v>
      </c>
      <c r="U63" t="s">
        <v>31</v>
      </c>
      <c r="V63" s="1">
        <v>42718</v>
      </c>
    </row>
    <row r="64" spans="1:23" x14ac:dyDescent="0.35">
      <c r="A64" t="s">
        <v>120</v>
      </c>
      <c r="B64">
        <v>36</v>
      </c>
      <c r="C64" t="s">
        <v>27</v>
      </c>
      <c r="D64" t="s">
        <v>49</v>
      </c>
      <c r="E64" t="s">
        <v>68</v>
      </c>
      <c r="F64" t="s">
        <v>41</v>
      </c>
      <c r="G64">
        <v>86676</v>
      </c>
      <c r="H64">
        <v>8</v>
      </c>
      <c r="I64">
        <v>14</v>
      </c>
      <c r="J64">
        <v>3</v>
      </c>
      <c r="K64">
        <v>1</v>
      </c>
      <c r="L64">
        <v>4</v>
      </c>
      <c r="M64">
        <v>3</v>
      </c>
      <c r="N64" t="s">
        <v>31</v>
      </c>
      <c r="O64" t="s">
        <v>32</v>
      </c>
      <c r="P64">
        <v>29</v>
      </c>
      <c r="Q64">
        <v>53</v>
      </c>
      <c r="R64">
        <v>3</v>
      </c>
      <c r="S64" t="s">
        <v>31</v>
      </c>
      <c r="T64">
        <v>5</v>
      </c>
      <c r="U64" t="s">
        <v>31</v>
      </c>
      <c r="V64" s="1">
        <v>42672</v>
      </c>
    </row>
    <row r="65" spans="1:23" x14ac:dyDescent="0.35">
      <c r="A65" t="s">
        <v>121</v>
      </c>
      <c r="B65">
        <v>30</v>
      </c>
      <c r="C65" t="s">
        <v>27</v>
      </c>
      <c r="D65" t="s">
        <v>35</v>
      </c>
      <c r="E65" t="s">
        <v>85</v>
      </c>
      <c r="F65" t="s">
        <v>56</v>
      </c>
      <c r="G65">
        <v>62433</v>
      </c>
      <c r="H65">
        <v>4</v>
      </c>
      <c r="I65">
        <v>8</v>
      </c>
      <c r="J65">
        <v>2</v>
      </c>
      <c r="K65">
        <v>4</v>
      </c>
      <c r="L65">
        <v>4</v>
      </c>
      <c r="M65">
        <v>3</v>
      </c>
      <c r="N65" t="s">
        <v>33</v>
      </c>
      <c r="O65" t="s">
        <v>32</v>
      </c>
      <c r="P65">
        <v>18</v>
      </c>
      <c r="Q65">
        <v>55</v>
      </c>
      <c r="R65">
        <v>4</v>
      </c>
      <c r="S65" t="s">
        <v>31</v>
      </c>
      <c r="T65">
        <v>9</v>
      </c>
      <c r="U65" t="s">
        <v>31</v>
      </c>
      <c r="V65" s="1">
        <v>41500</v>
      </c>
    </row>
    <row r="66" spans="1:23" x14ac:dyDescent="0.35">
      <c r="A66" t="s">
        <v>122</v>
      </c>
      <c r="B66">
        <v>43</v>
      </c>
      <c r="C66" t="s">
        <v>27</v>
      </c>
      <c r="D66" t="s">
        <v>35</v>
      </c>
      <c r="E66" t="s">
        <v>85</v>
      </c>
      <c r="F66" t="s">
        <v>30</v>
      </c>
      <c r="G66">
        <v>58368</v>
      </c>
      <c r="H66">
        <v>0</v>
      </c>
      <c r="I66">
        <v>19</v>
      </c>
      <c r="J66">
        <v>2</v>
      </c>
      <c r="K66">
        <v>1</v>
      </c>
      <c r="L66">
        <v>1</v>
      </c>
      <c r="M66">
        <v>1</v>
      </c>
      <c r="N66" t="s">
        <v>31</v>
      </c>
      <c r="O66" t="s">
        <v>32</v>
      </c>
      <c r="P66">
        <v>7</v>
      </c>
      <c r="Q66">
        <v>11</v>
      </c>
      <c r="R66">
        <v>2</v>
      </c>
      <c r="S66" t="s">
        <v>31</v>
      </c>
      <c r="T66">
        <v>4</v>
      </c>
      <c r="U66" t="s">
        <v>31</v>
      </c>
      <c r="V66" s="1">
        <v>42804</v>
      </c>
    </row>
    <row r="67" spans="1:23" x14ac:dyDescent="0.35">
      <c r="A67" t="s">
        <v>123</v>
      </c>
      <c r="B67">
        <v>32</v>
      </c>
      <c r="C67" t="s">
        <v>27</v>
      </c>
      <c r="D67" t="s">
        <v>49</v>
      </c>
      <c r="E67" t="s">
        <v>68</v>
      </c>
      <c r="F67" t="s">
        <v>61</v>
      </c>
      <c r="G67">
        <v>85270</v>
      </c>
      <c r="H67">
        <v>8</v>
      </c>
      <c r="I67">
        <v>10</v>
      </c>
      <c r="J67">
        <v>3</v>
      </c>
      <c r="K67">
        <v>4</v>
      </c>
      <c r="L67">
        <v>1</v>
      </c>
      <c r="M67">
        <v>2</v>
      </c>
      <c r="N67" t="s">
        <v>31</v>
      </c>
      <c r="O67" t="s">
        <v>32</v>
      </c>
      <c r="P67">
        <v>20</v>
      </c>
      <c r="Q67">
        <v>56</v>
      </c>
      <c r="R67">
        <v>4</v>
      </c>
      <c r="S67" t="s">
        <v>33</v>
      </c>
      <c r="T67">
        <v>6</v>
      </c>
      <c r="U67" t="s">
        <v>31</v>
      </c>
      <c r="V67" s="1">
        <v>43043</v>
      </c>
    </row>
    <row r="68" spans="1:23" x14ac:dyDescent="0.35">
      <c r="A68" t="s">
        <v>124</v>
      </c>
      <c r="B68">
        <v>33</v>
      </c>
      <c r="C68" t="s">
        <v>27</v>
      </c>
      <c r="D68" t="s">
        <v>28</v>
      </c>
      <c r="E68" t="s">
        <v>29</v>
      </c>
      <c r="F68" t="s">
        <v>30</v>
      </c>
      <c r="G68">
        <v>97427</v>
      </c>
      <c r="H68">
        <v>6</v>
      </c>
      <c r="I68">
        <v>10</v>
      </c>
      <c r="J68">
        <v>4</v>
      </c>
      <c r="K68">
        <v>1</v>
      </c>
      <c r="L68">
        <v>4</v>
      </c>
      <c r="M68">
        <v>1</v>
      </c>
      <c r="N68" t="s">
        <v>31</v>
      </c>
      <c r="O68" t="s">
        <v>32</v>
      </c>
      <c r="P68">
        <v>18</v>
      </c>
      <c r="Q68">
        <v>15</v>
      </c>
      <c r="R68">
        <v>3</v>
      </c>
      <c r="S68" t="s">
        <v>33</v>
      </c>
      <c r="T68">
        <v>6</v>
      </c>
      <c r="U68" t="s">
        <v>31</v>
      </c>
      <c r="V68" s="1">
        <v>41261</v>
      </c>
    </row>
    <row r="69" spans="1:23" x14ac:dyDescent="0.35">
      <c r="A69" t="s">
        <v>125</v>
      </c>
      <c r="B69">
        <v>28</v>
      </c>
      <c r="C69" t="s">
        <v>27</v>
      </c>
      <c r="D69" t="s">
        <v>45</v>
      </c>
      <c r="E69" t="s">
        <v>46</v>
      </c>
      <c r="F69" t="s">
        <v>30</v>
      </c>
      <c r="G69">
        <v>102948</v>
      </c>
      <c r="H69">
        <v>7</v>
      </c>
      <c r="I69">
        <v>7</v>
      </c>
      <c r="J69">
        <v>4</v>
      </c>
      <c r="K69">
        <v>4</v>
      </c>
      <c r="L69">
        <v>4</v>
      </c>
      <c r="M69">
        <v>4</v>
      </c>
      <c r="N69" t="s">
        <v>31</v>
      </c>
      <c r="O69" t="s">
        <v>32</v>
      </c>
      <c r="P69">
        <v>19</v>
      </c>
      <c r="Q69">
        <v>41</v>
      </c>
      <c r="R69">
        <v>3</v>
      </c>
      <c r="S69" t="s">
        <v>31</v>
      </c>
      <c r="T69">
        <v>3</v>
      </c>
      <c r="U69" t="s">
        <v>31</v>
      </c>
      <c r="V69" s="1">
        <v>44918</v>
      </c>
    </row>
    <row r="70" spans="1:23" x14ac:dyDescent="0.35">
      <c r="A70" t="s">
        <v>126</v>
      </c>
      <c r="B70">
        <v>33</v>
      </c>
      <c r="C70" t="s">
        <v>27</v>
      </c>
      <c r="D70" t="s">
        <v>39</v>
      </c>
      <c r="E70" t="s">
        <v>74</v>
      </c>
      <c r="F70" t="s">
        <v>61</v>
      </c>
      <c r="G70">
        <v>117147</v>
      </c>
      <c r="H70">
        <v>9</v>
      </c>
      <c r="I70">
        <v>10</v>
      </c>
      <c r="J70">
        <v>5</v>
      </c>
      <c r="K70">
        <v>4</v>
      </c>
      <c r="L70">
        <v>2</v>
      </c>
      <c r="M70">
        <v>3</v>
      </c>
      <c r="N70" t="s">
        <v>31</v>
      </c>
      <c r="O70" t="s">
        <v>32</v>
      </c>
      <c r="P70">
        <v>5</v>
      </c>
      <c r="Q70">
        <v>14</v>
      </c>
      <c r="R70">
        <v>3</v>
      </c>
      <c r="S70" t="s">
        <v>31</v>
      </c>
      <c r="T70">
        <v>4</v>
      </c>
      <c r="U70" t="s">
        <v>31</v>
      </c>
      <c r="V70" s="1">
        <v>44723</v>
      </c>
    </row>
    <row r="71" spans="1:23" x14ac:dyDescent="0.35">
      <c r="A71" t="s">
        <v>127</v>
      </c>
      <c r="B71">
        <v>27</v>
      </c>
      <c r="C71" t="s">
        <v>44</v>
      </c>
      <c r="D71" t="s">
        <v>35</v>
      </c>
      <c r="E71" t="s">
        <v>36</v>
      </c>
      <c r="F71" t="s">
        <v>41</v>
      </c>
      <c r="G71">
        <v>45356</v>
      </c>
      <c r="H71">
        <v>2</v>
      </c>
      <c r="I71">
        <v>5</v>
      </c>
      <c r="J71">
        <v>1</v>
      </c>
      <c r="K71">
        <v>3</v>
      </c>
      <c r="L71">
        <v>1</v>
      </c>
      <c r="M71">
        <v>4</v>
      </c>
      <c r="N71" t="s">
        <v>31</v>
      </c>
      <c r="O71" t="s">
        <v>32</v>
      </c>
      <c r="P71">
        <v>11</v>
      </c>
      <c r="Q71">
        <v>19</v>
      </c>
      <c r="R71">
        <v>3</v>
      </c>
      <c r="S71" t="s">
        <v>31</v>
      </c>
      <c r="T71">
        <v>2</v>
      </c>
      <c r="U71" t="s">
        <v>31</v>
      </c>
      <c r="V71" s="1">
        <v>44341</v>
      </c>
    </row>
    <row r="72" spans="1:23" x14ac:dyDescent="0.35">
      <c r="A72" t="s">
        <v>128</v>
      </c>
      <c r="B72">
        <v>22</v>
      </c>
      <c r="C72" t="s">
        <v>27</v>
      </c>
      <c r="D72" t="s">
        <v>49</v>
      </c>
      <c r="E72" t="s">
        <v>68</v>
      </c>
      <c r="F72" t="s">
        <v>61</v>
      </c>
      <c r="G72">
        <v>60099</v>
      </c>
      <c r="H72">
        <v>1</v>
      </c>
      <c r="I72">
        <v>1</v>
      </c>
      <c r="J72">
        <v>2</v>
      </c>
      <c r="K72">
        <v>4</v>
      </c>
      <c r="L72">
        <v>1</v>
      </c>
      <c r="M72">
        <v>3</v>
      </c>
      <c r="N72" t="s">
        <v>31</v>
      </c>
      <c r="O72" t="s">
        <v>32</v>
      </c>
      <c r="P72">
        <v>17</v>
      </c>
      <c r="Q72">
        <v>53</v>
      </c>
      <c r="R72">
        <v>3</v>
      </c>
      <c r="S72" t="s">
        <v>31</v>
      </c>
      <c r="T72">
        <v>4</v>
      </c>
      <c r="U72" t="s">
        <v>33</v>
      </c>
      <c r="V72" s="1">
        <v>41877</v>
      </c>
      <c r="W72" s="1">
        <v>42487</v>
      </c>
    </row>
    <row r="73" spans="1:23" x14ac:dyDescent="0.35">
      <c r="A73" t="s">
        <v>129</v>
      </c>
      <c r="B73">
        <v>58</v>
      </c>
      <c r="C73" t="s">
        <v>44</v>
      </c>
      <c r="D73" t="s">
        <v>28</v>
      </c>
      <c r="E73" t="s">
        <v>29</v>
      </c>
      <c r="F73" t="s">
        <v>37</v>
      </c>
      <c r="G73">
        <v>174178</v>
      </c>
      <c r="H73">
        <v>36</v>
      </c>
      <c r="I73">
        <v>36</v>
      </c>
      <c r="J73">
        <v>5</v>
      </c>
      <c r="K73">
        <v>1</v>
      </c>
      <c r="L73">
        <v>1</v>
      </c>
      <c r="M73">
        <v>1</v>
      </c>
      <c r="N73" t="s">
        <v>31</v>
      </c>
      <c r="O73" t="s">
        <v>32</v>
      </c>
      <c r="P73">
        <v>18</v>
      </c>
      <c r="Q73">
        <v>33</v>
      </c>
      <c r="R73">
        <v>3</v>
      </c>
      <c r="S73" t="s">
        <v>33</v>
      </c>
      <c r="T73">
        <v>1</v>
      </c>
      <c r="U73" t="s">
        <v>33</v>
      </c>
      <c r="V73" s="1">
        <v>44158</v>
      </c>
      <c r="W73" s="1">
        <v>44685</v>
      </c>
    </row>
    <row r="74" spans="1:23" x14ac:dyDescent="0.35">
      <c r="A74" t="s">
        <v>130</v>
      </c>
      <c r="B74">
        <v>59</v>
      </c>
      <c r="C74" t="s">
        <v>27</v>
      </c>
      <c r="D74" t="s">
        <v>45</v>
      </c>
      <c r="E74" t="s">
        <v>46</v>
      </c>
      <c r="F74" t="s">
        <v>41</v>
      </c>
      <c r="G74">
        <v>97364</v>
      </c>
      <c r="H74">
        <v>7</v>
      </c>
      <c r="I74">
        <v>35</v>
      </c>
      <c r="J74">
        <v>4</v>
      </c>
      <c r="K74">
        <v>1</v>
      </c>
      <c r="L74">
        <v>3</v>
      </c>
      <c r="M74">
        <v>4</v>
      </c>
      <c r="N74" t="s">
        <v>33</v>
      </c>
      <c r="O74" t="s">
        <v>47</v>
      </c>
      <c r="P74">
        <v>15</v>
      </c>
      <c r="Q74">
        <v>43</v>
      </c>
      <c r="R74">
        <v>3</v>
      </c>
      <c r="S74" t="s">
        <v>33</v>
      </c>
      <c r="T74">
        <v>2</v>
      </c>
      <c r="U74" t="s">
        <v>31</v>
      </c>
      <c r="V74" s="1">
        <v>44628</v>
      </c>
    </row>
    <row r="75" spans="1:23" x14ac:dyDescent="0.35">
      <c r="A75" t="s">
        <v>131</v>
      </c>
      <c r="B75">
        <v>33</v>
      </c>
      <c r="C75" t="s">
        <v>27</v>
      </c>
      <c r="D75" t="s">
        <v>35</v>
      </c>
      <c r="E75" t="s">
        <v>85</v>
      </c>
      <c r="F75" t="s">
        <v>41</v>
      </c>
      <c r="G75">
        <v>42406</v>
      </c>
      <c r="H75">
        <v>0</v>
      </c>
      <c r="I75">
        <v>12</v>
      </c>
      <c r="J75">
        <v>1</v>
      </c>
      <c r="K75">
        <v>4</v>
      </c>
      <c r="L75">
        <v>2</v>
      </c>
      <c r="M75">
        <v>1</v>
      </c>
      <c r="N75" t="s">
        <v>31</v>
      </c>
      <c r="O75" t="s">
        <v>32</v>
      </c>
      <c r="P75">
        <v>2</v>
      </c>
      <c r="Q75">
        <v>59</v>
      </c>
      <c r="R75">
        <v>3</v>
      </c>
      <c r="S75" t="s">
        <v>31</v>
      </c>
      <c r="T75">
        <v>6</v>
      </c>
      <c r="U75" t="s">
        <v>31</v>
      </c>
      <c r="V75" s="1">
        <v>44590</v>
      </c>
    </row>
    <row r="76" spans="1:23" x14ac:dyDescent="0.35">
      <c r="A76" t="s">
        <v>132</v>
      </c>
      <c r="B76">
        <v>59</v>
      </c>
      <c r="C76" t="s">
        <v>27</v>
      </c>
      <c r="D76" t="s">
        <v>45</v>
      </c>
      <c r="E76" t="s">
        <v>46</v>
      </c>
      <c r="F76" t="s">
        <v>56</v>
      </c>
      <c r="G76">
        <v>132000</v>
      </c>
      <c r="H76">
        <v>17</v>
      </c>
      <c r="I76">
        <v>37</v>
      </c>
      <c r="J76">
        <v>5</v>
      </c>
      <c r="K76">
        <v>3</v>
      </c>
      <c r="L76">
        <v>3</v>
      </c>
      <c r="M76">
        <v>1</v>
      </c>
      <c r="N76" t="s">
        <v>33</v>
      </c>
      <c r="O76" t="s">
        <v>32</v>
      </c>
      <c r="P76">
        <v>25</v>
      </c>
      <c r="Q76">
        <v>30</v>
      </c>
      <c r="R76">
        <v>3</v>
      </c>
      <c r="S76" t="s">
        <v>31</v>
      </c>
      <c r="T76">
        <v>5</v>
      </c>
      <c r="U76" t="s">
        <v>31</v>
      </c>
      <c r="V76" s="1">
        <v>44247</v>
      </c>
    </row>
    <row r="77" spans="1:23" x14ac:dyDescent="0.35">
      <c r="A77" t="s">
        <v>133</v>
      </c>
      <c r="B77">
        <v>56</v>
      </c>
      <c r="C77" t="s">
        <v>27</v>
      </c>
      <c r="D77" t="s">
        <v>45</v>
      </c>
      <c r="E77" t="s">
        <v>63</v>
      </c>
      <c r="F77" t="s">
        <v>30</v>
      </c>
      <c r="G77">
        <v>89228</v>
      </c>
      <c r="H77">
        <v>8</v>
      </c>
      <c r="I77">
        <v>34</v>
      </c>
      <c r="J77">
        <v>3</v>
      </c>
      <c r="K77">
        <v>2</v>
      </c>
      <c r="L77">
        <v>4</v>
      </c>
      <c r="M77">
        <v>4</v>
      </c>
      <c r="N77" t="s">
        <v>31</v>
      </c>
      <c r="O77" t="s">
        <v>42</v>
      </c>
      <c r="P77">
        <v>25</v>
      </c>
      <c r="Q77">
        <v>21</v>
      </c>
      <c r="R77">
        <v>3</v>
      </c>
      <c r="S77" t="s">
        <v>31</v>
      </c>
      <c r="T77">
        <v>7</v>
      </c>
      <c r="U77" t="s">
        <v>31</v>
      </c>
      <c r="V77" s="1">
        <v>41923</v>
      </c>
    </row>
    <row r="78" spans="1:23" x14ac:dyDescent="0.35">
      <c r="A78" t="s">
        <v>134</v>
      </c>
      <c r="B78">
        <v>37</v>
      </c>
      <c r="C78" t="s">
        <v>44</v>
      </c>
      <c r="D78" t="s">
        <v>52</v>
      </c>
      <c r="E78" t="s">
        <v>53</v>
      </c>
      <c r="F78" t="s">
        <v>61</v>
      </c>
      <c r="G78">
        <v>105854</v>
      </c>
      <c r="H78">
        <v>10</v>
      </c>
      <c r="I78">
        <v>13</v>
      </c>
      <c r="J78">
        <v>4</v>
      </c>
      <c r="K78">
        <v>4</v>
      </c>
      <c r="L78">
        <v>1</v>
      </c>
      <c r="M78">
        <v>1</v>
      </c>
      <c r="N78" t="s">
        <v>33</v>
      </c>
      <c r="O78" t="s">
        <v>32</v>
      </c>
      <c r="P78">
        <v>16</v>
      </c>
      <c r="Q78">
        <v>55</v>
      </c>
      <c r="R78">
        <v>3</v>
      </c>
      <c r="S78" t="s">
        <v>31</v>
      </c>
      <c r="T78">
        <v>6</v>
      </c>
      <c r="U78" t="s">
        <v>31</v>
      </c>
      <c r="V78" s="1">
        <v>44439</v>
      </c>
    </row>
    <row r="79" spans="1:23" x14ac:dyDescent="0.35">
      <c r="A79" t="s">
        <v>135</v>
      </c>
      <c r="B79">
        <v>28</v>
      </c>
      <c r="C79" t="s">
        <v>44</v>
      </c>
      <c r="D79" t="s">
        <v>39</v>
      </c>
      <c r="E79" t="s">
        <v>40</v>
      </c>
      <c r="F79" t="s">
        <v>78</v>
      </c>
      <c r="G79">
        <v>52444</v>
      </c>
      <c r="H79">
        <v>0</v>
      </c>
      <c r="I79">
        <v>5</v>
      </c>
      <c r="J79">
        <v>2</v>
      </c>
      <c r="K79">
        <v>2</v>
      </c>
      <c r="L79">
        <v>4</v>
      </c>
      <c r="M79">
        <v>4</v>
      </c>
      <c r="N79" t="s">
        <v>33</v>
      </c>
      <c r="O79" t="s">
        <v>42</v>
      </c>
      <c r="P79">
        <v>12</v>
      </c>
      <c r="Q79">
        <v>54</v>
      </c>
      <c r="R79">
        <v>3</v>
      </c>
      <c r="S79" t="s">
        <v>31</v>
      </c>
      <c r="T79">
        <v>8</v>
      </c>
      <c r="U79" t="s">
        <v>31</v>
      </c>
      <c r="V79" s="1">
        <v>43540</v>
      </c>
    </row>
    <row r="80" spans="1:23" x14ac:dyDescent="0.35">
      <c r="A80" t="s">
        <v>136</v>
      </c>
      <c r="B80">
        <v>45</v>
      </c>
      <c r="C80" t="s">
        <v>27</v>
      </c>
      <c r="D80" t="s">
        <v>39</v>
      </c>
      <c r="E80" t="s">
        <v>40</v>
      </c>
      <c r="F80" t="s">
        <v>78</v>
      </c>
      <c r="G80">
        <v>137674</v>
      </c>
      <c r="H80">
        <v>17</v>
      </c>
      <c r="I80">
        <v>21</v>
      </c>
      <c r="J80">
        <v>5</v>
      </c>
      <c r="K80">
        <v>4</v>
      </c>
      <c r="L80">
        <v>4</v>
      </c>
      <c r="M80">
        <v>3</v>
      </c>
      <c r="N80" t="s">
        <v>33</v>
      </c>
      <c r="O80" t="s">
        <v>32</v>
      </c>
      <c r="P80">
        <v>1</v>
      </c>
      <c r="Q80">
        <v>59</v>
      </c>
      <c r="R80">
        <v>3</v>
      </c>
      <c r="S80" t="s">
        <v>31</v>
      </c>
      <c r="T80">
        <v>5</v>
      </c>
      <c r="U80" t="s">
        <v>31</v>
      </c>
      <c r="V80" s="1">
        <v>42455</v>
      </c>
    </row>
    <row r="81" spans="1:23" x14ac:dyDescent="0.35">
      <c r="A81" t="s">
        <v>137</v>
      </c>
      <c r="B81">
        <v>31</v>
      </c>
      <c r="C81" t="s">
        <v>27</v>
      </c>
      <c r="D81" t="s">
        <v>28</v>
      </c>
      <c r="E81" t="s">
        <v>29</v>
      </c>
      <c r="F81" t="s">
        <v>61</v>
      </c>
      <c r="G81">
        <v>99343</v>
      </c>
      <c r="H81">
        <v>8</v>
      </c>
      <c r="I81">
        <v>9</v>
      </c>
      <c r="J81">
        <v>4</v>
      </c>
      <c r="K81">
        <v>3</v>
      </c>
      <c r="L81">
        <v>3</v>
      </c>
      <c r="M81">
        <v>1</v>
      </c>
      <c r="N81" t="s">
        <v>31</v>
      </c>
      <c r="O81" t="s">
        <v>32</v>
      </c>
      <c r="P81">
        <v>9</v>
      </c>
      <c r="Q81">
        <v>58</v>
      </c>
      <c r="R81">
        <v>3</v>
      </c>
      <c r="S81" t="s">
        <v>31</v>
      </c>
      <c r="T81">
        <v>8</v>
      </c>
      <c r="U81" t="s">
        <v>31</v>
      </c>
      <c r="V81" s="1">
        <v>42823</v>
      </c>
    </row>
    <row r="82" spans="1:23" x14ac:dyDescent="0.35">
      <c r="A82" t="s">
        <v>138</v>
      </c>
      <c r="B82">
        <v>27</v>
      </c>
      <c r="C82" t="s">
        <v>27</v>
      </c>
      <c r="D82" t="s">
        <v>52</v>
      </c>
      <c r="E82" t="s">
        <v>53</v>
      </c>
      <c r="F82" t="s">
        <v>61</v>
      </c>
      <c r="G82">
        <v>56564</v>
      </c>
      <c r="H82">
        <v>1</v>
      </c>
      <c r="I82">
        <v>3</v>
      </c>
      <c r="J82">
        <v>2</v>
      </c>
      <c r="K82">
        <v>4</v>
      </c>
      <c r="L82">
        <v>3</v>
      </c>
      <c r="M82">
        <v>4</v>
      </c>
      <c r="N82" t="s">
        <v>31</v>
      </c>
      <c r="O82" t="s">
        <v>32</v>
      </c>
      <c r="P82">
        <v>22</v>
      </c>
      <c r="Q82">
        <v>53</v>
      </c>
      <c r="R82">
        <v>3</v>
      </c>
      <c r="S82" t="s">
        <v>31</v>
      </c>
      <c r="T82">
        <v>8</v>
      </c>
      <c r="U82" t="s">
        <v>31</v>
      </c>
      <c r="V82" s="1">
        <v>44528</v>
      </c>
    </row>
    <row r="83" spans="1:23" x14ac:dyDescent="0.35">
      <c r="A83" t="s">
        <v>139</v>
      </c>
      <c r="B83">
        <v>26</v>
      </c>
      <c r="C83" t="s">
        <v>27</v>
      </c>
      <c r="D83" t="s">
        <v>35</v>
      </c>
      <c r="E83" t="s">
        <v>36</v>
      </c>
      <c r="F83" t="s">
        <v>30</v>
      </c>
      <c r="G83">
        <v>39959</v>
      </c>
      <c r="H83">
        <v>0</v>
      </c>
      <c r="I83">
        <v>4</v>
      </c>
      <c r="J83">
        <v>1</v>
      </c>
      <c r="K83">
        <v>4</v>
      </c>
      <c r="L83">
        <v>1</v>
      </c>
      <c r="M83">
        <v>4</v>
      </c>
      <c r="N83" t="s">
        <v>31</v>
      </c>
      <c r="O83" t="s">
        <v>47</v>
      </c>
      <c r="P83">
        <v>13</v>
      </c>
      <c r="Q83">
        <v>32</v>
      </c>
      <c r="R83">
        <v>3</v>
      </c>
      <c r="S83" t="s">
        <v>31</v>
      </c>
      <c r="T83">
        <v>8</v>
      </c>
      <c r="U83" t="s">
        <v>31</v>
      </c>
      <c r="V83" s="1">
        <v>41921</v>
      </c>
    </row>
    <row r="84" spans="1:23" x14ac:dyDescent="0.35">
      <c r="A84" t="s">
        <v>140</v>
      </c>
      <c r="B84">
        <v>37</v>
      </c>
      <c r="C84" t="s">
        <v>27</v>
      </c>
      <c r="D84" t="s">
        <v>52</v>
      </c>
      <c r="E84" t="s">
        <v>55</v>
      </c>
      <c r="F84" t="s">
        <v>78</v>
      </c>
      <c r="G84">
        <v>63782</v>
      </c>
      <c r="H84">
        <v>3</v>
      </c>
      <c r="I84">
        <v>15</v>
      </c>
      <c r="J84">
        <v>2</v>
      </c>
      <c r="K84">
        <v>2</v>
      </c>
      <c r="L84">
        <v>1</v>
      </c>
      <c r="M84">
        <v>2</v>
      </c>
      <c r="N84" t="s">
        <v>31</v>
      </c>
      <c r="O84" t="s">
        <v>32</v>
      </c>
      <c r="P84">
        <v>1</v>
      </c>
      <c r="Q84">
        <v>20</v>
      </c>
      <c r="R84">
        <v>3</v>
      </c>
      <c r="S84" t="s">
        <v>31</v>
      </c>
      <c r="T84">
        <v>8</v>
      </c>
      <c r="U84" t="s">
        <v>31</v>
      </c>
      <c r="V84" s="1">
        <v>41469</v>
      </c>
    </row>
    <row r="85" spans="1:23" x14ac:dyDescent="0.35">
      <c r="A85" t="s">
        <v>141</v>
      </c>
      <c r="B85">
        <v>59</v>
      </c>
      <c r="C85" t="s">
        <v>44</v>
      </c>
      <c r="D85" t="s">
        <v>49</v>
      </c>
      <c r="E85" t="s">
        <v>68</v>
      </c>
      <c r="F85" t="s">
        <v>30</v>
      </c>
      <c r="G85">
        <v>126138</v>
      </c>
      <c r="H85">
        <v>13</v>
      </c>
      <c r="I85">
        <v>37</v>
      </c>
      <c r="J85">
        <v>5</v>
      </c>
      <c r="K85">
        <v>4</v>
      </c>
      <c r="L85">
        <v>3</v>
      </c>
      <c r="M85">
        <v>4</v>
      </c>
      <c r="N85" t="s">
        <v>31</v>
      </c>
      <c r="O85" t="s">
        <v>32</v>
      </c>
      <c r="P85">
        <v>27</v>
      </c>
      <c r="Q85">
        <v>11</v>
      </c>
      <c r="R85">
        <v>3</v>
      </c>
      <c r="S85" t="s">
        <v>31</v>
      </c>
      <c r="T85">
        <v>7</v>
      </c>
      <c r="U85" t="s">
        <v>33</v>
      </c>
      <c r="V85" s="1">
        <v>41146</v>
      </c>
      <c r="W85" s="1">
        <v>41626</v>
      </c>
    </row>
    <row r="86" spans="1:23" x14ac:dyDescent="0.35">
      <c r="A86" t="s">
        <v>142</v>
      </c>
      <c r="B86">
        <v>24</v>
      </c>
      <c r="C86" t="s">
        <v>44</v>
      </c>
      <c r="D86" t="s">
        <v>45</v>
      </c>
      <c r="E86" t="s">
        <v>46</v>
      </c>
      <c r="F86" t="s">
        <v>78</v>
      </c>
      <c r="G86">
        <v>56964</v>
      </c>
      <c r="H86">
        <v>1</v>
      </c>
      <c r="I86">
        <v>3</v>
      </c>
      <c r="J86">
        <v>2</v>
      </c>
      <c r="K86">
        <v>2</v>
      </c>
      <c r="L86">
        <v>4</v>
      </c>
      <c r="M86">
        <v>1</v>
      </c>
      <c r="N86" t="s">
        <v>33</v>
      </c>
      <c r="O86" t="s">
        <v>42</v>
      </c>
      <c r="P86">
        <v>28</v>
      </c>
      <c r="Q86">
        <v>22</v>
      </c>
      <c r="R86">
        <v>3</v>
      </c>
      <c r="S86" t="s">
        <v>31</v>
      </c>
      <c r="T86">
        <v>4</v>
      </c>
      <c r="U86" t="s">
        <v>31</v>
      </c>
      <c r="V86" s="1">
        <v>44110</v>
      </c>
    </row>
    <row r="87" spans="1:23" x14ac:dyDescent="0.35">
      <c r="A87" t="s">
        <v>143</v>
      </c>
      <c r="B87">
        <v>44</v>
      </c>
      <c r="C87" t="s">
        <v>27</v>
      </c>
      <c r="D87" t="s">
        <v>49</v>
      </c>
      <c r="E87" t="s">
        <v>50</v>
      </c>
      <c r="F87" t="s">
        <v>37</v>
      </c>
      <c r="G87">
        <v>104737</v>
      </c>
      <c r="H87">
        <v>9</v>
      </c>
      <c r="I87">
        <v>22</v>
      </c>
      <c r="J87">
        <v>4</v>
      </c>
      <c r="K87">
        <v>2</v>
      </c>
      <c r="L87">
        <v>3</v>
      </c>
      <c r="M87">
        <v>2</v>
      </c>
      <c r="N87" t="s">
        <v>31</v>
      </c>
      <c r="O87" t="s">
        <v>47</v>
      </c>
      <c r="P87">
        <v>19</v>
      </c>
      <c r="Q87">
        <v>18</v>
      </c>
      <c r="R87">
        <v>2</v>
      </c>
      <c r="S87" t="s">
        <v>31</v>
      </c>
      <c r="T87">
        <v>2</v>
      </c>
      <c r="U87" t="s">
        <v>31</v>
      </c>
      <c r="V87" s="1">
        <v>41517</v>
      </c>
    </row>
    <row r="88" spans="1:23" x14ac:dyDescent="0.35">
      <c r="A88" t="s">
        <v>144</v>
      </c>
      <c r="B88">
        <v>25</v>
      </c>
      <c r="C88" t="s">
        <v>44</v>
      </c>
      <c r="D88" t="s">
        <v>35</v>
      </c>
      <c r="E88" t="s">
        <v>36</v>
      </c>
      <c r="F88" t="s">
        <v>41</v>
      </c>
      <c r="G88">
        <v>52419</v>
      </c>
      <c r="H88">
        <v>0</v>
      </c>
      <c r="I88">
        <v>1</v>
      </c>
      <c r="J88">
        <v>2</v>
      </c>
      <c r="K88">
        <v>4</v>
      </c>
      <c r="L88">
        <v>2</v>
      </c>
      <c r="M88">
        <v>3</v>
      </c>
      <c r="N88" t="s">
        <v>31</v>
      </c>
      <c r="O88" t="s">
        <v>32</v>
      </c>
      <c r="P88">
        <v>29</v>
      </c>
      <c r="Q88">
        <v>44</v>
      </c>
      <c r="R88">
        <v>3</v>
      </c>
      <c r="S88" t="s">
        <v>31</v>
      </c>
      <c r="T88">
        <v>5</v>
      </c>
      <c r="U88" t="s">
        <v>31</v>
      </c>
      <c r="V88" s="1">
        <v>43202</v>
      </c>
    </row>
    <row r="89" spans="1:23" x14ac:dyDescent="0.35">
      <c r="A89" t="s">
        <v>145</v>
      </c>
      <c r="B89">
        <v>59</v>
      </c>
      <c r="C89" t="s">
        <v>27</v>
      </c>
      <c r="D89" t="s">
        <v>39</v>
      </c>
      <c r="E89" t="s">
        <v>40</v>
      </c>
      <c r="F89" t="s">
        <v>30</v>
      </c>
      <c r="G89">
        <v>63084</v>
      </c>
      <c r="H89">
        <v>4</v>
      </c>
      <c r="I89">
        <v>35</v>
      </c>
      <c r="J89">
        <v>2</v>
      </c>
      <c r="K89">
        <v>1</v>
      </c>
      <c r="L89">
        <v>2</v>
      </c>
      <c r="M89">
        <v>2</v>
      </c>
      <c r="N89" t="s">
        <v>33</v>
      </c>
      <c r="O89" t="s">
        <v>32</v>
      </c>
      <c r="P89">
        <v>4</v>
      </c>
      <c r="Q89">
        <v>26</v>
      </c>
      <c r="R89">
        <v>3</v>
      </c>
      <c r="S89" t="s">
        <v>31</v>
      </c>
      <c r="T89">
        <v>4</v>
      </c>
      <c r="U89" t="s">
        <v>31</v>
      </c>
      <c r="V89" s="1">
        <v>41454</v>
      </c>
    </row>
    <row r="90" spans="1:23" x14ac:dyDescent="0.35">
      <c r="A90" t="s">
        <v>146</v>
      </c>
      <c r="B90">
        <v>39</v>
      </c>
      <c r="C90" t="s">
        <v>27</v>
      </c>
      <c r="D90" t="s">
        <v>35</v>
      </c>
      <c r="E90" t="s">
        <v>36</v>
      </c>
      <c r="F90" t="s">
        <v>41</v>
      </c>
      <c r="G90">
        <v>83164</v>
      </c>
      <c r="H90">
        <v>5</v>
      </c>
      <c r="I90">
        <v>18</v>
      </c>
      <c r="J90">
        <v>3</v>
      </c>
      <c r="K90">
        <v>2</v>
      </c>
      <c r="L90">
        <v>1</v>
      </c>
      <c r="M90">
        <v>1</v>
      </c>
      <c r="N90" t="s">
        <v>31</v>
      </c>
      <c r="O90" t="s">
        <v>32</v>
      </c>
      <c r="P90">
        <v>1</v>
      </c>
      <c r="Q90">
        <v>11</v>
      </c>
      <c r="R90">
        <v>4</v>
      </c>
      <c r="S90" t="s">
        <v>31</v>
      </c>
      <c r="T90">
        <v>4</v>
      </c>
      <c r="U90" t="s">
        <v>31</v>
      </c>
      <c r="V90" s="1">
        <v>43758</v>
      </c>
    </row>
    <row r="91" spans="1:23" x14ac:dyDescent="0.35">
      <c r="A91" t="s">
        <v>147</v>
      </c>
      <c r="B91">
        <v>29</v>
      </c>
      <c r="C91" t="s">
        <v>44</v>
      </c>
      <c r="D91" t="s">
        <v>35</v>
      </c>
      <c r="E91" t="s">
        <v>36</v>
      </c>
      <c r="F91" t="s">
        <v>61</v>
      </c>
      <c r="G91">
        <v>66724</v>
      </c>
      <c r="H91">
        <v>4</v>
      </c>
      <c r="I91">
        <v>5</v>
      </c>
      <c r="J91">
        <v>2</v>
      </c>
      <c r="K91">
        <v>4</v>
      </c>
      <c r="L91">
        <v>4</v>
      </c>
      <c r="M91">
        <v>1</v>
      </c>
      <c r="N91" t="s">
        <v>33</v>
      </c>
      <c r="O91" t="s">
        <v>32</v>
      </c>
      <c r="P91">
        <v>23</v>
      </c>
      <c r="Q91">
        <v>52</v>
      </c>
      <c r="R91">
        <v>3</v>
      </c>
      <c r="S91" t="s">
        <v>31</v>
      </c>
      <c r="T91">
        <v>3</v>
      </c>
      <c r="U91" t="s">
        <v>31</v>
      </c>
      <c r="V91" s="1">
        <v>45236</v>
      </c>
    </row>
    <row r="92" spans="1:23" x14ac:dyDescent="0.35">
      <c r="A92" t="s">
        <v>148</v>
      </c>
      <c r="B92">
        <v>52</v>
      </c>
      <c r="C92" t="s">
        <v>27</v>
      </c>
      <c r="D92" t="s">
        <v>49</v>
      </c>
      <c r="E92" t="s">
        <v>68</v>
      </c>
      <c r="F92" t="s">
        <v>37</v>
      </c>
      <c r="G92">
        <v>133562</v>
      </c>
      <c r="H92">
        <v>18</v>
      </c>
      <c r="I92">
        <v>29</v>
      </c>
      <c r="J92">
        <v>5</v>
      </c>
      <c r="K92">
        <v>3</v>
      </c>
      <c r="L92">
        <v>2</v>
      </c>
      <c r="M92">
        <v>1</v>
      </c>
      <c r="N92" t="s">
        <v>31</v>
      </c>
      <c r="O92" t="s">
        <v>32</v>
      </c>
      <c r="P92">
        <v>10</v>
      </c>
      <c r="Q92">
        <v>47</v>
      </c>
      <c r="R92">
        <v>3</v>
      </c>
      <c r="S92" t="s">
        <v>31</v>
      </c>
      <c r="T92">
        <v>6</v>
      </c>
      <c r="U92" t="s">
        <v>31</v>
      </c>
      <c r="V92" s="1">
        <v>42522</v>
      </c>
    </row>
    <row r="93" spans="1:23" x14ac:dyDescent="0.35">
      <c r="A93" t="s">
        <v>149</v>
      </c>
      <c r="B93">
        <v>46</v>
      </c>
      <c r="C93" t="s">
        <v>27</v>
      </c>
      <c r="D93" t="s">
        <v>45</v>
      </c>
      <c r="E93" t="s">
        <v>46</v>
      </c>
      <c r="F93" t="s">
        <v>30</v>
      </c>
      <c r="G93">
        <v>137651</v>
      </c>
      <c r="H93">
        <v>20</v>
      </c>
      <c r="I93">
        <v>24</v>
      </c>
      <c r="J93">
        <v>5</v>
      </c>
      <c r="K93">
        <v>3</v>
      </c>
      <c r="L93">
        <v>4</v>
      </c>
      <c r="M93">
        <v>2</v>
      </c>
      <c r="N93" t="s">
        <v>31</v>
      </c>
      <c r="O93" t="s">
        <v>42</v>
      </c>
      <c r="P93">
        <v>28</v>
      </c>
      <c r="Q93">
        <v>43</v>
      </c>
      <c r="R93">
        <v>3</v>
      </c>
      <c r="S93" t="s">
        <v>31</v>
      </c>
      <c r="T93">
        <v>5</v>
      </c>
      <c r="U93" t="s">
        <v>31</v>
      </c>
      <c r="V93" s="1">
        <v>43746</v>
      </c>
    </row>
    <row r="94" spans="1:23" x14ac:dyDescent="0.35">
      <c r="A94" t="s">
        <v>150</v>
      </c>
      <c r="B94">
        <v>51</v>
      </c>
      <c r="C94" t="s">
        <v>44</v>
      </c>
      <c r="D94" t="s">
        <v>52</v>
      </c>
      <c r="E94" t="s">
        <v>55</v>
      </c>
      <c r="F94" t="s">
        <v>37</v>
      </c>
      <c r="G94">
        <v>132988</v>
      </c>
      <c r="H94">
        <v>16</v>
      </c>
      <c r="I94">
        <v>29</v>
      </c>
      <c r="J94">
        <v>5</v>
      </c>
      <c r="K94">
        <v>3</v>
      </c>
      <c r="L94">
        <v>2</v>
      </c>
      <c r="M94">
        <v>4</v>
      </c>
      <c r="N94" t="s">
        <v>31</v>
      </c>
      <c r="O94" t="s">
        <v>32</v>
      </c>
      <c r="P94">
        <v>15</v>
      </c>
      <c r="Q94">
        <v>27</v>
      </c>
      <c r="R94">
        <v>3</v>
      </c>
      <c r="S94" t="s">
        <v>33</v>
      </c>
      <c r="T94">
        <v>5</v>
      </c>
      <c r="U94" t="s">
        <v>31</v>
      </c>
      <c r="V94" s="1">
        <v>41570</v>
      </c>
    </row>
    <row r="95" spans="1:23" x14ac:dyDescent="0.35">
      <c r="A95" t="s">
        <v>151</v>
      </c>
      <c r="B95">
        <v>46</v>
      </c>
      <c r="C95" t="s">
        <v>44</v>
      </c>
      <c r="D95" t="s">
        <v>28</v>
      </c>
      <c r="E95" t="s">
        <v>29</v>
      </c>
      <c r="F95" t="s">
        <v>30</v>
      </c>
      <c r="G95">
        <v>143579</v>
      </c>
      <c r="H95">
        <v>20</v>
      </c>
      <c r="I95">
        <v>24</v>
      </c>
      <c r="J95">
        <v>5</v>
      </c>
      <c r="K95">
        <v>3</v>
      </c>
      <c r="L95">
        <v>2</v>
      </c>
      <c r="M95">
        <v>3</v>
      </c>
      <c r="N95" t="s">
        <v>33</v>
      </c>
      <c r="O95" t="s">
        <v>32</v>
      </c>
      <c r="P95">
        <v>22</v>
      </c>
      <c r="Q95">
        <v>52</v>
      </c>
      <c r="R95">
        <v>3</v>
      </c>
      <c r="S95" t="s">
        <v>33</v>
      </c>
      <c r="T95">
        <v>4</v>
      </c>
      <c r="U95" t="s">
        <v>31</v>
      </c>
      <c r="V95" s="1">
        <v>42213</v>
      </c>
    </row>
    <row r="96" spans="1:23" x14ac:dyDescent="0.35">
      <c r="A96" t="s">
        <v>152</v>
      </c>
      <c r="B96">
        <v>58</v>
      </c>
      <c r="C96" t="s">
        <v>27</v>
      </c>
      <c r="D96" t="s">
        <v>39</v>
      </c>
      <c r="E96" t="s">
        <v>59</v>
      </c>
      <c r="F96" t="s">
        <v>61</v>
      </c>
      <c r="G96">
        <v>60448</v>
      </c>
      <c r="H96">
        <v>4</v>
      </c>
      <c r="I96">
        <v>34</v>
      </c>
      <c r="J96">
        <v>2</v>
      </c>
      <c r="K96">
        <v>4</v>
      </c>
      <c r="L96">
        <v>4</v>
      </c>
      <c r="M96">
        <v>3</v>
      </c>
      <c r="N96" t="s">
        <v>31</v>
      </c>
      <c r="O96" t="s">
        <v>32</v>
      </c>
      <c r="P96">
        <v>10</v>
      </c>
      <c r="Q96">
        <v>30</v>
      </c>
      <c r="R96">
        <v>3</v>
      </c>
      <c r="S96" t="s">
        <v>31</v>
      </c>
      <c r="T96">
        <v>6</v>
      </c>
      <c r="U96" t="s">
        <v>31</v>
      </c>
      <c r="V96" s="1">
        <v>43522</v>
      </c>
    </row>
    <row r="97" spans="1:23" x14ac:dyDescent="0.35">
      <c r="A97" t="s">
        <v>153</v>
      </c>
      <c r="B97">
        <v>33</v>
      </c>
      <c r="C97" t="s">
        <v>44</v>
      </c>
      <c r="D97" t="s">
        <v>45</v>
      </c>
      <c r="E97" t="s">
        <v>46</v>
      </c>
      <c r="F97" t="s">
        <v>30</v>
      </c>
      <c r="G97">
        <v>100634</v>
      </c>
      <c r="H97">
        <v>8</v>
      </c>
      <c r="I97">
        <v>12</v>
      </c>
      <c r="J97">
        <v>4</v>
      </c>
      <c r="K97">
        <v>4</v>
      </c>
      <c r="L97">
        <v>3</v>
      </c>
      <c r="M97">
        <v>3</v>
      </c>
      <c r="N97" t="s">
        <v>31</v>
      </c>
      <c r="O97" t="s">
        <v>47</v>
      </c>
      <c r="P97">
        <v>4</v>
      </c>
      <c r="Q97">
        <v>56</v>
      </c>
      <c r="R97">
        <v>3</v>
      </c>
      <c r="S97" t="s">
        <v>31</v>
      </c>
      <c r="T97">
        <v>6</v>
      </c>
      <c r="U97" t="s">
        <v>31</v>
      </c>
      <c r="V97" s="1">
        <v>45192</v>
      </c>
    </row>
    <row r="98" spans="1:23" x14ac:dyDescent="0.35">
      <c r="A98" t="s">
        <v>154</v>
      </c>
      <c r="B98">
        <v>41</v>
      </c>
      <c r="C98" t="s">
        <v>27</v>
      </c>
      <c r="D98" t="s">
        <v>52</v>
      </c>
      <c r="E98" t="s">
        <v>53</v>
      </c>
      <c r="F98" t="s">
        <v>56</v>
      </c>
      <c r="G98">
        <v>81841</v>
      </c>
      <c r="H98">
        <v>4</v>
      </c>
      <c r="I98">
        <v>18</v>
      </c>
      <c r="J98">
        <v>3</v>
      </c>
      <c r="K98">
        <v>3</v>
      </c>
      <c r="L98">
        <v>4</v>
      </c>
      <c r="M98">
        <v>4</v>
      </c>
      <c r="N98" t="s">
        <v>31</v>
      </c>
      <c r="O98" t="s">
        <v>32</v>
      </c>
      <c r="P98">
        <v>19</v>
      </c>
      <c r="Q98">
        <v>40</v>
      </c>
      <c r="R98">
        <v>2</v>
      </c>
      <c r="S98" t="s">
        <v>31</v>
      </c>
      <c r="T98">
        <v>2</v>
      </c>
      <c r="U98" t="s">
        <v>31</v>
      </c>
      <c r="V98" s="1">
        <v>41572</v>
      </c>
    </row>
    <row r="99" spans="1:23" x14ac:dyDescent="0.35">
      <c r="A99" t="s">
        <v>155</v>
      </c>
      <c r="B99">
        <v>33</v>
      </c>
      <c r="C99" t="s">
        <v>44</v>
      </c>
      <c r="D99" t="s">
        <v>45</v>
      </c>
      <c r="E99" t="s">
        <v>46</v>
      </c>
      <c r="F99" t="s">
        <v>41</v>
      </c>
      <c r="G99">
        <v>63852</v>
      </c>
      <c r="H99">
        <v>2</v>
      </c>
      <c r="I99">
        <v>9</v>
      </c>
      <c r="J99">
        <v>2</v>
      </c>
      <c r="K99">
        <v>4</v>
      </c>
      <c r="L99">
        <v>2</v>
      </c>
      <c r="M99">
        <v>3</v>
      </c>
      <c r="N99" t="s">
        <v>33</v>
      </c>
      <c r="O99" t="s">
        <v>32</v>
      </c>
      <c r="P99">
        <v>17</v>
      </c>
      <c r="Q99">
        <v>37</v>
      </c>
      <c r="R99">
        <v>3</v>
      </c>
      <c r="S99" t="s">
        <v>31</v>
      </c>
      <c r="T99">
        <v>8</v>
      </c>
      <c r="U99" t="s">
        <v>31</v>
      </c>
      <c r="V99" s="1">
        <v>40983</v>
      </c>
    </row>
    <row r="100" spans="1:23" x14ac:dyDescent="0.35">
      <c r="A100" t="s">
        <v>156</v>
      </c>
      <c r="B100">
        <v>30</v>
      </c>
      <c r="C100" t="s">
        <v>44</v>
      </c>
      <c r="D100" t="s">
        <v>28</v>
      </c>
      <c r="E100" t="s">
        <v>29</v>
      </c>
      <c r="F100" t="s">
        <v>41</v>
      </c>
      <c r="G100">
        <v>120890</v>
      </c>
      <c r="H100">
        <v>9</v>
      </c>
      <c r="I100">
        <v>9</v>
      </c>
      <c r="J100">
        <v>5</v>
      </c>
      <c r="K100">
        <v>1</v>
      </c>
      <c r="L100">
        <v>3</v>
      </c>
      <c r="M100">
        <v>1</v>
      </c>
      <c r="N100" t="s">
        <v>31</v>
      </c>
      <c r="O100" t="s">
        <v>32</v>
      </c>
      <c r="P100">
        <v>27</v>
      </c>
      <c r="Q100">
        <v>54</v>
      </c>
      <c r="R100">
        <v>3</v>
      </c>
      <c r="S100" t="s">
        <v>33</v>
      </c>
      <c r="T100">
        <v>3</v>
      </c>
      <c r="U100" t="s">
        <v>31</v>
      </c>
      <c r="V100" s="1">
        <v>42912</v>
      </c>
    </row>
    <row r="101" spans="1:23" x14ac:dyDescent="0.35">
      <c r="A101" t="s">
        <v>157</v>
      </c>
      <c r="B101">
        <v>42</v>
      </c>
      <c r="C101" t="s">
        <v>27</v>
      </c>
      <c r="D101" t="s">
        <v>28</v>
      </c>
      <c r="E101" t="s">
        <v>66</v>
      </c>
      <c r="F101" t="s">
        <v>56</v>
      </c>
      <c r="G101">
        <v>79886</v>
      </c>
      <c r="H101">
        <v>3</v>
      </c>
      <c r="I101">
        <v>20</v>
      </c>
      <c r="J101">
        <v>3</v>
      </c>
      <c r="K101">
        <v>3</v>
      </c>
      <c r="L101">
        <v>2</v>
      </c>
      <c r="M101">
        <v>3</v>
      </c>
      <c r="N101" t="s">
        <v>31</v>
      </c>
      <c r="O101" t="s">
        <v>42</v>
      </c>
      <c r="P101">
        <v>22</v>
      </c>
      <c r="Q101">
        <v>55</v>
      </c>
      <c r="R101">
        <v>3</v>
      </c>
      <c r="S101" t="s">
        <v>31</v>
      </c>
      <c r="T101">
        <v>5</v>
      </c>
      <c r="U101" t="s">
        <v>31</v>
      </c>
      <c r="V101" s="1">
        <v>43370</v>
      </c>
    </row>
    <row r="102" spans="1:23" x14ac:dyDescent="0.35">
      <c r="A102" t="s">
        <v>158</v>
      </c>
      <c r="B102">
        <v>43</v>
      </c>
      <c r="C102" t="s">
        <v>27</v>
      </c>
      <c r="D102" t="s">
        <v>49</v>
      </c>
      <c r="E102" t="s">
        <v>50</v>
      </c>
      <c r="F102" t="s">
        <v>41</v>
      </c>
      <c r="G102">
        <v>118471</v>
      </c>
      <c r="H102">
        <v>9</v>
      </c>
      <c r="I102">
        <v>21</v>
      </c>
      <c r="J102">
        <v>5</v>
      </c>
      <c r="K102">
        <v>2</v>
      </c>
      <c r="L102">
        <v>3</v>
      </c>
      <c r="M102">
        <v>2</v>
      </c>
      <c r="N102" t="s">
        <v>33</v>
      </c>
      <c r="O102" t="s">
        <v>32</v>
      </c>
      <c r="P102">
        <v>4</v>
      </c>
      <c r="Q102">
        <v>52</v>
      </c>
      <c r="R102">
        <v>3</v>
      </c>
      <c r="S102" t="s">
        <v>31</v>
      </c>
      <c r="T102">
        <v>6</v>
      </c>
      <c r="U102" t="s">
        <v>31</v>
      </c>
      <c r="V102" s="1">
        <v>42080</v>
      </c>
    </row>
    <row r="103" spans="1:23" x14ac:dyDescent="0.35">
      <c r="A103" t="s">
        <v>159</v>
      </c>
      <c r="B103">
        <v>45</v>
      </c>
      <c r="C103" t="s">
        <v>44</v>
      </c>
      <c r="D103" t="s">
        <v>28</v>
      </c>
      <c r="E103" t="s">
        <v>66</v>
      </c>
      <c r="F103" t="s">
        <v>30</v>
      </c>
      <c r="G103">
        <v>127260</v>
      </c>
      <c r="H103">
        <v>13</v>
      </c>
      <c r="I103">
        <v>21</v>
      </c>
      <c r="J103">
        <v>5</v>
      </c>
      <c r="K103">
        <v>2</v>
      </c>
      <c r="L103">
        <v>1</v>
      </c>
      <c r="M103">
        <v>2</v>
      </c>
      <c r="N103" t="s">
        <v>31</v>
      </c>
      <c r="O103" t="s">
        <v>32</v>
      </c>
      <c r="P103">
        <v>17</v>
      </c>
      <c r="Q103">
        <v>28</v>
      </c>
      <c r="R103">
        <v>2</v>
      </c>
      <c r="S103" t="s">
        <v>31</v>
      </c>
      <c r="T103">
        <v>3</v>
      </c>
      <c r="U103" t="s">
        <v>31</v>
      </c>
      <c r="V103" s="1">
        <v>41803</v>
      </c>
    </row>
    <row r="104" spans="1:23" x14ac:dyDescent="0.35">
      <c r="A104" t="s">
        <v>160</v>
      </c>
      <c r="B104">
        <v>28</v>
      </c>
      <c r="C104" t="s">
        <v>44</v>
      </c>
      <c r="D104" t="s">
        <v>35</v>
      </c>
      <c r="E104" t="s">
        <v>36</v>
      </c>
      <c r="F104" t="s">
        <v>78</v>
      </c>
      <c r="G104">
        <v>61097</v>
      </c>
      <c r="H104">
        <v>1</v>
      </c>
      <c r="I104">
        <v>7</v>
      </c>
      <c r="J104">
        <v>2</v>
      </c>
      <c r="K104">
        <v>3</v>
      </c>
      <c r="L104">
        <v>1</v>
      </c>
      <c r="M104">
        <v>3</v>
      </c>
      <c r="N104" t="s">
        <v>31</v>
      </c>
      <c r="O104" t="s">
        <v>32</v>
      </c>
      <c r="P104">
        <v>6</v>
      </c>
      <c r="Q104">
        <v>43</v>
      </c>
      <c r="R104">
        <v>3</v>
      </c>
      <c r="S104" t="s">
        <v>31</v>
      </c>
      <c r="T104">
        <v>7</v>
      </c>
      <c r="U104" t="s">
        <v>31</v>
      </c>
      <c r="V104" s="1">
        <v>41252</v>
      </c>
    </row>
    <row r="105" spans="1:23" x14ac:dyDescent="0.35">
      <c r="A105" t="s">
        <v>161</v>
      </c>
      <c r="B105">
        <v>59</v>
      </c>
      <c r="C105" t="s">
        <v>44</v>
      </c>
      <c r="D105" t="s">
        <v>39</v>
      </c>
      <c r="E105" t="s">
        <v>40</v>
      </c>
      <c r="F105" t="s">
        <v>37</v>
      </c>
      <c r="G105">
        <v>161324</v>
      </c>
      <c r="H105">
        <v>31</v>
      </c>
      <c r="I105">
        <v>36</v>
      </c>
      <c r="J105">
        <v>5</v>
      </c>
      <c r="K105">
        <v>4</v>
      </c>
      <c r="L105">
        <v>2</v>
      </c>
      <c r="M105">
        <v>3</v>
      </c>
      <c r="N105" t="s">
        <v>31</v>
      </c>
      <c r="O105" t="s">
        <v>32</v>
      </c>
      <c r="P105">
        <v>8</v>
      </c>
      <c r="Q105">
        <v>30</v>
      </c>
      <c r="R105">
        <v>3</v>
      </c>
      <c r="S105" t="s">
        <v>33</v>
      </c>
      <c r="T105">
        <v>6</v>
      </c>
      <c r="U105" t="s">
        <v>31</v>
      </c>
      <c r="V105" s="1">
        <v>44879</v>
      </c>
    </row>
    <row r="106" spans="1:23" x14ac:dyDescent="0.35">
      <c r="A106" t="s">
        <v>162</v>
      </c>
      <c r="B106">
        <v>29</v>
      </c>
      <c r="C106" t="s">
        <v>27</v>
      </c>
      <c r="D106" t="s">
        <v>39</v>
      </c>
      <c r="E106" t="s">
        <v>40</v>
      </c>
      <c r="F106" t="s">
        <v>56</v>
      </c>
      <c r="G106">
        <v>64744</v>
      </c>
      <c r="H106">
        <v>3</v>
      </c>
      <c r="I106">
        <v>6</v>
      </c>
      <c r="J106">
        <v>2</v>
      </c>
      <c r="K106">
        <v>3</v>
      </c>
      <c r="L106">
        <v>2</v>
      </c>
      <c r="M106">
        <v>3</v>
      </c>
      <c r="N106" t="s">
        <v>31</v>
      </c>
      <c r="O106" t="s">
        <v>32</v>
      </c>
      <c r="P106">
        <v>10</v>
      </c>
      <c r="Q106">
        <v>17</v>
      </c>
      <c r="R106">
        <v>3</v>
      </c>
      <c r="S106" t="s">
        <v>31</v>
      </c>
      <c r="T106">
        <v>8</v>
      </c>
      <c r="U106" t="s">
        <v>31</v>
      </c>
      <c r="V106" s="1">
        <v>44248</v>
      </c>
    </row>
    <row r="107" spans="1:23" x14ac:dyDescent="0.35">
      <c r="A107" t="s">
        <v>163</v>
      </c>
      <c r="B107">
        <v>23</v>
      </c>
      <c r="C107" t="s">
        <v>27</v>
      </c>
      <c r="D107" t="s">
        <v>49</v>
      </c>
      <c r="E107" t="s">
        <v>50</v>
      </c>
      <c r="F107" t="s">
        <v>37</v>
      </c>
      <c r="G107">
        <v>43135</v>
      </c>
      <c r="H107">
        <v>1</v>
      </c>
      <c r="I107">
        <v>1</v>
      </c>
      <c r="J107">
        <v>1</v>
      </c>
      <c r="K107">
        <v>2</v>
      </c>
      <c r="L107">
        <v>1</v>
      </c>
      <c r="M107">
        <v>4</v>
      </c>
      <c r="N107" t="s">
        <v>33</v>
      </c>
      <c r="O107" t="s">
        <v>42</v>
      </c>
      <c r="P107">
        <v>28</v>
      </c>
      <c r="Q107">
        <v>57</v>
      </c>
      <c r="R107">
        <v>3</v>
      </c>
      <c r="S107" t="s">
        <v>31</v>
      </c>
      <c r="T107">
        <v>3</v>
      </c>
      <c r="U107" t="s">
        <v>33</v>
      </c>
      <c r="V107" s="1">
        <v>44867</v>
      </c>
      <c r="W107" s="1">
        <v>44982</v>
      </c>
    </row>
    <row r="108" spans="1:23" x14ac:dyDescent="0.35">
      <c r="A108" t="s">
        <v>164</v>
      </c>
      <c r="B108">
        <v>22</v>
      </c>
      <c r="C108" t="s">
        <v>27</v>
      </c>
      <c r="D108" t="s">
        <v>28</v>
      </c>
      <c r="E108" t="s">
        <v>29</v>
      </c>
      <c r="F108" t="s">
        <v>56</v>
      </c>
      <c r="G108">
        <v>54923</v>
      </c>
      <c r="H108">
        <v>1</v>
      </c>
      <c r="I108">
        <v>1</v>
      </c>
      <c r="J108">
        <v>2</v>
      </c>
      <c r="K108">
        <v>2</v>
      </c>
      <c r="L108">
        <v>2</v>
      </c>
      <c r="M108">
        <v>3</v>
      </c>
      <c r="N108" t="s">
        <v>33</v>
      </c>
      <c r="O108" t="s">
        <v>32</v>
      </c>
      <c r="P108">
        <v>3</v>
      </c>
      <c r="Q108">
        <v>42</v>
      </c>
      <c r="R108">
        <v>3</v>
      </c>
      <c r="S108" t="s">
        <v>31</v>
      </c>
      <c r="T108">
        <v>2</v>
      </c>
      <c r="U108" t="s">
        <v>31</v>
      </c>
      <c r="V108" s="1">
        <v>41135</v>
      </c>
    </row>
    <row r="109" spans="1:23" x14ac:dyDescent="0.35">
      <c r="A109" t="s">
        <v>165</v>
      </c>
      <c r="B109">
        <v>49</v>
      </c>
      <c r="C109" t="s">
        <v>44</v>
      </c>
      <c r="D109" t="s">
        <v>52</v>
      </c>
      <c r="E109" t="s">
        <v>55</v>
      </c>
      <c r="F109" t="s">
        <v>30</v>
      </c>
      <c r="G109">
        <v>140544</v>
      </c>
      <c r="H109">
        <v>18</v>
      </c>
      <c r="I109">
        <v>27</v>
      </c>
      <c r="J109">
        <v>5</v>
      </c>
      <c r="K109">
        <v>3</v>
      </c>
      <c r="L109">
        <v>2</v>
      </c>
      <c r="M109">
        <v>3</v>
      </c>
      <c r="N109" t="s">
        <v>31</v>
      </c>
      <c r="O109" t="s">
        <v>32</v>
      </c>
      <c r="P109">
        <v>22</v>
      </c>
      <c r="Q109">
        <v>12</v>
      </c>
      <c r="R109">
        <v>3</v>
      </c>
      <c r="S109" t="s">
        <v>33</v>
      </c>
      <c r="T109">
        <v>3</v>
      </c>
      <c r="U109" t="s">
        <v>31</v>
      </c>
      <c r="V109" s="1">
        <v>42607</v>
      </c>
    </row>
    <row r="110" spans="1:23" x14ac:dyDescent="0.35">
      <c r="A110" t="s">
        <v>166</v>
      </c>
      <c r="B110">
        <v>55</v>
      </c>
      <c r="C110" t="s">
        <v>27</v>
      </c>
      <c r="D110" t="s">
        <v>39</v>
      </c>
      <c r="E110" t="s">
        <v>59</v>
      </c>
      <c r="F110" t="s">
        <v>37</v>
      </c>
      <c r="G110">
        <v>141895</v>
      </c>
      <c r="H110">
        <v>22</v>
      </c>
      <c r="I110">
        <v>34</v>
      </c>
      <c r="J110">
        <v>5</v>
      </c>
      <c r="K110">
        <v>2</v>
      </c>
      <c r="L110">
        <v>1</v>
      </c>
      <c r="M110">
        <v>1</v>
      </c>
      <c r="N110" t="s">
        <v>31</v>
      </c>
      <c r="O110" t="s">
        <v>32</v>
      </c>
      <c r="P110">
        <v>1</v>
      </c>
      <c r="Q110">
        <v>29</v>
      </c>
      <c r="R110">
        <v>3</v>
      </c>
      <c r="S110" t="s">
        <v>33</v>
      </c>
      <c r="T110">
        <v>2</v>
      </c>
      <c r="U110" t="s">
        <v>31</v>
      </c>
      <c r="V110" s="1">
        <v>43410</v>
      </c>
    </row>
    <row r="111" spans="1:23" x14ac:dyDescent="0.35">
      <c r="A111" t="s">
        <v>167</v>
      </c>
      <c r="B111">
        <v>30</v>
      </c>
      <c r="C111" t="s">
        <v>44</v>
      </c>
      <c r="D111" t="s">
        <v>35</v>
      </c>
      <c r="E111" t="s">
        <v>85</v>
      </c>
      <c r="F111" t="s">
        <v>37</v>
      </c>
      <c r="G111">
        <v>44934</v>
      </c>
      <c r="H111">
        <v>1</v>
      </c>
      <c r="I111">
        <v>6</v>
      </c>
      <c r="J111">
        <v>1</v>
      </c>
      <c r="K111">
        <v>2</v>
      </c>
      <c r="L111">
        <v>3</v>
      </c>
      <c r="M111">
        <v>3</v>
      </c>
      <c r="N111" t="s">
        <v>31</v>
      </c>
      <c r="O111" t="s">
        <v>32</v>
      </c>
      <c r="P111">
        <v>20</v>
      </c>
      <c r="Q111">
        <v>23</v>
      </c>
      <c r="R111">
        <v>2</v>
      </c>
      <c r="S111" t="s">
        <v>31</v>
      </c>
      <c r="T111">
        <v>5</v>
      </c>
      <c r="U111" t="s">
        <v>33</v>
      </c>
      <c r="V111" s="1">
        <v>43363</v>
      </c>
      <c r="W111" s="1">
        <v>43905</v>
      </c>
    </row>
    <row r="112" spans="1:23" x14ac:dyDescent="0.35">
      <c r="A112" t="s">
        <v>168</v>
      </c>
      <c r="B112">
        <v>48</v>
      </c>
      <c r="C112" t="s">
        <v>27</v>
      </c>
      <c r="D112" t="s">
        <v>45</v>
      </c>
      <c r="E112" t="s">
        <v>63</v>
      </c>
      <c r="F112" t="s">
        <v>56</v>
      </c>
      <c r="G112">
        <v>143845</v>
      </c>
      <c r="H112">
        <v>20</v>
      </c>
      <c r="I112">
        <v>24</v>
      </c>
      <c r="J112">
        <v>5</v>
      </c>
      <c r="K112">
        <v>3</v>
      </c>
      <c r="L112">
        <v>3</v>
      </c>
      <c r="M112">
        <v>2</v>
      </c>
      <c r="N112" t="s">
        <v>31</v>
      </c>
      <c r="O112" t="s">
        <v>32</v>
      </c>
      <c r="P112">
        <v>8</v>
      </c>
      <c r="Q112">
        <v>33</v>
      </c>
      <c r="R112">
        <v>3</v>
      </c>
      <c r="S112" t="s">
        <v>31</v>
      </c>
      <c r="T112">
        <v>11</v>
      </c>
      <c r="U112" t="s">
        <v>31</v>
      </c>
      <c r="V112" s="1">
        <v>42052</v>
      </c>
    </row>
    <row r="113" spans="1:23" x14ac:dyDescent="0.35">
      <c r="A113" t="s">
        <v>169</v>
      </c>
      <c r="B113">
        <v>59</v>
      </c>
      <c r="C113" t="s">
        <v>27</v>
      </c>
      <c r="D113" t="s">
        <v>52</v>
      </c>
      <c r="E113" t="s">
        <v>55</v>
      </c>
      <c r="F113" t="s">
        <v>61</v>
      </c>
      <c r="G113">
        <v>104816</v>
      </c>
      <c r="H113">
        <v>8</v>
      </c>
      <c r="I113">
        <v>37</v>
      </c>
      <c r="J113">
        <v>4</v>
      </c>
      <c r="K113">
        <v>4</v>
      </c>
      <c r="L113">
        <v>4</v>
      </c>
      <c r="M113">
        <v>1</v>
      </c>
      <c r="N113" t="s">
        <v>33</v>
      </c>
      <c r="O113" t="s">
        <v>32</v>
      </c>
      <c r="P113">
        <v>14</v>
      </c>
      <c r="Q113">
        <v>39</v>
      </c>
      <c r="R113">
        <v>3</v>
      </c>
      <c r="S113" t="s">
        <v>31</v>
      </c>
      <c r="T113">
        <v>4</v>
      </c>
      <c r="U113" t="s">
        <v>33</v>
      </c>
      <c r="V113" s="1">
        <v>43433</v>
      </c>
      <c r="W113" s="1">
        <v>43594</v>
      </c>
    </row>
    <row r="114" spans="1:23" x14ac:dyDescent="0.35">
      <c r="A114" t="s">
        <v>170</v>
      </c>
      <c r="B114">
        <v>51</v>
      </c>
      <c r="C114" t="s">
        <v>27</v>
      </c>
      <c r="D114" t="s">
        <v>49</v>
      </c>
      <c r="E114" t="s">
        <v>68</v>
      </c>
      <c r="F114" t="s">
        <v>56</v>
      </c>
      <c r="G114">
        <v>137660</v>
      </c>
      <c r="H114">
        <v>20</v>
      </c>
      <c r="I114">
        <v>29</v>
      </c>
      <c r="J114">
        <v>5</v>
      </c>
      <c r="K114">
        <v>1</v>
      </c>
      <c r="L114">
        <v>4</v>
      </c>
      <c r="M114">
        <v>4</v>
      </c>
      <c r="N114" t="s">
        <v>31</v>
      </c>
      <c r="O114" t="s">
        <v>42</v>
      </c>
      <c r="P114">
        <v>9</v>
      </c>
      <c r="Q114">
        <v>18</v>
      </c>
      <c r="R114">
        <v>3</v>
      </c>
      <c r="S114" t="s">
        <v>33</v>
      </c>
      <c r="T114">
        <v>8</v>
      </c>
      <c r="U114" t="s">
        <v>33</v>
      </c>
      <c r="V114" s="1">
        <v>41314</v>
      </c>
      <c r="W114" s="1">
        <v>41645</v>
      </c>
    </row>
    <row r="115" spans="1:23" x14ac:dyDescent="0.35">
      <c r="A115" t="s">
        <v>171</v>
      </c>
      <c r="B115">
        <v>42</v>
      </c>
      <c r="C115" t="s">
        <v>44</v>
      </c>
      <c r="D115" t="s">
        <v>52</v>
      </c>
      <c r="E115" t="s">
        <v>53</v>
      </c>
      <c r="F115" t="s">
        <v>78</v>
      </c>
      <c r="G115">
        <v>59478</v>
      </c>
      <c r="H115">
        <v>3</v>
      </c>
      <c r="I115">
        <v>19</v>
      </c>
      <c r="J115">
        <v>2</v>
      </c>
      <c r="K115">
        <v>4</v>
      </c>
      <c r="L115">
        <v>4</v>
      </c>
      <c r="M115">
        <v>4</v>
      </c>
      <c r="N115" t="s">
        <v>31</v>
      </c>
      <c r="O115" t="s">
        <v>32</v>
      </c>
      <c r="P115">
        <v>2</v>
      </c>
      <c r="Q115">
        <v>33</v>
      </c>
      <c r="R115">
        <v>3</v>
      </c>
      <c r="S115" t="s">
        <v>31</v>
      </c>
      <c r="T115">
        <v>5</v>
      </c>
      <c r="U115" t="s">
        <v>31</v>
      </c>
      <c r="V115" s="1">
        <v>45266</v>
      </c>
    </row>
    <row r="116" spans="1:23" x14ac:dyDescent="0.35">
      <c r="A116" t="s">
        <v>172</v>
      </c>
      <c r="B116">
        <v>47</v>
      </c>
      <c r="C116" t="s">
        <v>44</v>
      </c>
      <c r="D116" t="s">
        <v>49</v>
      </c>
      <c r="E116" t="s">
        <v>68</v>
      </c>
      <c r="F116" t="s">
        <v>30</v>
      </c>
      <c r="G116">
        <v>146644</v>
      </c>
      <c r="H116">
        <v>24</v>
      </c>
      <c r="I116">
        <v>26</v>
      </c>
      <c r="J116">
        <v>5</v>
      </c>
      <c r="K116">
        <v>1</v>
      </c>
      <c r="L116">
        <v>3</v>
      </c>
      <c r="M116">
        <v>4</v>
      </c>
      <c r="N116" t="s">
        <v>31</v>
      </c>
      <c r="O116" t="s">
        <v>32</v>
      </c>
      <c r="P116">
        <v>17</v>
      </c>
      <c r="Q116">
        <v>22</v>
      </c>
      <c r="R116">
        <v>3</v>
      </c>
      <c r="S116" t="s">
        <v>31</v>
      </c>
      <c r="T116">
        <v>5</v>
      </c>
      <c r="U116" t="s">
        <v>31</v>
      </c>
      <c r="V116" s="1">
        <v>41612</v>
      </c>
    </row>
    <row r="117" spans="1:23" x14ac:dyDescent="0.35">
      <c r="A117" t="s">
        <v>173</v>
      </c>
      <c r="B117">
        <v>30</v>
      </c>
      <c r="C117" t="s">
        <v>44</v>
      </c>
      <c r="D117" t="s">
        <v>35</v>
      </c>
      <c r="E117" t="s">
        <v>36</v>
      </c>
      <c r="F117" t="s">
        <v>61</v>
      </c>
      <c r="G117">
        <v>63642</v>
      </c>
      <c r="H117">
        <v>4</v>
      </c>
      <c r="I117">
        <v>6</v>
      </c>
      <c r="J117">
        <v>2</v>
      </c>
      <c r="K117">
        <v>3</v>
      </c>
      <c r="L117">
        <v>3</v>
      </c>
      <c r="M117">
        <v>1</v>
      </c>
      <c r="N117" t="s">
        <v>31</v>
      </c>
      <c r="O117" t="s">
        <v>32</v>
      </c>
      <c r="P117">
        <v>11</v>
      </c>
      <c r="Q117">
        <v>22</v>
      </c>
      <c r="R117">
        <v>2</v>
      </c>
      <c r="S117" t="s">
        <v>31</v>
      </c>
      <c r="T117">
        <v>6</v>
      </c>
      <c r="U117" t="s">
        <v>31</v>
      </c>
      <c r="V117" s="1">
        <v>44281</v>
      </c>
    </row>
    <row r="118" spans="1:23" x14ac:dyDescent="0.35">
      <c r="A118" t="s">
        <v>174</v>
      </c>
      <c r="B118">
        <v>47</v>
      </c>
      <c r="C118" t="s">
        <v>44</v>
      </c>
      <c r="D118" t="s">
        <v>39</v>
      </c>
      <c r="E118" t="s">
        <v>74</v>
      </c>
      <c r="F118" t="s">
        <v>61</v>
      </c>
      <c r="G118">
        <v>126741</v>
      </c>
      <c r="H118">
        <v>13</v>
      </c>
      <c r="I118">
        <v>24</v>
      </c>
      <c r="J118">
        <v>5</v>
      </c>
      <c r="K118">
        <v>1</v>
      </c>
      <c r="L118">
        <v>3</v>
      </c>
      <c r="M118">
        <v>3</v>
      </c>
      <c r="N118" t="s">
        <v>31</v>
      </c>
      <c r="O118" t="s">
        <v>32</v>
      </c>
      <c r="P118">
        <v>4</v>
      </c>
      <c r="Q118">
        <v>39</v>
      </c>
      <c r="R118">
        <v>2</v>
      </c>
      <c r="S118" t="s">
        <v>33</v>
      </c>
      <c r="T118">
        <v>6</v>
      </c>
      <c r="U118" t="s">
        <v>31</v>
      </c>
      <c r="V118" s="1">
        <v>44777</v>
      </c>
    </row>
    <row r="119" spans="1:23" x14ac:dyDescent="0.35">
      <c r="A119" t="s">
        <v>175</v>
      </c>
      <c r="B119">
        <v>31</v>
      </c>
      <c r="C119" t="s">
        <v>27</v>
      </c>
      <c r="D119" t="s">
        <v>49</v>
      </c>
      <c r="E119" t="s">
        <v>50</v>
      </c>
      <c r="F119" t="s">
        <v>30</v>
      </c>
      <c r="G119">
        <v>42189</v>
      </c>
      <c r="H119">
        <v>1</v>
      </c>
      <c r="I119">
        <v>9</v>
      </c>
      <c r="J119">
        <v>1</v>
      </c>
      <c r="K119">
        <v>1</v>
      </c>
      <c r="L119">
        <v>1</v>
      </c>
      <c r="M119">
        <v>3</v>
      </c>
      <c r="N119" t="s">
        <v>31</v>
      </c>
      <c r="O119" t="s">
        <v>32</v>
      </c>
      <c r="P119">
        <v>2</v>
      </c>
      <c r="Q119">
        <v>38</v>
      </c>
      <c r="R119">
        <v>4</v>
      </c>
      <c r="S119" t="s">
        <v>31</v>
      </c>
      <c r="T119">
        <v>2</v>
      </c>
      <c r="U119" t="s">
        <v>31</v>
      </c>
      <c r="V119" s="1">
        <v>45002</v>
      </c>
    </row>
    <row r="120" spans="1:23" x14ac:dyDescent="0.35">
      <c r="A120" t="s">
        <v>176</v>
      </c>
      <c r="B120">
        <v>33</v>
      </c>
      <c r="C120" t="s">
        <v>27</v>
      </c>
      <c r="D120" t="s">
        <v>35</v>
      </c>
      <c r="E120" t="s">
        <v>36</v>
      </c>
      <c r="F120" t="s">
        <v>78</v>
      </c>
      <c r="G120">
        <v>101236</v>
      </c>
      <c r="H120">
        <v>9</v>
      </c>
      <c r="I120">
        <v>10</v>
      </c>
      <c r="J120">
        <v>4</v>
      </c>
      <c r="K120">
        <v>2</v>
      </c>
      <c r="L120">
        <v>1</v>
      </c>
      <c r="M120">
        <v>3</v>
      </c>
      <c r="N120" t="s">
        <v>31</v>
      </c>
      <c r="O120" t="s">
        <v>32</v>
      </c>
      <c r="P120">
        <v>28</v>
      </c>
      <c r="Q120">
        <v>30</v>
      </c>
      <c r="R120">
        <v>3</v>
      </c>
      <c r="S120" t="s">
        <v>33</v>
      </c>
      <c r="T120">
        <v>7</v>
      </c>
      <c r="U120" t="s">
        <v>33</v>
      </c>
      <c r="V120" s="1">
        <v>44043</v>
      </c>
      <c r="W120" s="1">
        <v>44165</v>
      </c>
    </row>
    <row r="121" spans="1:23" x14ac:dyDescent="0.35">
      <c r="A121" t="s">
        <v>177</v>
      </c>
      <c r="B121">
        <v>32</v>
      </c>
      <c r="C121" t="s">
        <v>44</v>
      </c>
      <c r="D121" t="s">
        <v>39</v>
      </c>
      <c r="E121" t="s">
        <v>40</v>
      </c>
      <c r="F121" t="s">
        <v>61</v>
      </c>
      <c r="G121">
        <v>77000</v>
      </c>
      <c r="H121">
        <v>3</v>
      </c>
      <c r="I121">
        <v>10</v>
      </c>
      <c r="J121">
        <v>3</v>
      </c>
      <c r="K121">
        <v>4</v>
      </c>
      <c r="L121">
        <v>3</v>
      </c>
      <c r="M121">
        <v>2</v>
      </c>
      <c r="N121" t="s">
        <v>31</v>
      </c>
      <c r="O121" t="s">
        <v>32</v>
      </c>
      <c r="P121">
        <v>24</v>
      </c>
      <c r="Q121">
        <v>10</v>
      </c>
      <c r="R121">
        <v>3</v>
      </c>
      <c r="S121" t="s">
        <v>31</v>
      </c>
      <c r="T121">
        <v>2</v>
      </c>
      <c r="U121" t="s">
        <v>31</v>
      </c>
      <c r="V121" s="1">
        <v>42920</v>
      </c>
    </row>
    <row r="122" spans="1:23" x14ac:dyDescent="0.35">
      <c r="A122" t="s">
        <v>178</v>
      </c>
      <c r="B122">
        <v>56</v>
      </c>
      <c r="C122" t="s">
        <v>27</v>
      </c>
      <c r="D122" t="s">
        <v>49</v>
      </c>
      <c r="E122" t="s">
        <v>68</v>
      </c>
      <c r="F122" t="s">
        <v>37</v>
      </c>
      <c r="G122">
        <v>75929</v>
      </c>
      <c r="H122">
        <v>4</v>
      </c>
      <c r="I122">
        <v>35</v>
      </c>
      <c r="J122">
        <v>3</v>
      </c>
      <c r="K122">
        <v>4</v>
      </c>
      <c r="L122">
        <v>4</v>
      </c>
      <c r="M122">
        <v>4</v>
      </c>
      <c r="N122" t="s">
        <v>31</v>
      </c>
      <c r="O122" t="s">
        <v>32</v>
      </c>
      <c r="P122">
        <v>13</v>
      </c>
      <c r="Q122">
        <v>59</v>
      </c>
      <c r="R122">
        <v>4</v>
      </c>
      <c r="S122" t="s">
        <v>31</v>
      </c>
      <c r="T122">
        <v>3</v>
      </c>
      <c r="U122" t="s">
        <v>31</v>
      </c>
      <c r="V122" s="1">
        <v>42087</v>
      </c>
    </row>
    <row r="123" spans="1:23" x14ac:dyDescent="0.35">
      <c r="A123" t="s">
        <v>179</v>
      </c>
      <c r="B123">
        <v>48</v>
      </c>
      <c r="C123" t="s">
        <v>27</v>
      </c>
      <c r="D123" t="s">
        <v>39</v>
      </c>
      <c r="E123" t="s">
        <v>59</v>
      </c>
      <c r="F123" t="s">
        <v>37</v>
      </c>
      <c r="G123">
        <v>129637</v>
      </c>
      <c r="H123">
        <v>14</v>
      </c>
      <c r="I123">
        <v>27</v>
      </c>
      <c r="J123">
        <v>5</v>
      </c>
      <c r="K123">
        <v>2</v>
      </c>
      <c r="L123">
        <v>1</v>
      </c>
      <c r="M123">
        <v>2</v>
      </c>
      <c r="N123" t="s">
        <v>31</v>
      </c>
      <c r="O123" t="s">
        <v>32</v>
      </c>
      <c r="P123">
        <v>23</v>
      </c>
      <c r="Q123">
        <v>15</v>
      </c>
      <c r="R123">
        <v>2</v>
      </c>
      <c r="S123" t="s">
        <v>33</v>
      </c>
      <c r="T123">
        <v>7</v>
      </c>
      <c r="U123" t="s">
        <v>31</v>
      </c>
      <c r="V123" s="1">
        <v>43261</v>
      </c>
    </row>
    <row r="124" spans="1:23" x14ac:dyDescent="0.35">
      <c r="A124" t="s">
        <v>180</v>
      </c>
      <c r="B124">
        <v>34</v>
      </c>
      <c r="C124" t="s">
        <v>27</v>
      </c>
      <c r="D124" t="s">
        <v>45</v>
      </c>
      <c r="E124" t="s">
        <v>46</v>
      </c>
      <c r="F124" t="s">
        <v>37</v>
      </c>
      <c r="G124">
        <v>46673</v>
      </c>
      <c r="H124">
        <v>2</v>
      </c>
      <c r="I124">
        <v>11</v>
      </c>
      <c r="J124">
        <v>1</v>
      </c>
      <c r="K124">
        <v>2</v>
      </c>
      <c r="L124">
        <v>4</v>
      </c>
      <c r="M124">
        <v>1</v>
      </c>
      <c r="N124" t="s">
        <v>33</v>
      </c>
      <c r="O124" t="s">
        <v>32</v>
      </c>
      <c r="P124">
        <v>12</v>
      </c>
      <c r="Q124">
        <v>30</v>
      </c>
      <c r="R124">
        <v>3</v>
      </c>
      <c r="S124" t="s">
        <v>31</v>
      </c>
      <c r="T124">
        <v>5</v>
      </c>
      <c r="U124" t="s">
        <v>31</v>
      </c>
      <c r="V124" s="1">
        <v>43095</v>
      </c>
    </row>
    <row r="125" spans="1:23" x14ac:dyDescent="0.35">
      <c r="A125" t="s">
        <v>181</v>
      </c>
      <c r="B125">
        <v>57</v>
      </c>
      <c r="C125" t="s">
        <v>27</v>
      </c>
      <c r="D125" t="s">
        <v>35</v>
      </c>
      <c r="E125" t="s">
        <v>36</v>
      </c>
      <c r="F125" t="s">
        <v>41</v>
      </c>
      <c r="G125">
        <v>142735</v>
      </c>
      <c r="H125">
        <v>21</v>
      </c>
      <c r="I125">
        <v>35</v>
      </c>
      <c r="J125">
        <v>5</v>
      </c>
      <c r="K125">
        <v>2</v>
      </c>
      <c r="L125">
        <v>3</v>
      </c>
      <c r="M125">
        <v>1</v>
      </c>
      <c r="N125" t="s">
        <v>33</v>
      </c>
      <c r="O125" t="s">
        <v>42</v>
      </c>
      <c r="P125">
        <v>5</v>
      </c>
      <c r="Q125">
        <v>45</v>
      </c>
      <c r="R125">
        <v>3</v>
      </c>
      <c r="S125" t="s">
        <v>33</v>
      </c>
      <c r="T125">
        <v>5</v>
      </c>
      <c r="U125" t="s">
        <v>31</v>
      </c>
      <c r="V125" s="1">
        <v>42419</v>
      </c>
    </row>
    <row r="126" spans="1:23" x14ac:dyDescent="0.35">
      <c r="A126" t="s">
        <v>182</v>
      </c>
      <c r="B126">
        <v>49</v>
      </c>
      <c r="C126" t="s">
        <v>27</v>
      </c>
      <c r="D126" t="s">
        <v>52</v>
      </c>
      <c r="E126" t="s">
        <v>53</v>
      </c>
      <c r="F126" t="s">
        <v>56</v>
      </c>
      <c r="G126">
        <v>126696</v>
      </c>
      <c r="H126">
        <v>11</v>
      </c>
      <c r="I126">
        <v>27</v>
      </c>
      <c r="J126">
        <v>5</v>
      </c>
      <c r="K126">
        <v>3</v>
      </c>
      <c r="L126">
        <v>3</v>
      </c>
      <c r="M126">
        <v>2</v>
      </c>
      <c r="N126" t="s">
        <v>31</v>
      </c>
      <c r="O126" t="s">
        <v>42</v>
      </c>
      <c r="P126">
        <v>23</v>
      </c>
      <c r="Q126">
        <v>45</v>
      </c>
      <c r="R126">
        <v>4</v>
      </c>
      <c r="S126" t="s">
        <v>31</v>
      </c>
      <c r="T126">
        <v>8</v>
      </c>
      <c r="U126" t="s">
        <v>31</v>
      </c>
      <c r="V126" s="1">
        <v>44731</v>
      </c>
    </row>
    <row r="127" spans="1:23" x14ac:dyDescent="0.35">
      <c r="A127" t="s">
        <v>183</v>
      </c>
      <c r="B127">
        <v>25</v>
      </c>
      <c r="C127" t="s">
        <v>44</v>
      </c>
      <c r="D127" t="s">
        <v>49</v>
      </c>
      <c r="E127" t="s">
        <v>68</v>
      </c>
      <c r="F127" t="s">
        <v>61</v>
      </c>
      <c r="G127">
        <v>41384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4</v>
      </c>
      <c r="N127" t="s">
        <v>31</v>
      </c>
      <c r="O127" t="s">
        <v>32</v>
      </c>
      <c r="P127">
        <v>5</v>
      </c>
      <c r="Q127">
        <v>22</v>
      </c>
      <c r="R127">
        <v>3</v>
      </c>
      <c r="S127" t="s">
        <v>31</v>
      </c>
      <c r="T127">
        <v>5</v>
      </c>
      <c r="U127" t="s">
        <v>33</v>
      </c>
      <c r="V127" s="1">
        <v>43862</v>
      </c>
      <c r="W127" s="1">
        <v>44771</v>
      </c>
    </row>
    <row r="128" spans="1:23" x14ac:dyDescent="0.35">
      <c r="A128" t="s">
        <v>184</v>
      </c>
      <c r="B128">
        <v>42</v>
      </c>
      <c r="C128" t="s">
        <v>27</v>
      </c>
      <c r="D128" t="s">
        <v>39</v>
      </c>
      <c r="E128" t="s">
        <v>74</v>
      </c>
      <c r="F128" t="s">
        <v>37</v>
      </c>
      <c r="G128">
        <v>129114</v>
      </c>
      <c r="H128">
        <v>14</v>
      </c>
      <c r="I128">
        <v>18</v>
      </c>
      <c r="J128">
        <v>5</v>
      </c>
      <c r="K128">
        <v>2</v>
      </c>
      <c r="L128">
        <v>4</v>
      </c>
      <c r="M128">
        <v>2</v>
      </c>
      <c r="N128" t="s">
        <v>33</v>
      </c>
      <c r="O128" t="s">
        <v>32</v>
      </c>
      <c r="P128">
        <v>1</v>
      </c>
      <c r="Q128">
        <v>45</v>
      </c>
      <c r="R128">
        <v>3</v>
      </c>
      <c r="S128" t="s">
        <v>33</v>
      </c>
      <c r="T128">
        <v>8</v>
      </c>
      <c r="U128" t="s">
        <v>31</v>
      </c>
      <c r="V128" s="1">
        <v>41322</v>
      </c>
    </row>
    <row r="129" spans="1:23" x14ac:dyDescent="0.35">
      <c r="A129" t="s">
        <v>185</v>
      </c>
      <c r="B129">
        <v>52</v>
      </c>
      <c r="C129" t="s">
        <v>27</v>
      </c>
      <c r="D129" t="s">
        <v>49</v>
      </c>
      <c r="E129" t="s">
        <v>68</v>
      </c>
      <c r="F129" t="s">
        <v>37</v>
      </c>
      <c r="G129">
        <v>154756</v>
      </c>
      <c r="H129">
        <v>27</v>
      </c>
      <c r="I129">
        <v>30</v>
      </c>
      <c r="J129">
        <v>5</v>
      </c>
      <c r="K129">
        <v>4</v>
      </c>
      <c r="L129">
        <v>2</v>
      </c>
      <c r="M129">
        <v>1</v>
      </c>
      <c r="N129" t="s">
        <v>31</v>
      </c>
      <c r="O129" t="s">
        <v>32</v>
      </c>
      <c r="P129">
        <v>8</v>
      </c>
      <c r="Q129">
        <v>26</v>
      </c>
      <c r="R129">
        <v>4</v>
      </c>
      <c r="S129" t="s">
        <v>31</v>
      </c>
      <c r="T129">
        <v>3</v>
      </c>
      <c r="U129" t="s">
        <v>31</v>
      </c>
      <c r="V129" s="1">
        <v>43067</v>
      </c>
    </row>
    <row r="130" spans="1:23" x14ac:dyDescent="0.35">
      <c r="A130" t="s">
        <v>186</v>
      </c>
      <c r="B130">
        <v>52</v>
      </c>
      <c r="C130" t="s">
        <v>27</v>
      </c>
      <c r="D130" t="s">
        <v>49</v>
      </c>
      <c r="E130" t="s">
        <v>68</v>
      </c>
      <c r="F130" t="s">
        <v>56</v>
      </c>
      <c r="G130">
        <v>144701</v>
      </c>
      <c r="H130">
        <v>22</v>
      </c>
      <c r="I130">
        <v>28</v>
      </c>
      <c r="J130">
        <v>5</v>
      </c>
      <c r="K130">
        <v>1</v>
      </c>
      <c r="L130">
        <v>3</v>
      </c>
      <c r="M130">
        <v>1</v>
      </c>
      <c r="N130" t="s">
        <v>31</v>
      </c>
      <c r="O130" t="s">
        <v>32</v>
      </c>
      <c r="P130">
        <v>13</v>
      </c>
      <c r="Q130">
        <v>30</v>
      </c>
      <c r="R130">
        <v>3</v>
      </c>
      <c r="S130" t="s">
        <v>31</v>
      </c>
      <c r="T130">
        <v>8</v>
      </c>
      <c r="U130" t="s">
        <v>31</v>
      </c>
      <c r="V130" s="1">
        <v>41920</v>
      </c>
    </row>
    <row r="131" spans="1:23" x14ac:dyDescent="0.35">
      <c r="A131" t="s">
        <v>187</v>
      </c>
      <c r="B131">
        <v>45</v>
      </c>
      <c r="C131" t="s">
        <v>27</v>
      </c>
      <c r="D131" t="s">
        <v>45</v>
      </c>
      <c r="E131" t="s">
        <v>46</v>
      </c>
      <c r="F131" t="s">
        <v>41</v>
      </c>
      <c r="G131">
        <v>146585</v>
      </c>
      <c r="H131">
        <v>22</v>
      </c>
      <c r="I131">
        <v>24</v>
      </c>
      <c r="J131">
        <v>5</v>
      </c>
      <c r="K131">
        <v>4</v>
      </c>
      <c r="L131">
        <v>3</v>
      </c>
      <c r="M131">
        <v>3</v>
      </c>
      <c r="N131" t="s">
        <v>33</v>
      </c>
      <c r="O131" t="s">
        <v>32</v>
      </c>
      <c r="P131">
        <v>11</v>
      </c>
      <c r="Q131">
        <v>50</v>
      </c>
      <c r="R131">
        <v>3</v>
      </c>
      <c r="S131" t="s">
        <v>33</v>
      </c>
      <c r="T131">
        <v>1</v>
      </c>
      <c r="U131" t="s">
        <v>31</v>
      </c>
      <c r="V131" s="1">
        <v>42718</v>
      </c>
    </row>
    <row r="132" spans="1:23" x14ac:dyDescent="0.35">
      <c r="A132" t="s">
        <v>188</v>
      </c>
      <c r="B132">
        <v>53</v>
      </c>
      <c r="C132" t="s">
        <v>44</v>
      </c>
      <c r="D132" t="s">
        <v>35</v>
      </c>
      <c r="E132" t="s">
        <v>36</v>
      </c>
      <c r="F132" t="s">
        <v>30</v>
      </c>
      <c r="G132">
        <v>104468</v>
      </c>
      <c r="H132">
        <v>8</v>
      </c>
      <c r="I132">
        <v>29</v>
      </c>
      <c r="J132">
        <v>4</v>
      </c>
      <c r="K132">
        <v>4</v>
      </c>
      <c r="L132">
        <v>1</v>
      </c>
      <c r="M132">
        <v>4</v>
      </c>
      <c r="N132" t="s">
        <v>33</v>
      </c>
      <c r="O132" t="s">
        <v>32</v>
      </c>
      <c r="P132">
        <v>19</v>
      </c>
      <c r="Q132">
        <v>18</v>
      </c>
      <c r="R132">
        <v>3</v>
      </c>
      <c r="S132" t="s">
        <v>33</v>
      </c>
      <c r="T132">
        <v>7</v>
      </c>
      <c r="U132" t="s">
        <v>31</v>
      </c>
      <c r="V132" s="1">
        <v>42857</v>
      </c>
    </row>
    <row r="133" spans="1:23" x14ac:dyDescent="0.35">
      <c r="A133" t="s">
        <v>189</v>
      </c>
      <c r="B133">
        <v>54</v>
      </c>
      <c r="C133" t="s">
        <v>44</v>
      </c>
      <c r="D133" t="s">
        <v>35</v>
      </c>
      <c r="E133" t="s">
        <v>85</v>
      </c>
      <c r="F133" t="s">
        <v>30</v>
      </c>
      <c r="G133">
        <v>144988</v>
      </c>
      <c r="H133">
        <v>22</v>
      </c>
      <c r="I133">
        <v>31</v>
      </c>
      <c r="J133">
        <v>5</v>
      </c>
      <c r="K133">
        <v>3</v>
      </c>
      <c r="L133">
        <v>1</v>
      </c>
      <c r="M133">
        <v>1</v>
      </c>
      <c r="N133" t="s">
        <v>31</v>
      </c>
      <c r="O133" t="s">
        <v>47</v>
      </c>
      <c r="P133">
        <v>15</v>
      </c>
      <c r="Q133">
        <v>34</v>
      </c>
      <c r="R133">
        <v>4</v>
      </c>
      <c r="S133" t="s">
        <v>31</v>
      </c>
      <c r="T133">
        <v>3</v>
      </c>
      <c r="U133" t="s">
        <v>31</v>
      </c>
      <c r="V133" s="1">
        <v>43496</v>
      </c>
    </row>
    <row r="134" spans="1:23" x14ac:dyDescent="0.35">
      <c r="A134" t="s">
        <v>190</v>
      </c>
      <c r="B134">
        <v>56</v>
      </c>
      <c r="C134" t="s">
        <v>27</v>
      </c>
      <c r="D134" t="s">
        <v>39</v>
      </c>
      <c r="E134" t="s">
        <v>59</v>
      </c>
      <c r="F134" t="s">
        <v>37</v>
      </c>
      <c r="G134">
        <v>84132</v>
      </c>
      <c r="H134">
        <v>6</v>
      </c>
      <c r="I134">
        <v>32</v>
      </c>
      <c r="J134">
        <v>3</v>
      </c>
      <c r="K134">
        <v>2</v>
      </c>
      <c r="L134">
        <v>1</v>
      </c>
      <c r="M134">
        <v>1</v>
      </c>
      <c r="N134" t="s">
        <v>31</v>
      </c>
      <c r="O134" t="s">
        <v>32</v>
      </c>
      <c r="P134">
        <v>6</v>
      </c>
      <c r="Q134">
        <v>20</v>
      </c>
      <c r="R134">
        <v>3</v>
      </c>
      <c r="S134" t="s">
        <v>33</v>
      </c>
      <c r="T134">
        <v>4</v>
      </c>
      <c r="U134" t="s">
        <v>33</v>
      </c>
      <c r="V134" s="1">
        <v>41848</v>
      </c>
      <c r="W134" s="1">
        <v>42096</v>
      </c>
    </row>
    <row r="135" spans="1:23" x14ac:dyDescent="0.35">
      <c r="A135" t="s">
        <v>191</v>
      </c>
      <c r="B135">
        <v>49</v>
      </c>
      <c r="C135" t="s">
        <v>44</v>
      </c>
      <c r="D135" t="s">
        <v>45</v>
      </c>
      <c r="E135" t="s">
        <v>46</v>
      </c>
      <c r="F135" t="s">
        <v>41</v>
      </c>
      <c r="G135">
        <v>157370</v>
      </c>
      <c r="H135">
        <v>27</v>
      </c>
      <c r="I135">
        <v>28</v>
      </c>
      <c r="J135">
        <v>5</v>
      </c>
      <c r="K135">
        <v>1</v>
      </c>
      <c r="L135">
        <v>1</v>
      </c>
      <c r="M135">
        <v>1</v>
      </c>
      <c r="N135" t="s">
        <v>31</v>
      </c>
      <c r="O135" t="s">
        <v>32</v>
      </c>
      <c r="P135">
        <v>21</v>
      </c>
      <c r="Q135">
        <v>19</v>
      </c>
      <c r="R135">
        <v>2</v>
      </c>
      <c r="S135" t="s">
        <v>31</v>
      </c>
      <c r="T135">
        <v>2</v>
      </c>
      <c r="U135" t="s">
        <v>31</v>
      </c>
      <c r="V135" s="1">
        <v>41583</v>
      </c>
    </row>
    <row r="136" spans="1:23" x14ac:dyDescent="0.35">
      <c r="A136" t="s">
        <v>192</v>
      </c>
      <c r="B136">
        <v>46</v>
      </c>
      <c r="C136" t="s">
        <v>44</v>
      </c>
      <c r="D136" t="s">
        <v>45</v>
      </c>
      <c r="E136" t="s">
        <v>46</v>
      </c>
      <c r="F136" t="s">
        <v>41</v>
      </c>
      <c r="G136">
        <v>139636</v>
      </c>
      <c r="H136">
        <v>19</v>
      </c>
      <c r="I136">
        <v>24</v>
      </c>
      <c r="J136">
        <v>5</v>
      </c>
      <c r="K136">
        <v>3</v>
      </c>
      <c r="L136">
        <v>1</v>
      </c>
      <c r="M136">
        <v>4</v>
      </c>
      <c r="N136" t="s">
        <v>31</v>
      </c>
      <c r="O136" t="s">
        <v>42</v>
      </c>
      <c r="P136">
        <v>23</v>
      </c>
      <c r="Q136">
        <v>37</v>
      </c>
      <c r="R136">
        <v>2</v>
      </c>
      <c r="S136" t="s">
        <v>31</v>
      </c>
      <c r="T136">
        <v>4</v>
      </c>
      <c r="U136" t="s">
        <v>31</v>
      </c>
      <c r="V136" s="1">
        <v>43701</v>
      </c>
    </row>
    <row r="137" spans="1:23" x14ac:dyDescent="0.35">
      <c r="A137" t="s">
        <v>193</v>
      </c>
      <c r="B137">
        <v>55</v>
      </c>
      <c r="C137" t="s">
        <v>27</v>
      </c>
      <c r="D137" t="s">
        <v>28</v>
      </c>
      <c r="E137" t="s">
        <v>29</v>
      </c>
      <c r="F137" t="s">
        <v>61</v>
      </c>
      <c r="G137">
        <v>97896</v>
      </c>
      <c r="H137">
        <v>6</v>
      </c>
      <c r="I137">
        <v>32</v>
      </c>
      <c r="J137">
        <v>4</v>
      </c>
      <c r="K137">
        <v>2</v>
      </c>
      <c r="L137">
        <v>4</v>
      </c>
      <c r="M137">
        <v>4</v>
      </c>
      <c r="N137" t="s">
        <v>31</v>
      </c>
      <c r="O137" t="s">
        <v>32</v>
      </c>
      <c r="P137">
        <v>4</v>
      </c>
      <c r="Q137">
        <v>56</v>
      </c>
      <c r="R137">
        <v>3</v>
      </c>
      <c r="S137" t="s">
        <v>33</v>
      </c>
      <c r="T137">
        <v>5</v>
      </c>
      <c r="U137" t="s">
        <v>33</v>
      </c>
      <c r="V137" s="1">
        <v>44905</v>
      </c>
      <c r="W137" s="1">
        <v>45493</v>
      </c>
    </row>
    <row r="138" spans="1:23" x14ac:dyDescent="0.35">
      <c r="A138" t="s">
        <v>194</v>
      </c>
      <c r="B138">
        <v>50</v>
      </c>
      <c r="C138" t="s">
        <v>27</v>
      </c>
      <c r="D138" t="s">
        <v>52</v>
      </c>
      <c r="E138" t="s">
        <v>53</v>
      </c>
      <c r="F138" t="s">
        <v>41</v>
      </c>
      <c r="G138">
        <v>119515</v>
      </c>
      <c r="H138">
        <v>11</v>
      </c>
      <c r="I138">
        <v>27</v>
      </c>
      <c r="J138">
        <v>5</v>
      </c>
      <c r="K138">
        <v>2</v>
      </c>
      <c r="L138">
        <v>4</v>
      </c>
      <c r="M138">
        <v>1</v>
      </c>
      <c r="N138" t="s">
        <v>31</v>
      </c>
      <c r="O138" t="s">
        <v>32</v>
      </c>
      <c r="P138">
        <v>11</v>
      </c>
      <c r="Q138">
        <v>24</v>
      </c>
      <c r="R138">
        <v>3</v>
      </c>
      <c r="S138" t="s">
        <v>31</v>
      </c>
      <c r="T138">
        <v>7</v>
      </c>
      <c r="U138" t="s">
        <v>33</v>
      </c>
      <c r="V138" s="1">
        <v>44340</v>
      </c>
      <c r="W138" s="1">
        <v>44507</v>
      </c>
    </row>
    <row r="139" spans="1:23" x14ac:dyDescent="0.35">
      <c r="A139" t="s">
        <v>195</v>
      </c>
      <c r="B139">
        <v>52</v>
      </c>
      <c r="C139" t="s">
        <v>44</v>
      </c>
      <c r="D139" t="s">
        <v>49</v>
      </c>
      <c r="E139" t="s">
        <v>50</v>
      </c>
      <c r="F139" t="s">
        <v>61</v>
      </c>
      <c r="G139">
        <v>135215</v>
      </c>
      <c r="H139">
        <v>19</v>
      </c>
      <c r="I139">
        <v>29</v>
      </c>
      <c r="J139">
        <v>5</v>
      </c>
      <c r="K139">
        <v>2</v>
      </c>
      <c r="L139">
        <v>4</v>
      </c>
      <c r="M139">
        <v>1</v>
      </c>
      <c r="N139" t="s">
        <v>31</v>
      </c>
      <c r="O139" t="s">
        <v>32</v>
      </c>
      <c r="P139">
        <v>17</v>
      </c>
      <c r="Q139">
        <v>59</v>
      </c>
      <c r="R139">
        <v>4</v>
      </c>
      <c r="S139" t="s">
        <v>31</v>
      </c>
      <c r="T139">
        <v>5</v>
      </c>
      <c r="U139" t="s">
        <v>31</v>
      </c>
      <c r="V139" s="1">
        <v>43409</v>
      </c>
    </row>
    <row r="140" spans="1:23" x14ac:dyDescent="0.35">
      <c r="A140" t="s">
        <v>196</v>
      </c>
      <c r="B140">
        <v>27</v>
      </c>
      <c r="C140" t="s">
        <v>27</v>
      </c>
      <c r="D140" t="s">
        <v>45</v>
      </c>
      <c r="E140" t="s">
        <v>63</v>
      </c>
      <c r="F140" t="s">
        <v>30</v>
      </c>
      <c r="G140">
        <v>55932</v>
      </c>
      <c r="H140">
        <v>1</v>
      </c>
      <c r="I140">
        <v>5</v>
      </c>
      <c r="J140">
        <v>2</v>
      </c>
      <c r="K140">
        <v>3</v>
      </c>
      <c r="L140">
        <v>2</v>
      </c>
      <c r="M140">
        <v>3</v>
      </c>
      <c r="N140" t="s">
        <v>31</v>
      </c>
      <c r="O140" t="s">
        <v>32</v>
      </c>
      <c r="P140">
        <v>11</v>
      </c>
      <c r="Q140">
        <v>53</v>
      </c>
      <c r="R140">
        <v>3</v>
      </c>
      <c r="S140" t="s">
        <v>31</v>
      </c>
      <c r="T140">
        <v>12</v>
      </c>
      <c r="U140" t="s">
        <v>31</v>
      </c>
      <c r="V140" s="1">
        <v>41778</v>
      </c>
    </row>
    <row r="141" spans="1:23" x14ac:dyDescent="0.35">
      <c r="A141" t="s">
        <v>197</v>
      </c>
      <c r="B141">
        <v>39</v>
      </c>
      <c r="C141" t="s">
        <v>44</v>
      </c>
      <c r="D141" t="s">
        <v>52</v>
      </c>
      <c r="E141" t="s">
        <v>55</v>
      </c>
      <c r="F141" t="s">
        <v>37</v>
      </c>
      <c r="G141">
        <v>43714</v>
      </c>
      <c r="H141">
        <v>1</v>
      </c>
      <c r="I141">
        <v>18</v>
      </c>
      <c r="J141">
        <v>1</v>
      </c>
      <c r="K141">
        <v>3</v>
      </c>
      <c r="L141">
        <v>1</v>
      </c>
      <c r="M141">
        <v>4</v>
      </c>
      <c r="N141" t="s">
        <v>31</v>
      </c>
      <c r="O141" t="s">
        <v>32</v>
      </c>
      <c r="P141">
        <v>8</v>
      </c>
      <c r="Q141">
        <v>39</v>
      </c>
      <c r="R141">
        <v>4</v>
      </c>
      <c r="S141" t="s">
        <v>31</v>
      </c>
      <c r="T141">
        <v>6</v>
      </c>
      <c r="U141" t="s">
        <v>31</v>
      </c>
      <c r="V141" s="1">
        <v>45141</v>
      </c>
    </row>
    <row r="142" spans="1:23" x14ac:dyDescent="0.35">
      <c r="A142" t="s">
        <v>198</v>
      </c>
      <c r="B142">
        <v>58</v>
      </c>
      <c r="C142" t="s">
        <v>27</v>
      </c>
      <c r="D142" t="s">
        <v>28</v>
      </c>
      <c r="E142" t="s">
        <v>66</v>
      </c>
      <c r="F142" t="s">
        <v>41</v>
      </c>
      <c r="G142">
        <v>139217</v>
      </c>
      <c r="H142">
        <v>20</v>
      </c>
      <c r="I142">
        <v>36</v>
      </c>
      <c r="J142">
        <v>5</v>
      </c>
      <c r="K142">
        <v>4</v>
      </c>
      <c r="L142">
        <v>4</v>
      </c>
      <c r="M142">
        <v>2</v>
      </c>
      <c r="N142" t="s">
        <v>31</v>
      </c>
      <c r="O142" t="s">
        <v>32</v>
      </c>
      <c r="P142">
        <v>27</v>
      </c>
      <c r="Q142">
        <v>38</v>
      </c>
      <c r="R142">
        <v>3</v>
      </c>
      <c r="S142" t="s">
        <v>31</v>
      </c>
      <c r="T142">
        <v>6</v>
      </c>
      <c r="U142" t="s">
        <v>31</v>
      </c>
      <c r="V142" s="1">
        <v>44733</v>
      </c>
    </row>
    <row r="143" spans="1:23" x14ac:dyDescent="0.35">
      <c r="A143" t="s">
        <v>199</v>
      </c>
      <c r="B143">
        <v>24</v>
      </c>
      <c r="C143" t="s">
        <v>27</v>
      </c>
      <c r="D143" t="s">
        <v>28</v>
      </c>
      <c r="E143" t="s">
        <v>66</v>
      </c>
      <c r="F143" t="s">
        <v>37</v>
      </c>
      <c r="G143">
        <v>40674</v>
      </c>
      <c r="H143">
        <v>0</v>
      </c>
      <c r="I143">
        <v>1</v>
      </c>
      <c r="J143">
        <v>1</v>
      </c>
      <c r="K143">
        <v>2</v>
      </c>
      <c r="L143">
        <v>2</v>
      </c>
      <c r="M143">
        <v>1</v>
      </c>
      <c r="N143" t="s">
        <v>33</v>
      </c>
      <c r="O143" t="s">
        <v>32</v>
      </c>
      <c r="P143">
        <v>27</v>
      </c>
      <c r="Q143">
        <v>27</v>
      </c>
      <c r="R143">
        <v>3</v>
      </c>
      <c r="S143" t="s">
        <v>31</v>
      </c>
      <c r="T143">
        <v>4</v>
      </c>
      <c r="U143" t="s">
        <v>31</v>
      </c>
      <c r="V143" s="1">
        <v>44695</v>
      </c>
    </row>
    <row r="144" spans="1:23" x14ac:dyDescent="0.35">
      <c r="A144" t="s">
        <v>200</v>
      </c>
      <c r="B144">
        <v>26</v>
      </c>
      <c r="C144" t="s">
        <v>27</v>
      </c>
      <c r="D144" t="s">
        <v>35</v>
      </c>
      <c r="E144" t="s">
        <v>85</v>
      </c>
      <c r="F144" t="s">
        <v>30</v>
      </c>
      <c r="G144">
        <v>39780</v>
      </c>
      <c r="H144">
        <v>0</v>
      </c>
      <c r="I144">
        <v>2</v>
      </c>
      <c r="J144">
        <v>1</v>
      </c>
      <c r="K144">
        <v>4</v>
      </c>
      <c r="L144">
        <v>1</v>
      </c>
      <c r="M144">
        <v>4</v>
      </c>
      <c r="N144" t="s">
        <v>31</v>
      </c>
      <c r="O144" t="s">
        <v>32</v>
      </c>
      <c r="P144">
        <v>26</v>
      </c>
      <c r="Q144">
        <v>28</v>
      </c>
      <c r="R144">
        <v>3</v>
      </c>
      <c r="S144" t="s">
        <v>31</v>
      </c>
      <c r="T144">
        <v>8</v>
      </c>
      <c r="U144" t="s">
        <v>31</v>
      </c>
      <c r="V144" s="1">
        <v>44884</v>
      </c>
    </row>
    <row r="145" spans="1:23" x14ac:dyDescent="0.35">
      <c r="A145" t="s">
        <v>201</v>
      </c>
      <c r="B145">
        <v>40</v>
      </c>
      <c r="C145" t="s">
        <v>44</v>
      </c>
      <c r="D145" t="s">
        <v>45</v>
      </c>
      <c r="E145" t="s">
        <v>63</v>
      </c>
      <c r="F145" t="s">
        <v>56</v>
      </c>
      <c r="G145">
        <v>73270</v>
      </c>
      <c r="H145">
        <v>3</v>
      </c>
      <c r="I145">
        <v>19</v>
      </c>
      <c r="J145">
        <v>3</v>
      </c>
      <c r="K145">
        <v>3</v>
      </c>
      <c r="L145">
        <v>1</v>
      </c>
      <c r="M145">
        <v>1</v>
      </c>
      <c r="N145" t="s">
        <v>31</v>
      </c>
      <c r="O145" t="s">
        <v>42</v>
      </c>
      <c r="P145">
        <v>29</v>
      </c>
      <c r="Q145">
        <v>45</v>
      </c>
      <c r="R145">
        <v>3</v>
      </c>
      <c r="S145" t="s">
        <v>31</v>
      </c>
      <c r="T145">
        <v>7</v>
      </c>
      <c r="U145" t="s">
        <v>31</v>
      </c>
      <c r="V145" s="1">
        <v>41162</v>
      </c>
    </row>
    <row r="146" spans="1:23" x14ac:dyDescent="0.35">
      <c r="A146" t="s">
        <v>202</v>
      </c>
      <c r="B146">
        <v>27</v>
      </c>
      <c r="C146" t="s">
        <v>27</v>
      </c>
      <c r="D146" t="s">
        <v>39</v>
      </c>
      <c r="E146" t="s">
        <v>40</v>
      </c>
      <c r="F146" t="s">
        <v>56</v>
      </c>
      <c r="G146">
        <v>80634</v>
      </c>
      <c r="H146">
        <v>4</v>
      </c>
      <c r="I146">
        <v>6</v>
      </c>
      <c r="J146">
        <v>3</v>
      </c>
      <c r="K146">
        <v>4</v>
      </c>
      <c r="L146">
        <v>3</v>
      </c>
      <c r="M146">
        <v>2</v>
      </c>
      <c r="N146" t="s">
        <v>31</v>
      </c>
      <c r="O146" t="s">
        <v>32</v>
      </c>
      <c r="P146">
        <v>4</v>
      </c>
      <c r="Q146">
        <v>56</v>
      </c>
      <c r="R146">
        <v>3</v>
      </c>
      <c r="S146" t="s">
        <v>31</v>
      </c>
      <c r="T146">
        <v>7</v>
      </c>
      <c r="U146" t="s">
        <v>31</v>
      </c>
      <c r="V146" s="1">
        <v>44720</v>
      </c>
    </row>
    <row r="147" spans="1:23" x14ac:dyDescent="0.35">
      <c r="A147" t="s">
        <v>203</v>
      </c>
      <c r="B147">
        <v>37</v>
      </c>
      <c r="C147" t="s">
        <v>44</v>
      </c>
      <c r="D147" t="s">
        <v>28</v>
      </c>
      <c r="E147" t="s">
        <v>66</v>
      </c>
      <c r="F147" t="s">
        <v>78</v>
      </c>
      <c r="G147">
        <v>55642</v>
      </c>
      <c r="H147">
        <v>0</v>
      </c>
      <c r="I147">
        <v>13</v>
      </c>
      <c r="J147">
        <v>2</v>
      </c>
      <c r="K147">
        <v>3</v>
      </c>
      <c r="L147">
        <v>3</v>
      </c>
      <c r="M147">
        <v>2</v>
      </c>
      <c r="N147" t="s">
        <v>33</v>
      </c>
      <c r="O147" t="s">
        <v>42</v>
      </c>
      <c r="P147">
        <v>9</v>
      </c>
      <c r="Q147">
        <v>26</v>
      </c>
      <c r="R147">
        <v>3</v>
      </c>
      <c r="S147" t="s">
        <v>31</v>
      </c>
      <c r="T147">
        <v>3</v>
      </c>
      <c r="U147" t="s">
        <v>31</v>
      </c>
      <c r="V147" s="1">
        <v>41061</v>
      </c>
    </row>
    <row r="148" spans="1:23" x14ac:dyDescent="0.35">
      <c r="A148" t="s">
        <v>204</v>
      </c>
      <c r="B148">
        <v>42</v>
      </c>
      <c r="C148" t="s">
        <v>44</v>
      </c>
      <c r="D148" t="s">
        <v>35</v>
      </c>
      <c r="E148" t="s">
        <v>36</v>
      </c>
      <c r="F148" t="s">
        <v>61</v>
      </c>
      <c r="G148">
        <v>60536</v>
      </c>
      <c r="H148">
        <v>3</v>
      </c>
      <c r="I148">
        <v>19</v>
      </c>
      <c r="J148">
        <v>2</v>
      </c>
      <c r="K148">
        <v>3</v>
      </c>
      <c r="L148">
        <v>4</v>
      </c>
      <c r="M148">
        <v>2</v>
      </c>
      <c r="N148" t="s">
        <v>31</v>
      </c>
      <c r="O148" t="s">
        <v>32</v>
      </c>
      <c r="P148">
        <v>1</v>
      </c>
      <c r="Q148">
        <v>56</v>
      </c>
      <c r="R148">
        <v>3</v>
      </c>
      <c r="S148" t="s">
        <v>31</v>
      </c>
      <c r="T148">
        <v>6</v>
      </c>
      <c r="U148" t="s">
        <v>31</v>
      </c>
      <c r="V148" s="1">
        <v>42240</v>
      </c>
    </row>
    <row r="149" spans="1:23" x14ac:dyDescent="0.35">
      <c r="A149" t="s">
        <v>205</v>
      </c>
      <c r="B149">
        <v>24</v>
      </c>
      <c r="C149" t="s">
        <v>27</v>
      </c>
      <c r="D149" t="s">
        <v>35</v>
      </c>
      <c r="E149" t="s">
        <v>85</v>
      </c>
      <c r="F149" t="s">
        <v>78</v>
      </c>
      <c r="G149">
        <v>42920</v>
      </c>
      <c r="H149">
        <v>1</v>
      </c>
      <c r="I149">
        <v>1</v>
      </c>
      <c r="J149">
        <v>1</v>
      </c>
      <c r="K149">
        <v>3</v>
      </c>
      <c r="L149">
        <v>2</v>
      </c>
      <c r="M149">
        <v>3</v>
      </c>
      <c r="N149" t="s">
        <v>31</v>
      </c>
      <c r="O149" t="s">
        <v>47</v>
      </c>
      <c r="P149">
        <v>17</v>
      </c>
      <c r="Q149">
        <v>28</v>
      </c>
      <c r="R149">
        <v>3</v>
      </c>
      <c r="S149" t="s">
        <v>31</v>
      </c>
      <c r="T149">
        <v>5</v>
      </c>
      <c r="U149" t="s">
        <v>31</v>
      </c>
      <c r="V149" s="1">
        <v>43881</v>
      </c>
    </row>
    <row r="150" spans="1:23" x14ac:dyDescent="0.35">
      <c r="A150" t="s">
        <v>206</v>
      </c>
      <c r="B150">
        <v>40</v>
      </c>
      <c r="C150" t="s">
        <v>44</v>
      </c>
      <c r="D150" t="s">
        <v>35</v>
      </c>
      <c r="E150" t="s">
        <v>36</v>
      </c>
      <c r="F150" t="s">
        <v>37</v>
      </c>
      <c r="G150">
        <v>43426</v>
      </c>
      <c r="H150">
        <v>0</v>
      </c>
      <c r="I150">
        <v>19</v>
      </c>
      <c r="J150">
        <v>1</v>
      </c>
      <c r="K150">
        <v>4</v>
      </c>
      <c r="L150">
        <v>2</v>
      </c>
      <c r="M150">
        <v>4</v>
      </c>
      <c r="N150" t="s">
        <v>31</v>
      </c>
      <c r="O150" t="s">
        <v>32</v>
      </c>
      <c r="P150">
        <v>12</v>
      </c>
      <c r="Q150">
        <v>25</v>
      </c>
      <c r="R150">
        <v>3</v>
      </c>
      <c r="S150" t="s">
        <v>31</v>
      </c>
      <c r="T150">
        <v>3</v>
      </c>
      <c r="U150" t="s">
        <v>31</v>
      </c>
      <c r="V150" s="1">
        <v>44002</v>
      </c>
    </row>
    <row r="151" spans="1:23" x14ac:dyDescent="0.35">
      <c r="A151" t="s">
        <v>207</v>
      </c>
      <c r="B151">
        <v>58</v>
      </c>
      <c r="C151" t="s">
        <v>27</v>
      </c>
      <c r="D151" t="s">
        <v>45</v>
      </c>
      <c r="E151" t="s">
        <v>63</v>
      </c>
      <c r="F151" t="s">
        <v>37</v>
      </c>
      <c r="G151">
        <v>131690</v>
      </c>
      <c r="H151">
        <v>15</v>
      </c>
      <c r="I151">
        <v>36</v>
      </c>
      <c r="J151">
        <v>5</v>
      </c>
      <c r="K151">
        <v>3</v>
      </c>
      <c r="L151">
        <v>2</v>
      </c>
      <c r="M151">
        <v>4</v>
      </c>
      <c r="N151" t="s">
        <v>33</v>
      </c>
      <c r="O151" t="s">
        <v>32</v>
      </c>
      <c r="P151">
        <v>21</v>
      </c>
      <c r="Q151">
        <v>20</v>
      </c>
      <c r="R151">
        <v>3</v>
      </c>
      <c r="S151" t="s">
        <v>31</v>
      </c>
      <c r="T151">
        <v>7</v>
      </c>
      <c r="U151" t="s">
        <v>31</v>
      </c>
      <c r="V151" s="1">
        <v>42382</v>
      </c>
    </row>
    <row r="152" spans="1:23" x14ac:dyDescent="0.35">
      <c r="A152" t="s">
        <v>208</v>
      </c>
      <c r="B152">
        <v>51</v>
      </c>
      <c r="C152" t="s">
        <v>27</v>
      </c>
      <c r="D152" t="s">
        <v>52</v>
      </c>
      <c r="E152" t="s">
        <v>53</v>
      </c>
      <c r="F152" t="s">
        <v>78</v>
      </c>
      <c r="G152">
        <v>146758</v>
      </c>
      <c r="H152">
        <v>21</v>
      </c>
      <c r="I152">
        <v>27</v>
      </c>
      <c r="J152">
        <v>5</v>
      </c>
      <c r="K152">
        <v>3</v>
      </c>
      <c r="L152">
        <v>2</v>
      </c>
      <c r="M152">
        <v>3</v>
      </c>
      <c r="N152" t="s">
        <v>31</v>
      </c>
      <c r="O152" t="s">
        <v>32</v>
      </c>
      <c r="P152">
        <v>29</v>
      </c>
      <c r="Q152">
        <v>33</v>
      </c>
      <c r="R152">
        <v>3</v>
      </c>
      <c r="S152" t="s">
        <v>31</v>
      </c>
      <c r="T152">
        <v>4</v>
      </c>
      <c r="U152" t="s">
        <v>33</v>
      </c>
      <c r="V152" s="1">
        <v>42250</v>
      </c>
      <c r="W152" s="1">
        <v>43030</v>
      </c>
    </row>
    <row r="153" spans="1:23" x14ac:dyDescent="0.35">
      <c r="A153" t="s">
        <v>209</v>
      </c>
      <c r="B153">
        <v>26</v>
      </c>
      <c r="C153" t="s">
        <v>27</v>
      </c>
      <c r="D153" t="s">
        <v>52</v>
      </c>
      <c r="E153" t="s">
        <v>53</v>
      </c>
      <c r="F153" t="s">
        <v>61</v>
      </c>
      <c r="G153">
        <v>55654</v>
      </c>
      <c r="H153">
        <v>0</v>
      </c>
      <c r="I153">
        <v>3</v>
      </c>
      <c r="J153">
        <v>2</v>
      </c>
      <c r="K153">
        <v>3</v>
      </c>
      <c r="L153">
        <v>3</v>
      </c>
      <c r="M153">
        <v>2</v>
      </c>
      <c r="N153" t="s">
        <v>31</v>
      </c>
      <c r="O153" t="s">
        <v>32</v>
      </c>
      <c r="P153">
        <v>24</v>
      </c>
      <c r="Q153">
        <v>19</v>
      </c>
      <c r="R153">
        <v>3</v>
      </c>
      <c r="S153" t="s">
        <v>31</v>
      </c>
      <c r="T153">
        <v>5</v>
      </c>
      <c r="U153" t="s">
        <v>31</v>
      </c>
      <c r="V153" s="1">
        <v>43104</v>
      </c>
    </row>
    <row r="154" spans="1:23" x14ac:dyDescent="0.35">
      <c r="A154" t="s">
        <v>210</v>
      </c>
      <c r="B154">
        <v>40</v>
      </c>
      <c r="C154" t="s">
        <v>44</v>
      </c>
      <c r="D154" t="s">
        <v>39</v>
      </c>
      <c r="E154" t="s">
        <v>59</v>
      </c>
      <c r="F154" t="s">
        <v>78</v>
      </c>
      <c r="G154">
        <v>57742</v>
      </c>
      <c r="H154">
        <v>2</v>
      </c>
      <c r="I154">
        <v>18</v>
      </c>
      <c r="J154">
        <v>2</v>
      </c>
      <c r="K154">
        <v>3</v>
      </c>
      <c r="L154">
        <v>2</v>
      </c>
      <c r="M154">
        <v>1</v>
      </c>
      <c r="N154" t="s">
        <v>31</v>
      </c>
      <c r="O154" t="s">
        <v>32</v>
      </c>
      <c r="P154">
        <v>4</v>
      </c>
      <c r="Q154">
        <v>11</v>
      </c>
      <c r="R154">
        <v>3</v>
      </c>
      <c r="S154" t="s">
        <v>31</v>
      </c>
      <c r="T154">
        <v>7</v>
      </c>
      <c r="U154" t="s">
        <v>31</v>
      </c>
      <c r="V154" s="1">
        <v>41518</v>
      </c>
    </row>
    <row r="155" spans="1:23" x14ac:dyDescent="0.35">
      <c r="A155" t="s">
        <v>211</v>
      </c>
      <c r="B155">
        <v>51</v>
      </c>
      <c r="C155" t="s">
        <v>44</v>
      </c>
      <c r="D155" t="s">
        <v>52</v>
      </c>
      <c r="E155" t="s">
        <v>53</v>
      </c>
      <c r="F155" t="s">
        <v>61</v>
      </c>
      <c r="G155">
        <v>58816</v>
      </c>
      <c r="H155">
        <v>3</v>
      </c>
      <c r="I155">
        <v>30</v>
      </c>
      <c r="J155">
        <v>2</v>
      </c>
      <c r="K155">
        <v>1</v>
      </c>
      <c r="L155">
        <v>4</v>
      </c>
      <c r="M155">
        <v>3</v>
      </c>
      <c r="N155" t="s">
        <v>31</v>
      </c>
      <c r="O155" t="s">
        <v>42</v>
      </c>
      <c r="P155">
        <v>10</v>
      </c>
      <c r="Q155">
        <v>41</v>
      </c>
      <c r="R155">
        <v>4</v>
      </c>
      <c r="S155" t="s">
        <v>31</v>
      </c>
      <c r="T155">
        <v>3</v>
      </c>
      <c r="U155" t="s">
        <v>31</v>
      </c>
      <c r="V155" s="1">
        <v>44399</v>
      </c>
    </row>
    <row r="156" spans="1:23" x14ac:dyDescent="0.35">
      <c r="A156" t="s">
        <v>212</v>
      </c>
      <c r="B156">
        <v>42</v>
      </c>
      <c r="C156" t="s">
        <v>44</v>
      </c>
      <c r="D156" t="s">
        <v>52</v>
      </c>
      <c r="E156" t="s">
        <v>53</v>
      </c>
      <c r="F156" t="s">
        <v>41</v>
      </c>
      <c r="G156">
        <v>85962</v>
      </c>
      <c r="H156">
        <v>8</v>
      </c>
      <c r="I156">
        <v>21</v>
      </c>
      <c r="J156">
        <v>3</v>
      </c>
      <c r="K156">
        <v>4</v>
      </c>
      <c r="L156">
        <v>4</v>
      </c>
      <c r="M156">
        <v>1</v>
      </c>
      <c r="N156" t="s">
        <v>31</v>
      </c>
      <c r="O156" t="s">
        <v>42</v>
      </c>
      <c r="P156">
        <v>13</v>
      </c>
      <c r="Q156">
        <v>49</v>
      </c>
      <c r="R156">
        <v>3</v>
      </c>
      <c r="S156" t="s">
        <v>33</v>
      </c>
      <c r="T156">
        <v>3</v>
      </c>
      <c r="U156" t="s">
        <v>31</v>
      </c>
      <c r="V156" s="1">
        <v>45073</v>
      </c>
    </row>
    <row r="157" spans="1:23" x14ac:dyDescent="0.35">
      <c r="A157" t="s">
        <v>213</v>
      </c>
      <c r="B157">
        <v>55</v>
      </c>
      <c r="C157" t="s">
        <v>27</v>
      </c>
      <c r="D157" t="s">
        <v>28</v>
      </c>
      <c r="E157" t="s">
        <v>66</v>
      </c>
      <c r="F157" t="s">
        <v>37</v>
      </c>
      <c r="G157">
        <v>162551</v>
      </c>
      <c r="H157">
        <v>32</v>
      </c>
      <c r="I157">
        <v>33</v>
      </c>
      <c r="J157">
        <v>5</v>
      </c>
      <c r="K157">
        <v>2</v>
      </c>
      <c r="L157">
        <v>2</v>
      </c>
      <c r="M157">
        <v>4</v>
      </c>
      <c r="N157" t="s">
        <v>31</v>
      </c>
      <c r="O157" t="s">
        <v>32</v>
      </c>
      <c r="P157">
        <v>4</v>
      </c>
      <c r="Q157">
        <v>22</v>
      </c>
      <c r="R157">
        <v>3</v>
      </c>
      <c r="S157" t="s">
        <v>33</v>
      </c>
      <c r="T157">
        <v>6</v>
      </c>
      <c r="U157" t="s">
        <v>31</v>
      </c>
      <c r="V157" s="1">
        <v>41203</v>
      </c>
    </row>
    <row r="158" spans="1:23" x14ac:dyDescent="0.35">
      <c r="A158" t="s">
        <v>214</v>
      </c>
      <c r="B158">
        <v>49</v>
      </c>
      <c r="C158" t="s">
        <v>44</v>
      </c>
      <c r="D158" t="s">
        <v>28</v>
      </c>
      <c r="E158" t="s">
        <v>29</v>
      </c>
      <c r="F158" t="s">
        <v>30</v>
      </c>
      <c r="G158">
        <v>137444</v>
      </c>
      <c r="H158">
        <v>20</v>
      </c>
      <c r="I158">
        <v>25</v>
      </c>
      <c r="J158">
        <v>5</v>
      </c>
      <c r="K158">
        <v>2</v>
      </c>
      <c r="L158">
        <v>3</v>
      </c>
      <c r="M158">
        <v>3</v>
      </c>
      <c r="N158" t="s">
        <v>31</v>
      </c>
      <c r="O158" t="s">
        <v>32</v>
      </c>
      <c r="P158">
        <v>28</v>
      </c>
      <c r="Q158">
        <v>52</v>
      </c>
      <c r="R158">
        <v>3</v>
      </c>
      <c r="S158" t="s">
        <v>33</v>
      </c>
      <c r="T158">
        <v>4</v>
      </c>
      <c r="U158" t="s">
        <v>31</v>
      </c>
      <c r="V158" s="1">
        <v>45260</v>
      </c>
    </row>
    <row r="159" spans="1:23" x14ac:dyDescent="0.35">
      <c r="A159" t="s">
        <v>215</v>
      </c>
      <c r="B159">
        <v>28</v>
      </c>
      <c r="C159" t="s">
        <v>27</v>
      </c>
      <c r="D159" t="s">
        <v>45</v>
      </c>
      <c r="E159" t="s">
        <v>63</v>
      </c>
      <c r="F159" t="s">
        <v>41</v>
      </c>
      <c r="G159">
        <v>40074</v>
      </c>
      <c r="H159">
        <v>0</v>
      </c>
      <c r="I159">
        <v>4</v>
      </c>
      <c r="J159">
        <v>1</v>
      </c>
      <c r="K159">
        <v>2</v>
      </c>
      <c r="L159">
        <v>2</v>
      </c>
      <c r="M159">
        <v>2</v>
      </c>
      <c r="N159" t="s">
        <v>31</v>
      </c>
      <c r="O159" t="s">
        <v>32</v>
      </c>
      <c r="P159">
        <v>29</v>
      </c>
      <c r="Q159">
        <v>14</v>
      </c>
      <c r="R159">
        <v>3</v>
      </c>
      <c r="S159" t="s">
        <v>31</v>
      </c>
      <c r="T159">
        <v>7</v>
      </c>
      <c r="U159" t="s">
        <v>33</v>
      </c>
      <c r="V159" s="1">
        <v>43239</v>
      </c>
      <c r="W159" s="1">
        <v>43650</v>
      </c>
    </row>
    <row r="160" spans="1:23" x14ac:dyDescent="0.35">
      <c r="A160" t="s">
        <v>216</v>
      </c>
      <c r="B160">
        <v>44</v>
      </c>
      <c r="C160" t="s">
        <v>27</v>
      </c>
      <c r="D160" t="s">
        <v>28</v>
      </c>
      <c r="E160" t="s">
        <v>29</v>
      </c>
      <c r="F160" t="s">
        <v>30</v>
      </c>
      <c r="G160">
        <v>126933</v>
      </c>
      <c r="H160">
        <v>12</v>
      </c>
      <c r="I160">
        <v>20</v>
      </c>
      <c r="J160">
        <v>5</v>
      </c>
      <c r="K160">
        <v>4</v>
      </c>
      <c r="L160">
        <v>3</v>
      </c>
      <c r="M160">
        <v>4</v>
      </c>
      <c r="N160" t="s">
        <v>31</v>
      </c>
      <c r="O160" t="s">
        <v>32</v>
      </c>
      <c r="P160">
        <v>26</v>
      </c>
      <c r="Q160">
        <v>48</v>
      </c>
      <c r="R160">
        <v>3</v>
      </c>
      <c r="S160" t="s">
        <v>31</v>
      </c>
      <c r="T160">
        <v>4</v>
      </c>
      <c r="U160" t="s">
        <v>31</v>
      </c>
      <c r="V160" s="1">
        <v>43217</v>
      </c>
    </row>
    <row r="161" spans="1:22" x14ac:dyDescent="0.35">
      <c r="A161" t="s">
        <v>217</v>
      </c>
      <c r="B161">
        <v>44</v>
      </c>
      <c r="C161" t="s">
        <v>44</v>
      </c>
      <c r="D161" t="s">
        <v>49</v>
      </c>
      <c r="E161" t="s">
        <v>68</v>
      </c>
      <c r="F161" t="s">
        <v>61</v>
      </c>
      <c r="G161">
        <v>144404</v>
      </c>
      <c r="H161">
        <v>21</v>
      </c>
      <c r="I161">
        <v>21</v>
      </c>
      <c r="J161">
        <v>5</v>
      </c>
      <c r="K161">
        <v>3</v>
      </c>
      <c r="L161">
        <v>1</v>
      </c>
      <c r="M161">
        <v>3</v>
      </c>
      <c r="N161" t="s">
        <v>31</v>
      </c>
      <c r="O161" t="s">
        <v>32</v>
      </c>
      <c r="P161">
        <v>23</v>
      </c>
      <c r="Q161">
        <v>54</v>
      </c>
      <c r="R161">
        <v>3</v>
      </c>
      <c r="S161" t="s">
        <v>31</v>
      </c>
      <c r="T161">
        <v>0</v>
      </c>
      <c r="U161" t="s">
        <v>31</v>
      </c>
      <c r="V161" s="1">
        <v>41554</v>
      </c>
    </row>
    <row r="162" spans="1:22" x14ac:dyDescent="0.35">
      <c r="A162" t="s">
        <v>218</v>
      </c>
      <c r="B162">
        <v>39</v>
      </c>
      <c r="C162" t="s">
        <v>27</v>
      </c>
      <c r="D162" t="s">
        <v>45</v>
      </c>
      <c r="E162" t="s">
        <v>46</v>
      </c>
      <c r="F162" t="s">
        <v>56</v>
      </c>
      <c r="G162">
        <v>124081</v>
      </c>
      <c r="H162">
        <v>10</v>
      </c>
      <c r="I162">
        <v>18</v>
      </c>
      <c r="J162">
        <v>5</v>
      </c>
      <c r="K162">
        <v>3</v>
      </c>
      <c r="L162">
        <v>2</v>
      </c>
      <c r="M162">
        <v>2</v>
      </c>
      <c r="N162" t="s">
        <v>33</v>
      </c>
      <c r="O162" t="s">
        <v>32</v>
      </c>
      <c r="P162">
        <v>9</v>
      </c>
      <c r="Q162">
        <v>51</v>
      </c>
      <c r="R162">
        <v>3</v>
      </c>
      <c r="S162" t="s">
        <v>33</v>
      </c>
      <c r="T162">
        <v>2</v>
      </c>
      <c r="U162" t="s">
        <v>31</v>
      </c>
      <c r="V162" s="1">
        <v>44891</v>
      </c>
    </row>
    <row r="163" spans="1:22" x14ac:dyDescent="0.35">
      <c r="A163" t="s">
        <v>219</v>
      </c>
      <c r="B163">
        <v>49</v>
      </c>
      <c r="C163" t="s">
        <v>44</v>
      </c>
      <c r="D163" t="s">
        <v>49</v>
      </c>
      <c r="E163" t="s">
        <v>50</v>
      </c>
      <c r="F163" t="s">
        <v>61</v>
      </c>
      <c r="G163">
        <v>55552</v>
      </c>
      <c r="H163">
        <v>0</v>
      </c>
      <c r="I163">
        <v>26</v>
      </c>
      <c r="J163">
        <v>2</v>
      </c>
      <c r="K163">
        <v>3</v>
      </c>
      <c r="L163">
        <v>3</v>
      </c>
      <c r="M163">
        <v>2</v>
      </c>
      <c r="N163" t="s">
        <v>31</v>
      </c>
      <c r="O163" t="s">
        <v>32</v>
      </c>
      <c r="P163">
        <v>2</v>
      </c>
      <c r="Q163">
        <v>22</v>
      </c>
      <c r="R163">
        <v>3</v>
      </c>
      <c r="S163" t="s">
        <v>31</v>
      </c>
      <c r="T163">
        <v>5</v>
      </c>
      <c r="U163" t="s">
        <v>31</v>
      </c>
      <c r="V163" s="1">
        <v>43596</v>
      </c>
    </row>
    <row r="164" spans="1:22" x14ac:dyDescent="0.35">
      <c r="A164" t="s">
        <v>220</v>
      </c>
      <c r="B164">
        <v>45</v>
      </c>
      <c r="C164" t="s">
        <v>44</v>
      </c>
      <c r="D164" t="s">
        <v>28</v>
      </c>
      <c r="E164" t="s">
        <v>29</v>
      </c>
      <c r="F164" t="s">
        <v>30</v>
      </c>
      <c r="G164">
        <v>46433</v>
      </c>
      <c r="H164">
        <v>2</v>
      </c>
      <c r="I164">
        <v>24</v>
      </c>
      <c r="J164">
        <v>1</v>
      </c>
      <c r="K164">
        <v>1</v>
      </c>
      <c r="L164">
        <v>3</v>
      </c>
      <c r="M164">
        <v>1</v>
      </c>
      <c r="N164" t="s">
        <v>31</v>
      </c>
      <c r="O164" t="s">
        <v>42</v>
      </c>
      <c r="P164">
        <v>27</v>
      </c>
      <c r="Q164">
        <v>12</v>
      </c>
      <c r="R164">
        <v>3</v>
      </c>
      <c r="S164" t="s">
        <v>31</v>
      </c>
      <c r="T164">
        <v>4</v>
      </c>
      <c r="U164" t="s">
        <v>31</v>
      </c>
      <c r="V164" s="1">
        <v>43588</v>
      </c>
    </row>
    <row r="165" spans="1:22" x14ac:dyDescent="0.35">
      <c r="A165" t="s">
        <v>221</v>
      </c>
      <c r="B165">
        <v>22</v>
      </c>
      <c r="C165" t="s">
        <v>27</v>
      </c>
      <c r="D165" t="s">
        <v>45</v>
      </c>
      <c r="E165" t="s">
        <v>63</v>
      </c>
      <c r="F165" t="s">
        <v>61</v>
      </c>
      <c r="G165">
        <v>45773</v>
      </c>
      <c r="H165">
        <v>1</v>
      </c>
      <c r="I165">
        <v>1</v>
      </c>
      <c r="J165">
        <v>1</v>
      </c>
      <c r="K165">
        <v>1</v>
      </c>
      <c r="L165">
        <v>3</v>
      </c>
      <c r="M165">
        <v>2</v>
      </c>
      <c r="N165" t="s">
        <v>31</v>
      </c>
      <c r="O165" t="s">
        <v>32</v>
      </c>
      <c r="P165">
        <v>15</v>
      </c>
      <c r="Q165">
        <v>12</v>
      </c>
      <c r="R165">
        <v>3</v>
      </c>
      <c r="S165" t="s">
        <v>31</v>
      </c>
      <c r="T165">
        <v>1</v>
      </c>
      <c r="U165" t="s">
        <v>31</v>
      </c>
      <c r="V165" s="1">
        <v>43391</v>
      </c>
    </row>
    <row r="166" spans="1:22" x14ac:dyDescent="0.35">
      <c r="A166" t="s">
        <v>222</v>
      </c>
      <c r="B166">
        <v>23</v>
      </c>
      <c r="C166" t="s">
        <v>27</v>
      </c>
      <c r="D166" t="s">
        <v>45</v>
      </c>
      <c r="E166" t="s">
        <v>63</v>
      </c>
      <c r="F166" t="s">
        <v>41</v>
      </c>
      <c r="G166">
        <v>54339</v>
      </c>
      <c r="H166">
        <v>0</v>
      </c>
      <c r="I166">
        <v>1</v>
      </c>
      <c r="J166">
        <v>2</v>
      </c>
      <c r="K166">
        <v>3</v>
      </c>
      <c r="L166">
        <v>4</v>
      </c>
      <c r="M166">
        <v>4</v>
      </c>
      <c r="N166" t="s">
        <v>33</v>
      </c>
      <c r="O166" t="s">
        <v>32</v>
      </c>
      <c r="P166">
        <v>13</v>
      </c>
      <c r="Q166">
        <v>24</v>
      </c>
      <c r="R166">
        <v>3</v>
      </c>
      <c r="S166" t="s">
        <v>31</v>
      </c>
      <c r="T166">
        <v>3</v>
      </c>
      <c r="U166" t="s">
        <v>31</v>
      </c>
      <c r="V166" s="1">
        <v>41114</v>
      </c>
    </row>
    <row r="167" spans="1:22" x14ac:dyDescent="0.35">
      <c r="A167" t="s">
        <v>223</v>
      </c>
      <c r="B167">
        <v>25</v>
      </c>
      <c r="C167" t="s">
        <v>27</v>
      </c>
      <c r="D167" t="s">
        <v>52</v>
      </c>
      <c r="E167" t="s">
        <v>53</v>
      </c>
      <c r="F167" t="s">
        <v>30</v>
      </c>
      <c r="G167">
        <v>63581</v>
      </c>
      <c r="H167">
        <v>2</v>
      </c>
      <c r="I167">
        <v>2</v>
      </c>
      <c r="J167">
        <v>2</v>
      </c>
      <c r="K167">
        <v>3</v>
      </c>
      <c r="L167">
        <v>2</v>
      </c>
      <c r="M167">
        <v>2</v>
      </c>
      <c r="N167" t="s">
        <v>31</v>
      </c>
      <c r="O167" t="s">
        <v>32</v>
      </c>
      <c r="P167">
        <v>2</v>
      </c>
      <c r="Q167">
        <v>24</v>
      </c>
      <c r="R167">
        <v>3</v>
      </c>
      <c r="S167" t="s">
        <v>31</v>
      </c>
      <c r="T167">
        <v>3</v>
      </c>
      <c r="U167" t="s">
        <v>31</v>
      </c>
      <c r="V167" s="1">
        <v>42762</v>
      </c>
    </row>
    <row r="168" spans="1:22" x14ac:dyDescent="0.35">
      <c r="A168" t="s">
        <v>224</v>
      </c>
      <c r="B168">
        <v>53</v>
      </c>
      <c r="C168" t="s">
        <v>27</v>
      </c>
      <c r="D168" t="s">
        <v>35</v>
      </c>
      <c r="E168" t="s">
        <v>36</v>
      </c>
      <c r="F168" t="s">
        <v>78</v>
      </c>
      <c r="G168">
        <v>106618</v>
      </c>
      <c r="H168">
        <v>11</v>
      </c>
      <c r="I168">
        <v>30</v>
      </c>
      <c r="J168">
        <v>4</v>
      </c>
      <c r="K168">
        <v>3</v>
      </c>
      <c r="L168">
        <v>4</v>
      </c>
      <c r="M168">
        <v>1</v>
      </c>
      <c r="N168" t="s">
        <v>31</v>
      </c>
      <c r="O168" t="s">
        <v>32</v>
      </c>
      <c r="P168">
        <v>16</v>
      </c>
      <c r="Q168">
        <v>32</v>
      </c>
      <c r="R168">
        <v>3</v>
      </c>
      <c r="S168" t="s">
        <v>33</v>
      </c>
      <c r="T168">
        <v>8</v>
      </c>
      <c r="U168" t="s">
        <v>31</v>
      </c>
      <c r="V168" s="1">
        <v>41863</v>
      </c>
    </row>
    <row r="169" spans="1:22" x14ac:dyDescent="0.35">
      <c r="A169" t="s">
        <v>225</v>
      </c>
      <c r="B169">
        <v>23</v>
      </c>
      <c r="C169" t="s">
        <v>27</v>
      </c>
      <c r="D169" t="s">
        <v>52</v>
      </c>
      <c r="E169" t="s">
        <v>55</v>
      </c>
      <c r="F169" t="s">
        <v>41</v>
      </c>
      <c r="G169">
        <v>54640</v>
      </c>
      <c r="H169">
        <v>0</v>
      </c>
      <c r="I169">
        <v>1</v>
      </c>
      <c r="J169">
        <v>2</v>
      </c>
      <c r="K169">
        <v>2</v>
      </c>
      <c r="L169">
        <v>2</v>
      </c>
      <c r="M169">
        <v>2</v>
      </c>
      <c r="N169" t="s">
        <v>31</v>
      </c>
      <c r="O169" t="s">
        <v>32</v>
      </c>
      <c r="P169">
        <v>17</v>
      </c>
      <c r="Q169">
        <v>47</v>
      </c>
      <c r="R169">
        <v>3</v>
      </c>
      <c r="S169" t="s">
        <v>31</v>
      </c>
      <c r="T169">
        <v>7</v>
      </c>
      <c r="U169" t="s">
        <v>31</v>
      </c>
      <c r="V169" s="1">
        <v>43859</v>
      </c>
    </row>
    <row r="170" spans="1:22" x14ac:dyDescent="0.35">
      <c r="A170" t="s">
        <v>226</v>
      </c>
      <c r="B170">
        <v>43</v>
      </c>
      <c r="C170" t="s">
        <v>27</v>
      </c>
      <c r="D170" t="s">
        <v>28</v>
      </c>
      <c r="E170" t="s">
        <v>29</v>
      </c>
      <c r="F170" t="s">
        <v>41</v>
      </c>
      <c r="G170">
        <v>78363</v>
      </c>
      <c r="H170">
        <v>5</v>
      </c>
      <c r="I170">
        <v>19</v>
      </c>
      <c r="J170">
        <v>3</v>
      </c>
      <c r="K170">
        <v>2</v>
      </c>
      <c r="L170">
        <v>1</v>
      </c>
      <c r="M170">
        <v>4</v>
      </c>
      <c r="N170" t="s">
        <v>31</v>
      </c>
      <c r="O170" t="s">
        <v>32</v>
      </c>
      <c r="P170">
        <v>22</v>
      </c>
      <c r="Q170">
        <v>15</v>
      </c>
      <c r="R170">
        <v>3</v>
      </c>
      <c r="S170" t="s">
        <v>31</v>
      </c>
      <c r="T170">
        <v>9</v>
      </c>
      <c r="U170" t="s">
        <v>31</v>
      </c>
      <c r="V170" s="1">
        <v>43287</v>
      </c>
    </row>
    <row r="171" spans="1:22" x14ac:dyDescent="0.35">
      <c r="A171" t="s">
        <v>227</v>
      </c>
      <c r="B171">
        <v>54</v>
      </c>
      <c r="C171" t="s">
        <v>44</v>
      </c>
      <c r="D171" t="s">
        <v>45</v>
      </c>
      <c r="E171" t="s">
        <v>63</v>
      </c>
      <c r="F171" t="s">
        <v>37</v>
      </c>
      <c r="G171">
        <v>104956</v>
      </c>
      <c r="H171">
        <v>11</v>
      </c>
      <c r="I171">
        <v>30</v>
      </c>
      <c r="J171">
        <v>4</v>
      </c>
      <c r="K171">
        <v>3</v>
      </c>
      <c r="L171">
        <v>3</v>
      </c>
      <c r="M171">
        <v>4</v>
      </c>
      <c r="N171" t="s">
        <v>33</v>
      </c>
      <c r="O171" t="s">
        <v>32</v>
      </c>
      <c r="P171">
        <v>15</v>
      </c>
      <c r="Q171">
        <v>25</v>
      </c>
      <c r="R171">
        <v>3</v>
      </c>
      <c r="S171" t="s">
        <v>31</v>
      </c>
      <c r="T171">
        <v>1</v>
      </c>
      <c r="U171" t="s">
        <v>31</v>
      </c>
      <c r="V171" s="1">
        <v>41858</v>
      </c>
    </row>
    <row r="172" spans="1:22" x14ac:dyDescent="0.35">
      <c r="A172" t="s">
        <v>228</v>
      </c>
      <c r="B172">
        <v>32</v>
      </c>
      <c r="C172" t="s">
        <v>27</v>
      </c>
      <c r="D172" t="s">
        <v>52</v>
      </c>
      <c r="E172" t="s">
        <v>55</v>
      </c>
      <c r="F172" t="s">
        <v>78</v>
      </c>
      <c r="G172">
        <v>80486</v>
      </c>
      <c r="H172">
        <v>5</v>
      </c>
      <c r="I172">
        <v>9</v>
      </c>
      <c r="J172">
        <v>3</v>
      </c>
      <c r="K172">
        <v>2</v>
      </c>
      <c r="L172">
        <v>4</v>
      </c>
      <c r="M172">
        <v>2</v>
      </c>
      <c r="N172" t="s">
        <v>31</v>
      </c>
      <c r="O172" t="s">
        <v>32</v>
      </c>
      <c r="P172">
        <v>11</v>
      </c>
      <c r="Q172">
        <v>44</v>
      </c>
      <c r="R172">
        <v>3</v>
      </c>
      <c r="S172" t="s">
        <v>33</v>
      </c>
      <c r="T172">
        <v>3</v>
      </c>
      <c r="U172" t="s">
        <v>31</v>
      </c>
      <c r="V172" s="1">
        <v>40927</v>
      </c>
    </row>
    <row r="173" spans="1:22" x14ac:dyDescent="0.35">
      <c r="A173" t="s">
        <v>229</v>
      </c>
      <c r="B173">
        <v>23</v>
      </c>
      <c r="C173" t="s">
        <v>44</v>
      </c>
      <c r="D173" t="s">
        <v>49</v>
      </c>
      <c r="E173" t="s">
        <v>50</v>
      </c>
      <c r="F173" t="s">
        <v>41</v>
      </c>
      <c r="G173">
        <v>43039</v>
      </c>
      <c r="H173">
        <v>0</v>
      </c>
      <c r="I173">
        <v>1</v>
      </c>
      <c r="J173">
        <v>1</v>
      </c>
      <c r="K173">
        <v>3</v>
      </c>
      <c r="L173">
        <v>2</v>
      </c>
      <c r="M173">
        <v>2</v>
      </c>
      <c r="N173" t="s">
        <v>31</v>
      </c>
      <c r="O173" t="s">
        <v>32</v>
      </c>
      <c r="P173">
        <v>19</v>
      </c>
      <c r="Q173">
        <v>30</v>
      </c>
      <c r="R173">
        <v>3</v>
      </c>
      <c r="S173" t="s">
        <v>31</v>
      </c>
      <c r="T173">
        <v>6</v>
      </c>
      <c r="U173" t="s">
        <v>31</v>
      </c>
      <c r="V173" s="1">
        <v>42007</v>
      </c>
    </row>
    <row r="174" spans="1:22" x14ac:dyDescent="0.35">
      <c r="A174" t="s">
        <v>230</v>
      </c>
      <c r="B174">
        <v>42</v>
      </c>
      <c r="C174" t="s">
        <v>44</v>
      </c>
      <c r="D174" t="s">
        <v>35</v>
      </c>
      <c r="E174" t="s">
        <v>36</v>
      </c>
      <c r="F174" t="s">
        <v>61</v>
      </c>
      <c r="G174">
        <v>139917</v>
      </c>
      <c r="H174">
        <v>21</v>
      </c>
      <c r="I174">
        <v>21</v>
      </c>
      <c r="J174">
        <v>5</v>
      </c>
      <c r="K174">
        <v>3</v>
      </c>
      <c r="L174">
        <v>1</v>
      </c>
      <c r="M174">
        <v>4</v>
      </c>
      <c r="N174" t="s">
        <v>31</v>
      </c>
      <c r="O174" t="s">
        <v>32</v>
      </c>
      <c r="P174">
        <v>22</v>
      </c>
      <c r="Q174">
        <v>31</v>
      </c>
      <c r="R174">
        <v>3</v>
      </c>
      <c r="S174" t="s">
        <v>31</v>
      </c>
      <c r="T174">
        <v>4</v>
      </c>
      <c r="U174" t="s">
        <v>31</v>
      </c>
      <c r="V174" s="1">
        <v>41115</v>
      </c>
    </row>
    <row r="175" spans="1:22" x14ac:dyDescent="0.35">
      <c r="A175" t="s">
        <v>231</v>
      </c>
      <c r="B175">
        <v>33</v>
      </c>
      <c r="C175" t="s">
        <v>27</v>
      </c>
      <c r="D175" t="s">
        <v>52</v>
      </c>
      <c r="E175" t="s">
        <v>55</v>
      </c>
      <c r="F175" t="s">
        <v>56</v>
      </c>
      <c r="G175">
        <v>101213</v>
      </c>
      <c r="H175">
        <v>7</v>
      </c>
      <c r="I175">
        <v>10</v>
      </c>
      <c r="J175">
        <v>4</v>
      </c>
      <c r="K175">
        <v>1</v>
      </c>
      <c r="L175">
        <v>1</v>
      </c>
      <c r="M175">
        <v>2</v>
      </c>
      <c r="N175" t="s">
        <v>33</v>
      </c>
      <c r="O175" t="s">
        <v>47</v>
      </c>
      <c r="P175">
        <v>26</v>
      </c>
      <c r="Q175">
        <v>20</v>
      </c>
      <c r="R175">
        <v>3</v>
      </c>
      <c r="S175" t="s">
        <v>31</v>
      </c>
      <c r="T175">
        <v>2</v>
      </c>
      <c r="U175" t="s">
        <v>31</v>
      </c>
      <c r="V175" s="1">
        <v>43296</v>
      </c>
    </row>
    <row r="176" spans="1:22" x14ac:dyDescent="0.35">
      <c r="A176" t="s">
        <v>232</v>
      </c>
      <c r="B176">
        <v>37</v>
      </c>
      <c r="C176" t="s">
        <v>44</v>
      </c>
      <c r="D176" t="s">
        <v>49</v>
      </c>
      <c r="E176" t="s">
        <v>50</v>
      </c>
      <c r="F176" t="s">
        <v>78</v>
      </c>
      <c r="G176">
        <v>125943</v>
      </c>
      <c r="H176">
        <v>14</v>
      </c>
      <c r="I176">
        <v>14</v>
      </c>
      <c r="J176">
        <v>5</v>
      </c>
      <c r="K176">
        <v>3</v>
      </c>
      <c r="L176">
        <v>1</v>
      </c>
      <c r="M176">
        <v>3</v>
      </c>
      <c r="N176" t="s">
        <v>31</v>
      </c>
      <c r="O176" t="s">
        <v>47</v>
      </c>
      <c r="P176">
        <v>20</v>
      </c>
      <c r="Q176">
        <v>46</v>
      </c>
      <c r="R176">
        <v>3</v>
      </c>
      <c r="S176" t="s">
        <v>33</v>
      </c>
      <c r="T176">
        <v>5</v>
      </c>
      <c r="U176" t="s">
        <v>31</v>
      </c>
      <c r="V176" s="1">
        <v>44765</v>
      </c>
    </row>
    <row r="177" spans="1:23" x14ac:dyDescent="0.35">
      <c r="A177" t="s">
        <v>233</v>
      </c>
      <c r="B177">
        <v>51</v>
      </c>
      <c r="C177" t="s">
        <v>27</v>
      </c>
      <c r="D177" t="s">
        <v>45</v>
      </c>
      <c r="E177" t="s">
        <v>46</v>
      </c>
      <c r="F177" t="s">
        <v>30</v>
      </c>
      <c r="G177">
        <v>96617</v>
      </c>
      <c r="H177">
        <v>6</v>
      </c>
      <c r="I177">
        <v>29</v>
      </c>
      <c r="J177">
        <v>4</v>
      </c>
      <c r="K177">
        <v>2</v>
      </c>
      <c r="L177">
        <v>3</v>
      </c>
      <c r="M177">
        <v>4</v>
      </c>
      <c r="N177" t="s">
        <v>31</v>
      </c>
      <c r="O177" t="s">
        <v>32</v>
      </c>
      <c r="P177">
        <v>15</v>
      </c>
      <c r="Q177">
        <v>46</v>
      </c>
      <c r="R177">
        <v>2</v>
      </c>
      <c r="S177" t="s">
        <v>31</v>
      </c>
      <c r="T177">
        <v>3</v>
      </c>
      <c r="U177" t="s">
        <v>31</v>
      </c>
      <c r="V177" s="1">
        <v>41018</v>
      </c>
    </row>
    <row r="178" spans="1:23" x14ac:dyDescent="0.35">
      <c r="A178" t="s">
        <v>234</v>
      </c>
      <c r="B178">
        <v>29</v>
      </c>
      <c r="C178" t="s">
        <v>27</v>
      </c>
      <c r="D178" t="s">
        <v>52</v>
      </c>
      <c r="E178" t="s">
        <v>55</v>
      </c>
      <c r="F178" t="s">
        <v>41</v>
      </c>
      <c r="G178">
        <v>59036</v>
      </c>
      <c r="H178">
        <v>3</v>
      </c>
      <c r="I178">
        <v>8</v>
      </c>
      <c r="J178">
        <v>2</v>
      </c>
      <c r="K178">
        <v>4</v>
      </c>
      <c r="L178">
        <v>4</v>
      </c>
      <c r="M178">
        <v>1</v>
      </c>
      <c r="N178" t="s">
        <v>31</v>
      </c>
      <c r="O178" t="s">
        <v>42</v>
      </c>
      <c r="P178">
        <v>6</v>
      </c>
      <c r="Q178">
        <v>33</v>
      </c>
      <c r="R178">
        <v>3</v>
      </c>
      <c r="S178" t="s">
        <v>31</v>
      </c>
      <c r="T178">
        <v>2</v>
      </c>
      <c r="U178" t="s">
        <v>31</v>
      </c>
      <c r="V178" s="1">
        <v>42920</v>
      </c>
    </row>
    <row r="179" spans="1:23" x14ac:dyDescent="0.35">
      <c r="A179" t="s">
        <v>235</v>
      </c>
      <c r="B179">
        <v>53</v>
      </c>
      <c r="C179" t="s">
        <v>27</v>
      </c>
      <c r="D179" t="s">
        <v>45</v>
      </c>
      <c r="E179" t="s">
        <v>63</v>
      </c>
      <c r="F179" t="s">
        <v>56</v>
      </c>
      <c r="G179">
        <v>59183</v>
      </c>
      <c r="H179">
        <v>2</v>
      </c>
      <c r="I179">
        <v>29</v>
      </c>
      <c r="J179">
        <v>2</v>
      </c>
      <c r="K179">
        <v>4</v>
      </c>
      <c r="L179">
        <v>2</v>
      </c>
      <c r="M179">
        <v>3</v>
      </c>
      <c r="N179" t="s">
        <v>31</v>
      </c>
      <c r="O179" t="s">
        <v>32</v>
      </c>
      <c r="P179">
        <v>25</v>
      </c>
      <c r="Q179">
        <v>51</v>
      </c>
      <c r="R179">
        <v>2</v>
      </c>
      <c r="S179" t="s">
        <v>31</v>
      </c>
      <c r="T179">
        <v>4</v>
      </c>
      <c r="U179" t="s">
        <v>33</v>
      </c>
      <c r="V179" s="1">
        <v>43062</v>
      </c>
      <c r="W179" s="1">
        <v>43432</v>
      </c>
    </row>
    <row r="180" spans="1:23" x14ac:dyDescent="0.35">
      <c r="A180" t="s">
        <v>236</v>
      </c>
      <c r="B180">
        <v>36</v>
      </c>
      <c r="C180" t="s">
        <v>27</v>
      </c>
      <c r="D180" t="s">
        <v>28</v>
      </c>
      <c r="E180" t="s">
        <v>29</v>
      </c>
      <c r="F180" t="s">
        <v>61</v>
      </c>
      <c r="G180">
        <v>76802</v>
      </c>
      <c r="H180">
        <v>3</v>
      </c>
      <c r="I180">
        <v>12</v>
      </c>
      <c r="J180">
        <v>3</v>
      </c>
      <c r="K180">
        <v>1</v>
      </c>
      <c r="L180">
        <v>2</v>
      </c>
      <c r="M180">
        <v>1</v>
      </c>
      <c r="N180" t="s">
        <v>31</v>
      </c>
      <c r="O180" t="s">
        <v>32</v>
      </c>
      <c r="P180">
        <v>19</v>
      </c>
      <c r="Q180">
        <v>16</v>
      </c>
      <c r="R180">
        <v>3</v>
      </c>
      <c r="S180" t="s">
        <v>31</v>
      </c>
      <c r="T180">
        <v>4</v>
      </c>
      <c r="U180" t="s">
        <v>31</v>
      </c>
      <c r="V180" s="1">
        <v>43444</v>
      </c>
    </row>
    <row r="181" spans="1:23" x14ac:dyDescent="0.35">
      <c r="A181" t="s">
        <v>237</v>
      </c>
      <c r="B181">
        <v>34</v>
      </c>
      <c r="C181" t="s">
        <v>44</v>
      </c>
      <c r="D181" t="s">
        <v>35</v>
      </c>
      <c r="E181" t="s">
        <v>36</v>
      </c>
      <c r="F181" t="s">
        <v>56</v>
      </c>
      <c r="G181">
        <v>99881</v>
      </c>
      <c r="H181">
        <v>8</v>
      </c>
      <c r="I181">
        <v>11</v>
      </c>
      <c r="J181">
        <v>4</v>
      </c>
      <c r="K181">
        <v>2</v>
      </c>
      <c r="L181">
        <v>3</v>
      </c>
      <c r="M181">
        <v>2</v>
      </c>
      <c r="N181" t="s">
        <v>31</v>
      </c>
      <c r="O181" t="s">
        <v>32</v>
      </c>
      <c r="P181">
        <v>27</v>
      </c>
      <c r="Q181">
        <v>47</v>
      </c>
      <c r="R181">
        <v>3</v>
      </c>
      <c r="S181" t="s">
        <v>31</v>
      </c>
      <c r="T181">
        <v>8</v>
      </c>
      <c r="U181" t="s">
        <v>31</v>
      </c>
      <c r="V181" s="1">
        <v>42962</v>
      </c>
    </row>
    <row r="182" spans="1:23" x14ac:dyDescent="0.35">
      <c r="A182" t="s">
        <v>238</v>
      </c>
      <c r="B182">
        <v>35</v>
      </c>
      <c r="C182" t="s">
        <v>27</v>
      </c>
      <c r="D182" t="s">
        <v>39</v>
      </c>
      <c r="E182" t="s">
        <v>40</v>
      </c>
      <c r="F182" t="s">
        <v>37</v>
      </c>
      <c r="G182">
        <v>42918</v>
      </c>
      <c r="H182">
        <v>0</v>
      </c>
      <c r="I182">
        <v>11</v>
      </c>
      <c r="J182">
        <v>1</v>
      </c>
      <c r="K182">
        <v>1</v>
      </c>
      <c r="L182">
        <v>3</v>
      </c>
      <c r="M182">
        <v>1</v>
      </c>
      <c r="N182" t="s">
        <v>31</v>
      </c>
      <c r="O182" t="s">
        <v>32</v>
      </c>
      <c r="P182">
        <v>21</v>
      </c>
      <c r="Q182">
        <v>29</v>
      </c>
      <c r="R182">
        <v>3</v>
      </c>
      <c r="S182" t="s">
        <v>31</v>
      </c>
      <c r="T182">
        <v>2</v>
      </c>
      <c r="U182" t="s">
        <v>33</v>
      </c>
      <c r="V182" s="1">
        <v>41184</v>
      </c>
      <c r="W182" s="1">
        <v>41783</v>
      </c>
    </row>
    <row r="183" spans="1:23" x14ac:dyDescent="0.35">
      <c r="A183" t="s">
        <v>239</v>
      </c>
      <c r="B183">
        <v>34</v>
      </c>
      <c r="C183" t="s">
        <v>27</v>
      </c>
      <c r="D183" t="s">
        <v>52</v>
      </c>
      <c r="E183" t="s">
        <v>53</v>
      </c>
      <c r="F183" t="s">
        <v>61</v>
      </c>
      <c r="G183">
        <v>55129</v>
      </c>
      <c r="H183">
        <v>0</v>
      </c>
      <c r="I183">
        <v>11</v>
      </c>
      <c r="J183">
        <v>2</v>
      </c>
      <c r="K183">
        <v>4</v>
      </c>
      <c r="L183">
        <v>2</v>
      </c>
      <c r="M183">
        <v>3</v>
      </c>
      <c r="N183" t="s">
        <v>33</v>
      </c>
      <c r="O183" t="s">
        <v>32</v>
      </c>
      <c r="P183">
        <v>26</v>
      </c>
      <c r="Q183">
        <v>56</v>
      </c>
      <c r="R183">
        <v>2</v>
      </c>
      <c r="S183" t="s">
        <v>31</v>
      </c>
      <c r="T183">
        <v>6</v>
      </c>
      <c r="U183" t="s">
        <v>31</v>
      </c>
      <c r="V183" s="1">
        <v>41779</v>
      </c>
    </row>
    <row r="184" spans="1:23" x14ac:dyDescent="0.35">
      <c r="A184" t="s">
        <v>240</v>
      </c>
      <c r="B184">
        <v>34</v>
      </c>
      <c r="C184" t="s">
        <v>44</v>
      </c>
      <c r="D184" t="s">
        <v>28</v>
      </c>
      <c r="E184" t="s">
        <v>66</v>
      </c>
      <c r="F184" t="s">
        <v>56</v>
      </c>
      <c r="G184">
        <v>127100</v>
      </c>
      <c r="H184">
        <v>12</v>
      </c>
      <c r="I184">
        <v>12</v>
      </c>
      <c r="J184">
        <v>5</v>
      </c>
      <c r="K184">
        <v>2</v>
      </c>
      <c r="L184">
        <v>1</v>
      </c>
      <c r="M184">
        <v>4</v>
      </c>
      <c r="N184" t="s">
        <v>31</v>
      </c>
      <c r="O184" t="s">
        <v>32</v>
      </c>
      <c r="P184">
        <v>9</v>
      </c>
      <c r="Q184">
        <v>19</v>
      </c>
      <c r="R184">
        <v>3</v>
      </c>
      <c r="S184" t="s">
        <v>33</v>
      </c>
      <c r="T184">
        <v>8</v>
      </c>
      <c r="U184" t="s">
        <v>31</v>
      </c>
      <c r="V184" s="1">
        <v>42413</v>
      </c>
    </row>
    <row r="185" spans="1:23" x14ac:dyDescent="0.35">
      <c r="A185" t="s">
        <v>241</v>
      </c>
      <c r="B185">
        <v>35</v>
      </c>
      <c r="C185" t="s">
        <v>44</v>
      </c>
      <c r="D185" t="s">
        <v>49</v>
      </c>
      <c r="E185" t="s">
        <v>68</v>
      </c>
      <c r="F185" t="s">
        <v>41</v>
      </c>
      <c r="G185">
        <v>120113</v>
      </c>
      <c r="H185">
        <v>10</v>
      </c>
      <c r="I185">
        <v>14</v>
      </c>
      <c r="J185">
        <v>5</v>
      </c>
      <c r="K185">
        <v>2</v>
      </c>
      <c r="L185">
        <v>3</v>
      </c>
      <c r="M185">
        <v>3</v>
      </c>
      <c r="N185" t="s">
        <v>31</v>
      </c>
      <c r="O185" t="s">
        <v>32</v>
      </c>
      <c r="P185">
        <v>26</v>
      </c>
      <c r="Q185">
        <v>38</v>
      </c>
      <c r="R185">
        <v>3</v>
      </c>
      <c r="S185" t="s">
        <v>33</v>
      </c>
      <c r="T185">
        <v>6</v>
      </c>
      <c r="U185" t="s">
        <v>31</v>
      </c>
      <c r="V185" s="1">
        <v>43095</v>
      </c>
    </row>
    <row r="186" spans="1:23" x14ac:dyDescent="0.35">
      <c r="A186" t="s">
        <v>242</v>
      </c>
      <c r="B186">
        <v>45</v>
      </c>
      <c r="C186" t="s">
        <v>27</v>
      </c>
      <c r="D186" t="s">
        <v>49</v>
      </c>
      <c r="E186" t="s">
        <v>68</v>
      </c>
      <c r="F186" t="s">
        <v>37</v>
      </c>
      <c r="G186">
        <v>132218</v>
      </c>
      <c r="H186">
        <v>16</v>
      </c>
      <c r="I186">
        <v>22</v>
      </c>
      <c r="J186">
        <v>5</v>
      </c>
      <c r="K186">
        <v>4</v>
      </c>
      <c r="L186">
        <v>2</v>
      </c>
      <c r="M186">
        <v>4</v>
      </c>
      <c r="N186" t="s">
        <v>31</v>
      </c>
      <c r="O186" t="s">
        <v>42</v>
      </c>
      <c r="P186">
        <v>4</v>
      </c>
      <c r="Q186">
        <v>31</v>
      </c>
      <c r="R186">
        <v>3</v>
      </c>
      <c r="S186" t="s">
        <v>31</v>
      </c>
      <c r="T186">
        <v>2</v>
      </c>
      <c r="U186" t="s">
        <v>31</v>
      </c>
      <c r="V186" s="1">
        <v>44085</v>
      </c>
    </row>
    <row r="187" spans="1:23" x14ac:dyDescent="0.35">
      <c r="A187" t="s">
        <v>243</v>
      </c>
      <c r="B187">
        <v>57</v>
      </c>
      <c r="C187" t="s">
        <v>44</v>
      </c>
      <c r="D187" t="s">
        <v>45</v>
      </c>
      <c r="E187" t="s">
        <v>46</v>
      </c>
      <c r="F187" t="s">
        <v>30</v>
      </c>
      <c r="G187">
        <v>152961</v>
      </c>
      <c r="H187">
        <v>27</v>
      </c>
      <c r="I187">
        <v>33</v>
      </c>
      <c r="J187">
        <v>5</v>
      </c>
      <c r="K187">
        <v>2</v>
      </c>
      <c r="L187">
        <v>4</v>
      </c>
      <c r="M187">
        <v>4</v>
      </c>
      <c r="N187" t="s">
        <v>31</v>
      </c>
      <c r="O187" t="s">
        <v>47</v>
      </c>
      <c r="P187">
        <v>18</v>
      </c>
      <c r="Q187">
        <v>13</v>
      </c>
      <c r="R187">
        <v>3</v>
      </c>
      <c r="S187" t="s">
        <v>31</v>
      </c>
      <c r="T187">
        <v>4</v>
      </c>
      <c r="U187" t="s">
        <v>31</v>
      </c>
      <c r="V187" s="1">
        <v>42182</v>
      </c>
    </row>
    <row r="188" spans="1:23" x14ac:dyDescent="0.35">
      <c r="A188" t="s">
        <v>244</v>
      </c>
      <c r="B188">
        <v>45</v>
      </c>
      <c r="C188" t="s">
        <v>27</v>
      </c>
      <c r="D188" t="s">
        <v>39</v>
      </c>
      <c r="E188" t="s">
        <v>74</v>
      </c>
      <c r="F188" t="s">
        <v>30</v>
      </c>
      <c r="G188">
        <v>103378</v>
      </c>
      <c r="H188">
        <v>7</v>
      </c>
      <c r="I188">
        <v>21</v>
      </c>
      <c r="J188">
        <v>4</v>
      </c>
      <c r="K188">
        <v>3</v>
      </c>
      <c r="L188">
        <v>4</v>
      </c>
      <c r="M188">
        <v>1</v>
      </c>
      <c r="N188" t="s">
        <v>31</v>
      </c>
      <c r="O188" t="s">
        <v>42</v>
      </c>
      <c r="P188">
        <v>3</v>
      </c>
      <c r="Q188">
        <v>21</v>
      </c>
      <c r="R188">
        <v>2</v>
      </c>
      <c r="S188" t="s">
        <v>33</v>
      </c>
      <c r="T188">
        <v>6</v>
      </c>
      <c r="U188" t="s">
        <v>31</v>
      </c>
      <c r="V188" s="1">
        <v>42178</v>
      </c>
    </row>
    <row r="189" spans="1:23" x14ac:dyDescent="0.35">
      <c r="A189" t="s">
        <v>245</v>
      </c>
      <c r="B189">
        <v>46</v>
      </c>
      <c r="C189" t="s">
        <v>44</v>
      </c>
      <c r="D189" t="s">
        <v>49</v>
      </c>
      <c r="E189" t="s">
        <v>68</v>
      </c>
      <c r="F189" t="s">
        <v>78</v>
      </c>
      <c r="G189">
        <v>135627</v>
      </c>
      <c r="H189">
        <v>19</v>
      </c>
      <c r="I189">
        <v>25</v>
      </c>
      <c r="J189">
        <v>5</v>
      </c>
      <c r="K189">
        <v>2</v>
      </c>
      <c r="L189">
        <v>1</v>
      </c>
      <c r="M189">
        <v>2</v>
      </c>
      <c r="N189" t="s">
        <v>33</v>
      </c>
      <c r="O189" t="s">
        <v>32</v>
      </c>
      <c r="P189">
        <v>26</v>
      </c>
      <c r="Q189">
        <v>55</v>
      </c>
      <c r="R189">
        <v>3</v>
      </c>
      <c r="S189" t="s">
        <v>31</v>
      </c>
      <c r="T189">
        <v>3</v>
      </c>
      <c r="U189" t="s">
        <v>33</v>
      </c>
      <c r="V189" s="1">
        <v>42235</v>
      </c>
      <c r="W189" s="1">
        <v>42805</v>
      </c>
    </row>
    <row r="190" spans="1:23" x14ac:dyDescent="0.35">
      <c r="A190" t="s">
        <v>246</v>
      </c>
      <c r="B190">
        <v>25</v>
      </c>
      <c r="C190" t="s">
        <v>44</v>
      </c>
      <c r="D190" t="s">
        <v>28</v>
      </c>
      <c r="E190" t="s">
        <v>66</v>
      </c>
      <c r="F190" t="s">
        <v>37</v>
      </c>
      <c r="G190">
        <v>58191</v>
      </c>
      <c r="H190">
        <v>3</v>
      </c>
      <c r="I190">
        <v>3</v>
      </c>
      <c r="J190">
        <v>2</v>
      </c>
      <c r="K190">
        <v>3</v>
      </c>
      <c r="L190">
        <v>4</v>
      </c>
      <c r="M190">
        <v>2</v>
      </c>
      <c r="N190" t="s">
        <v>31</v>
      </c>
      <c r="O190" t="s">
        <v>32</v>
      </c>
      <c r="P190">
        <v>11</v>
      </c>
      <c r="Q190">
        <v>14</v>
      </c>
      <c r="R190">
        <v>3</v>
      </c>
      <c r="S190" t="s">
        <v>31</v>
      </c>
      <c r="T190">
        <v>2</v>
      </c>
      <c r="U190" t="s">
        <v>31</v>
      </c>
      <c r="V190" s="1">
        <v>44841</v>
      </c>
    </row>
    <row r="191" spans="1:23" x14ac:dyDescent="0.35">
      <c r="A191" t="s">
        <v>247</v>
      </c>
      <c r="B191">
        <v>26</v>
      </c>
      <c r="C191" t="s">
        <v>27</v>
      </c>
      <c r="D191" t="s">
        <v>39</v>
      </c>
      <c r="E191" t="s">
        <v>74</v>
      </c>
      <c r="F191" t="s">
        <v>41</v>
      </c>
      <c r="G191">
        <v>41011</v>
      </c>
      <c r="H191">
        <v>1</v>
      </c>
      <c r="I191">
        <v>3</v>
      </c>
      <c r="J191">
        <v>1</v>
      </c>
      <c r="K191">
        <v>4</v>
      </c>
      <c r="L191">
        <v>4</v>
      </c>
      <c r="M191">
        <v>3</v>
      </c>
      <c r="N191" t="s">
        <v>31</v>
      </c>
      <c r="O191" t="s">
        <v>32</v>
      </c>
      <c r="P191">
        <v>29</v>
      </c>
      <c r="Q191">
        <v>37</v>
      </c>
      <c r="R191">
        <v>3</v>
      </c>
      <c r="S191" t="s">
        <v>31</v>
      </c>
      <c r="T191">
        <v>5</v>
      </c>
      <c r="U191" t="s">
        <v>31</v>
      </c>
      <c r="V191" s="1">
        <v>42520</v>
      </c>
    </row>
    <row r="192" spans="1:23" x14ac:dyDescent="0.35">
      <c r="A192" t="s">
        <v>248</v>
      </c>
      <c r="B192">
        <v>22</v>
      </c>
      <c r="C192" t="s">
        <v>27</v>
      </c>
      <c r="D192" t="s">
        <v>28</v>
      </c>
      <c r="E192" t="s">
        <v>29</v>
      </c>
      <c r="F192" t="s">
        <v>61</v>
      </c>
      <c r="G192">
        <v>44657</v>
      </c>
      <c r="H192">
        <v>0</v>
      </c>
      <c r="I192">
        <v>1</v>
      </c>
      <c r="J192">
        <v>1</v>
      </c>
      <c r="K192">
        <v>2</v>
      </c>
      <c r="L192">
        <v>2</v>
      </c>
      <c r="M192">
        <v>1</v>
      </c>
      <c r="N192" t="s">
        <v>33</v>
      </c>
      <c r="O192" t="s">
        <v>42</v>
      </c>
      <c r="P192">
        <v>16</v>
      </c>
      <c r="Q192">
        <v>17</v>
      </c>
      <c r="R192">
        <v>3</v>
      </c>
      <c r="S192" t="s">
        <v>31</v>
      </c>
      <c r="T192">
        <v>2</v>
      </c>
      <c r="U192" t="s">
        <v>31</v>
      </c>
      <c r="V192" s="1">
        <v>41074</v>
      </c>
    </row>
    <row r="193" spans="1:23" x14ac:dyDescent="0.35">
      <c r="A193" t="s">
        <v>249</v>
      </c>
      <c r="B193">
        <v>38</v>
      </c>
      <c r="C193" t="s">
        <v>27</v>
      </c>
      <c r="D193" t="s">
        <v>28</v>
      </c>
      <c r="E193" t="s">
        <v>66</v>
      </c>
      <c r="F193" t="s">
        <v>37</v>
      </c>
      <c r="G193">
        <v>123071</v>
      </c>
      <c r="H193">
        <v>13</v>
      </c>
      <c r="I193">
        <v>16</v>
      </c>
      <c r="J193">
        <v>5</v>
      </c>
      <c r="K193">
        <v>1</v>
      </c>
      <c r="L193">
        <v>3</v>
      </c>
      <c r="M193">
        <v>2</v>
      </c>
      <c r="N193" t="s">
        <v>31</v>
      </c>
      <c r="O193" t="s">
        <v>32</v>
      </c>
      <c r="P193">
        <v>24</v>
      </c>
      <c r="Q193">
        <v>44</v>
      </c>
      <c r="R193">
        <v>3</v>
      </c>
      <c r="S193" t="s">
        <v>31</v>
      </c>
      <c r="T193">
        <v>5</v>
      </c>
      <c r="U193" t="s">
        <v>31</v>
      </c>
      <c r="V193" s="1">
        <v>43527</v>
      </c>
    </row>
    <row r="194" spans="1:23" x14ac:dyDescent="0.35">
      <c r="A194" t="s">
        <v>250</v>
      </c>
      <c r="B194">
        <v>39</v>
      </c>
      <c r="C194" t="s">
        <v>27</v>
      </c>
      <c r="D194" t="s">
        <v>35</v>
      </c>
      <c r="E194" t="s">
        <v>85</v>
      </c>
      <c r="F194" t="s">
        <v>56</v>
      </c>
      <c r="G194">
        <v>98651</v>
      </c>
      <c r="H194">
        <v>6</v>
      </c>
      <c r="I194">
        <v>18</v>
      </c>
      <c r="J194">
        <v>4</v>
      </c>
      <c r="K194">
        <v>3</v>
      </c>
      <c r="L194">
        <v>3</v>
      </c>
      <c r="M194">
        <v>3</v>
      </c>
      <c r="N194" t="s">
        <v>33</v>
      </c>
      <c r="O194" t="s">
        <v>32</v>
      </c>
      <c r="P194">
        <v>3</v>
      </c>
      <c r="Q194">
        <v>28</v>
      </c>
      <c r="R194">
        <v>3</v>
      </c>
      <c r="S194" t="s">
        <v>31</v>
      </c>
      <c r="T194">
        <v>4</v>
      </c>
      <c r="U194" t="s">
        <v>33</v>
      </c>
      <c r="V194" s="1">
        <v>41982</v>
      </c>
      <c r="W194" s="1">
        <v>42146</v>
      </c>
    </row>
    <row r="195" spans="1:23" x14ac:dyDescent="0.35">
      <c r="A195" t="s">
        <v>251</v>
      </c>
      <c r="B195">
        <v>56</v>
      </c>
      <c r="C195" t="s">
        <v>27</v>
      </c>
      <c r="D195" t="s">
        <v>28</v>
      </c>
      <c r="E195" t="s">
        <v>66</v>
      </c>
      <c r="F195" t="s">
        <v>30</v>
      </c>
      <c r="G195">
        <v>130023</v>
      </c>
      <c r="H195">
        <v>13</v>
      </c>
      <c r="I195">
        <v>32</v>
      </c>
      <c r="J195">
        <v>5</v>
      </c>
      <c r="K195">
        <v>3</v>
      </c>
      <c r="L195">
        <v>3</v>
      </c>
      <c r="M195">
        <v>2</v>
      </c>
      <c r="N195" t="s">
        <v>33</v>
      </c>
      <c r="O195" t="s">
        <v>42</v>
      </c>
      <c r="P195">
        <v>4</v>
      </c>
      <c r="Q195">
        <v>54</v>
      </c>
      <c r="R195">
        <v>3</v>
      </c>
      <c r="S195" t="s">
        <v>31</v>
      </c>
      <c r="T195">
        <v>5</v>
      </c>
      <c r="U195" t="s">
        <v>31</v>
      </c>
      <c r="V195" s="1">
        <v>41870</v>
      </c>
    </row>
    <row r="196" spans="1:23" x14ac:dyDescent="0.35">
      <c r="A196" t="s">
        <v>252</v>
      </c>
      <c r="B196">
        <v>29</v>
      </c>
      <c r="C196" t="s">
        <v>27</v>
      </c>
      <c r="D196" t="s">
        <v>52</v>
      </c>
      <c r="E196" t="s">
        <v>53</v>
      </c>
      <c r="F196" t="s">
        <v>30</v>
      </c>
      <c r="G196">
        <v>102066</v>
      </c>
      <c r="H196">
        <v>8</v>
      </c>
      <c r="I196">
        <v>8</v>
      </c>
      <c r="J196">
        <v>4</v>
      </c>
      <c r="K196">
        <v>2</v>
      </c>
      <c r="L196">
        <v>2</v>
      </c>
      <c r="M196">
        <v>2</v>
      </c>
      <c r="N196" t="s">
        <v>31</v>
      </c>
      <c r="O196" t="s">
        <v>32</v>
      </c>
      <c r="P196">
        <v>28</v>
      </c>
      <c r="Q196">
        <v>43</v>
      </c>
      <c r="R196">
        <v>3</v>
      </c>
      <c r="S196" t="s">
        <v>33</v>
      </c>
      <c r="T196">
        <v>7</v>
      </c>
      <c r="U196" t="s">
        <v>33</v>
      </c>
      <c r="V196" s="1">
        <v>42356</v>
      </c>
      <c r="W196" s="1">
        <v>43345</v>
      </c>
    </row>
    <row r="197" spans="1:23" x14ac:dyDescent="0.35">
      <c r="A197" t="s">
        <v>253</v>
      </c>
      <c r="B197">
        <v>53</v>
      </c>
      <c r="C197" t="s">
        <v>27</v>
      </c>
      <c r="D197" t="s">
        <v>39</v>
      </c>
      <c r="E197" t="s">
        <v>59</v>
      </c>
      <c r="F197" t="s">
        <v>37</v>
      </c>
      <c r="G197">
        <v>59722</v>
      </c>
      <c r="H197">
        <v>2</v>
      </c>
      <c r="I197">
        <v>30</v>
      </c>
      <c r="J197">
        <v>2</v>
      </c>
      <c r="K197">
        <v>3</v>
      </c>
      <c r="L197">
        <v>1</v>
      </c>
      <c r="M197">
        <v>4</v>
      </c>
      <c r="N197" t="s">
        <v>31</v>
      </c>
      <c r="O197" t="s">
        <v>42</v>
      </c>
      <c r="P197">
        <v>5</v>
      </c>
      <c r="Q197">
        <v>41</v>
      </c>
      <c r="R197">
        <v>4</v>
      </c>
      <c r="S197" t="s">
        <v>31</v>
      </c>
      <c r="T197">
        <v>7</v>
      </c>
      <c r="U197" t="s">
        <v>31</v>
      </c>
      <c r="V197" s="1">
        <v>41507</v>
      </c>
    </row>
    <row r="198" spans="1:23" x14ac:dyDescent="0.35">
      <c r="A198" t="s">
        <v>254</v>
      </c>
      <c r="B198">
        <v>35</v>
      </c>
      <c r="C198" t="s">
        <v>44</v>
      </c>
      <c r="D198" t="s">
        <v>35</v>
      </c>
      <c r="E198" t="s">
        <v>36</v>
      </c>
      <c r="F198" t="s">
        <v>61</v>
      </c>
      <c r="G198">
        <v>95106</v>
      </c>
      <c r="H198">
        <v>6</v>
      </c>
      <c r="I198">
        <v>14</v>
      </c>
      <c r="J198">
        <v>4</v>
      </c>
      <c r="K198">
        <v>1</v>
      </c>
      <c r="L198">
        <v>3</v>
      </c>
      <c r="M198">
        <v>1</v>
      </c>
      <c r="N198" t="s">
        <v>31</v>
      </c>
      <c r="O198" t="s">
        <v>32</v>
      </c>
      <c r="P198">
        <v>28</v>
      </c>
      <c r="Q198">
        <v>43</v>
      </c>
      <c r="R198">
        <v>3</v>
      </c>
      <c r="S198" t="s">
        <v>31</v>
      </c>
      <c r="T198">
        <v>5</v>
      </c>
      <c r="U198" t="s">
        <v>31</v>
      </c>
      <c r="V198" s="1">
        <v>42266</v>
      </c>
    </row>
    <row r="199" spans="1:23" x14ac:dyDescent="0.35">
      <c r="A199" t="s">
        <v>255</v>
      </c>
      <c r="B199">
        <v>56</v>
      </c>
      <c r="C199" t="s">
        <v>44</v>
      </c>
      <c r="D199" t="s">
        <v>39</v>
      </c>
      <c r="E199" t="s">
        <v>59</v>
      </c>
      <c r="F199" t="s">
        <v>37</v>
      </c>
      <c r="G199">
        <v>108548</v>
      </c>
      <c r="H199">
        <v>10</v>
      </c>
      <c r="I199">
        <v>33</v>
      </c>
      <c r="J199">
        <v>4</v>
      </c>
      <c r="K199">
        <v>2</v>
      </c>
      <c r="L199">
        <v>1</v>
      </c>
      <c r="M199">
        <v>3</v>
      </c>
      <c r="N199" t="s">
        <v>33</v>
      </c>
      <c r="O199" t="s">
        <v>42</v>
      </c>
      <c r="P199">
        <v>12</v>
      </c>
      <c r="Q199">
        <v>51</v>
      </c>
      <c r="R199">
        <v>2</v>
      </c>
      <c r="S199" t="s">
        <v>33</v>
      </c>
      <c r="T199">
        <v>2</v>
      </c>
      <c r="U199" t="s">
        <v>33</v>
      </c>
      <c r="V199" s="1">
        <v>41095</v>
      </c>
      <c r="W199" s="1">
        <v>42052</v>
      </c>
    </row>
    <row r="200" spans="1:23" x14ac:dyDescent="0.35">
      <c r="A200" t="s">
        <v>256</v>
      </c>
      <c r="B200">
        <v>37</v>
      </c>
      <c r="C200" t="s">
        <v>27</v>
      </c>
      <c r="D200" t="s">
        <v>52</v>
      </c>
      <c r="E200" t="s">
        <v>53</v>
      </c>
      <c r="F200" t="s">
        <v>30</v>
      </c>
      <c r="G200">
        <v>110019</v>
      </c>
      <c r="H200">
        <v>11</v>
      </c>
      <c r="I200">
        <v>13</v>
      </c>
      <c r="J200">
        <v>4</v>
      </c>
      <c r="K200">
        <v>3</v>
      </c>
      <c r="L200">
        <v>2</v>
      </c>
      <c r="M200">
        <v>2</v>
      </c>
      <c r="N200" t="s">
        <v>31</v>
      </c>
      <c r="O200" t="s">
        <v>32</v>
      </c>
      <c r="P200">
        <v>8</v>
      </c>
      <c r="Q200">
        <v>16</v>
      </c>
      <c r="R200">
        <v>2</v>
      </c>
      <c r="S200" t="s">
        <v>31</v>
      </c>
      <c r="T200">
        <v>3</v>
      </c>
      <c r="U200" t="s">
        <v>31</v>
      </c>
      <c r="V200" s="1">
        <v>45257</v>
      </c>
    </row>
    <row r="201" spans="1:23" x14ac:dyDescent="0.35">
      <c r="A201" t="s">
        <v>257</v>
      </c>
      <c r="B201">
        <v>38</v>
      </c>
      <c r="C201" t="s">
        <v>27</v>
      </c>
      <c r="D201" t="s">
        <v>28</v>
      </c>
      <c r="E201" t="s">
        <v>66</v>
      </c>
      <c r="F201" t="s">
        <v>78</v>
      </c>
      <c r="G201">
        <v>129843</v>
      </c>
      <c r="H201">
        <v>15</v>
      </c>
      <c r="I201">
        <v>16</v>
      </c>
      <c r="J201">
        <v>5</v>
      </c>
      <c r="K201">
        <v>2</v>
      </c>
      <c r="L201">
        <v>1</v>
      </c>
      <c r="M201">
        <v>3</v>
      </c>
      <c r="N201" t="s">
        <v>33</v>
      </c>
      <c r="O201" t="s">
        <v>32</v>
      </c>
      <c r="P201">
        <v>10</v>
      </c>
      <c r="Q201">
        <v>16</v>
      </c>
      <c r="R201">
        <v>4</v>
      </c>
      <c r="S201" t="s">
        <v>31</v>
      </c>
      <c r="T201">
        <v>5</v>
      </c>
      <c r="U201" t="s">
        <v>31</v>
      </c>
      <c r="V201" s="1">
        <v>45068</v>
      </c>
    </row>
    <row r="202" spans="1:23" x14ac:dyDescent="0.35">
      <c r="A202" t="s">
        <v>258</v>
      </c>
      <c r="B202">
        <v>58</v>
      </c>
      <c r="C202" t="s">
        <v>44</v>
      </c>
      <c r="D202" t="s">
        <v>52</v>
      </c>
      <c r="E202" t="s">
        <v>53</v>
      </c>
      <c r="F202" t="s">
        <v>41</v>
      </c>
      <c r="G202">
        <v>63187</v>
      </c>
      <c r="H202">
        <v>5</v>
      </c>
      <c r="I202">
        <v>37</v>
      </c>
      <c r="J202">
        <v>2</v>
      </c>
      <c r="K202">
        <v>2</v>
      </c>
      <c r="L202">
        <v>2</v>
      </c>
      <c r="M202">
        <v>4</v>
      </c>
      <c r="N202" t="s">
        <v>33</v>
      </c>
      <c r="O202" t="s">
        <v>32</v>
      </c>
      <c r="P202">
        <v>13</v>
      </c>
      <c r="Q202">
        <v>28</v>
      </c>
      <c r="R202">
        <v>3</v>
      </c>
      <c r="S202" t="s">
        <v>33</v>
      </c>
      <c r="T202">
        <v>6</v>
      </c>
      <c r="U202" t="s">
        <v>31</v>
      </c>
      <c r="V202" s="1">
        <v>44315</v>
      </c>
    </row>
    <row r="203" spans="1:23" x14ac:dyDescent="0.35">
      <c r="A203" t="s">
        <v>259</v>
      </c>
      <c r="B203">
        <v>41</v>
      </c>
      <c r="C203" t="s">
        <v>44</v>
      </c>
      <c r="D203" t="s">
        <v>52</v>
      </c>
      <c r="E203" t="s">
        <v>55</v>
      </c>
      <c r="F203" t="s">
        <v>30</v>
      </c>
      <c r="G203">
        <v>141781</v>
      </c>
      <c r="H203">
        <v>19</v>
      </c>
      <c r="I203">
        <v>20</v>
      </c>
      <c r="J203">
        <v>5</v>
      </c>
      <c r="K203">
        <v>3</v>
      </c>
      <c r="L203">
        <v>1</v>
      </c>
      <c r="M203">
        <v>2</v>
      </c>
      <c r="N203" t="s">
        <v>33</v>
      </c>
      <c r="O203" t="s">
        <v>32</v>
      </c>
      <c r="P203">
        <v>10</v>
      </c>
      <c r="Q203">
        <v>18</v>
      </c>
      <c r="R203">
        <v>3</v>
      </c>
      <c r="S203" t="s">
        <v>31</v>
      </c>
      <c r="T203">
        <v>10</v>
      </c>
      <c r="U203" t="s">
        <v>31</v>
      </c>
      <c r="V203" s="1">
        <v>41052</v>
      </c>
    </row>
    <row r="204" spans="1:23" x14ac:dyDescent="0.35">
      <c r="A204" t="s">
        <v>260</v>
      </c>
      <c r="B204">
        <v>37</v>
      </c>
      <c r="C204" t="s">
        <v>27</v>
      </c>
      <c r="D204" t="s">
        <v>28</v>
      </c>
      <c r="E204" t="s">
        <v>29</v>
      </c>
      <c r="F204" t="s">
        <v>37</v>
      </c>
      <c r="G204">
        <v>37886</v>
      </c>
      <c r="H204">
        <v>0</v>
      </c>
      <c r="I204">
        <v>13</v>
      </c>
      <c r="J204">
        <v>1</v>
      </c>
      <c r="K204">
        <v>1</v>
      </c>
      <c r="L204">
        <v>4</v>
      </c>
      <c r="M204">
        <v>3</v>
      </c>
      <c r="N204" t="s">
        <v>31</v>
      </c>
      <c r="O204" t="s">
        <v>32</v>
      </c>
      <c r="P204">
        <v>1</v>
      </c>
      <c r="Q204">
        <v>20</v>
      </c>
      <c r="R204">
        <v>2</v>
      </c>
      <c r="S204" t="s">
        <v>31</v>
      </c>
      <c r="T204">
        <v>6</v>
      </c>
      <c r="U204" t="s">
        <v>31</v>
      </c>
      <c r="V204" s="1">
        <v>44276</v>
      </c>
    </row>
    <row r="205" spans="1:23" x14ac:dyDescent="0.35">
      <c r="A205" t="s">
        <v>261</v>
      </c>
      <c r="B205">
        <v>32</v>
      </c>
      <c r="C205" t="s">
        <v>44</v>
      </c>
      <c r="D205" t="s">
        <v>52</v>
      </c>
      <c r="E205" t="s">
        <v>53</v>
      </c>
      <c r="F205" t="s">
        <v>30</v>
      </c>
      <c r="G205">
        <v>55009</v>
      </c>
      <c r="H205">
        <v>0</v>
      </c>
      <c r="I205">
        <v>9</v>
      </c>
      <c r="J205">
        <v>2</v>
      </c>
      <c r="K205">
        <v>1</v>
      </c>
      <c r="L205">
        <v>4</v>
      </c>
      <c r="M205">
        <v>2</v>
      </c>
      <c r="N205" t="s">
        <v>31</v>
      </c>
      <c r="O205" t="s">
        <v>32</v>
      </c>
      <c r="P205">
        <v>25</v>
      </c>
      <c r="Q205">
        <v>41</v>
      </c>
      <c r="R205">
        <v>3</v>
      </c>
      <c r="S205" t="s">
        <v>31</v>
      </c>
      <c r="T205">
        <v>5</v>
      </c>
      <c r="U205" t="s">
        <v>31</v>
      </c>
      <c r="V205" s="1">
        <v>42169</v>
      </c>
    </row>
    <row r="206" spans="1:23" x14ac:dyDescent="0.35">
      <c r="A206" t="s">
        <v>262</v>
      </c>
      <c r="B206">
        <v>43</v>
      </c>
      <c r="C206" t="s">
        <v>27</v>
      </c>
      <c r="D206" t="s">
        <v>39</v>
      </c>
      <c r="E206" t="s">
        <v>40</v>
      </c>
      <c r="F206" t="s">
        <v>37</v>
      </c>
      <c r="G206">
        <v>134327</v>
      </c>
      <c r="H206">
        <v>15</v>
      </c>
      <c r="I206">
        <v>22</v>
      </c>
      <c r="J206">
        <v>5</v>
      </c>
      <c r="K206">
        <v>2</v>
      </c>
      <c r="L206">
        <v>1</v>
      </c>
      <c r="M206">
        <v>2</v>
      </c>
      <c r="N206" t="s">
        <v>33</v>
      </c>
      <c r="O206" t="s">
        <v>32</v>
      </c>
      <c r="P206">
        <v>10</v>
      </c>
      <c r="Q206">
        <v>41</v>
      </c>
      <c r="R206">
        <v>3</v>
      </c>
      <c r="S206" t="s">
        <v>33</v>
      </c>
      <c r="T206">
        <v>11</v>
      </c>
      <c r="U206" t="s">
        <v>31</v>
      </c>
      <c r="V206" s="1">
        <v>43873</v>
      </c>
    </row>
    <row r="207" spans="1:23" x14ac:dyDescent="0.35">
      <c r="A207" t="s">
        <v>263</v>
      </c>
      <c r="B207">
        <v>31</v>
      </c>
      <c r="C207" t="s">
        <v>27</v>
      </c>
      <c r="D207" t="s">
        <v>28</v>
      </c>
      <c r="E207" t="s">
        <v>66</v>
      </c>
      <c r="F207" t="s">
        <v>56</v>
      </c>
      <c r="G207">
        <v>120269</v>
      </c>
      <c r="H207">
        <v>9</v>
      </c>
      <c r="I207">
        <v>9</v>
      </c>
      <c r="J207">
        <v>5</v>
      </c>
      <c r="K207">
        <v>4</v>
      </c>
      <c r="L207">
        <v>2</v>
      </c>
      <c r="M207">
        <v>4</v>
      </c>
      <c r="N207" t="s">
        <v>31</v>
      </c>
      <c r="O207" t="s">
        <v>42</v>
      </c>
      <c r="P207">
        <v>29</v>
      </c>
      <c r="Q207">
        <v>45</v>
      </c>
      <c r="R207">
        <v>4</v>
      </c>
      <c r="S207" t="s">
        <v>33</v>
      </c>
      <c r="T207">
        <v>6</v>
      </c>
      <c r="U207" t="s">
        <v>33</v>
      </c>
      <c r="V207" s="1">
        <v>43617</v>
      </c>
      <c r="W207" s="1">
        <v>43820</v>
      </c>
    </row>
    <row r="208" spans="1:23" x14ac:dyDescent="0.35">
      <c r="A208" t="s">
        <v>264</v>
      </c>
      <c r="B208">
        <v>35</v>
      </c>
      <c r="C208" t="s">
        <v>27</v>
      </c>
      <c r="D208" t="s">
        <v>45</v>
      </c>
      <c r="E208" t="s">
        <v>63</v>
      </c>
      <c r="F208" t="s">
        <v>41</v>
      </c>
      <c r="G208">
        <v>44766</v>
      </c>
      <c r="H208">
        <v>0</v>
      </c>
      <c r="I208">
        <v>11</v>
      </c>
      <c r="J208">
        <v>1</v>
      </c>
      <c r="K208">
        <v>2</v>
      </c>
      <c r="L208">
        <v>1</v>
      </c>
      <c r="M208">
        <v>3</v>
      </c>
      <c r="N208" t="s">
        <v>31</v>
      </c>
      <c r="O208" t="s">
        <v>47</v>
      </c>
      <c r="P208">
        <v>22</v>
      </c>
      <c r="Q208">
        <v>56</v>
      </c>
      <c r="R208">
        <v>2</v>
      </c>
      <c r="S208" t="s">
        <v>31</v>
      </c>
      <c r="T208">
        <v>7</v>
      </c>
      <c r="U208" t="s">
        <v>31</v>
      </c>
      <c r="V208" s="1">
        <v>45087</v>
      </c>
    </row>
    <row r="209" spans="1:23" x14ac:dyDescent="0.35">
      <c r="A209" t="s">
        <v>265</v>
      </c>
      <c r="B209">
        <v>44</v>
      </c>
      <c r="C209" t="s">
        <v>44</v>
      </c>
      <c r="D209" t="s">
        <v>28</v>
      </c>
      <c r="E209" t="s">
        <v>29</v>
      </c>
      <c r="F209" t="s">
        <v>41</v>
      </c>
      <c r="G209">
        <v>67964</v>
      </c>
      <c r="H209">
        <v>4</v>
      </c>
      <c r="I209">
        <v>21</v>
      </c>
      <c r="J209">
        <v>2</v>
      </c>
      <c r="K209">
        <v>2</v>
      </c>
      <c r="L209">
        <v>3</v>
      </c>
      <c r="M209">
        <v>1</v>
      </c>
      <c r="N209" t="s">
        <v>31</v>
      </c>
      <c r="O209" t="s">
        <v>47</v>
      </c>
      <c r="P209">
        <v>27</v>
      </c>
      <c r="Q209">
        <v>34</v>
      </c>
      <c r="R209">
        <v>3</v>
      </c>
      <c r="S209" t="s">
        <v>31</v>
      </c>
      <c r="T209">
        <v>3</v>
      </c>
      <c r="U209" t="s">
        <v>31</v>
      </c>
      <c r="V209" s="1">
        <v>42276</v>
      </c>
    </row>
    <row r="210" spans="1:23" x14ac:dyDescent="0.35">
      <c r="A210" t="s">
        <v>266</v>
      </c>
      <c r="B210">
        <v>32</v>
      </c>
      <c r="C210" t="s">
        <v>27</v>
      </c>
      <c r="D210" t="s">
        <v>39</v>
      </c>
      <c r="E210" t="s">
        <v>40</v>
      </c>
      <c r="F210" t="s">
        <v>41</v>
      </c>
      <c r="G210">
        <v>44966</v>
      </c>
      <c r="H210">
        <v>2</v>
      </c>
      <c r="I210">
        <v>10</v>
      </c>
      <c r="J210">
        <v>1</v>
      </c>
      <c r="K210">
        <v>2</v>
      </c>
      <c r="L210">
        <v>1</v>
      </c>
      <c r="M210">
        <v>3</v>
      </c>
      <c r="N210" t="s">
        <v>31</v>
      </c>
      <c r="O210" t="s">
        <v>42</v>
      </c>
      <c r="P210">
        <v>8</v>
      </c>
      <c r="Q210">
        <v>38</v>
      </c>
      <c r="R210">
        <v>3</v>
      </c>
      <c r="S210" t="s">
        <v>31</v>
      </c>
      <c r="T210">
        <v>6</v>
      </c>
      <c r="U210" t="s">
        <v>31</v>
      </c>
      <c r="V210" s="1">
        <v>41151</v>
      </c>
    </row>
    <row r="211" spans="1:23" x14ac:dyDescent="0.35">
      <c r="A211" t="s">
        <v>267</v>
      </c>
      <c r="B211">
        <v>40</v>
      </c>
      <c r="C211" t="s">
        <v>44</v>
      </c>
      <c r="D211" t="s">
        <v>28</v>
      </c>
      <c r="E211" t="s">
        <v>29</v>
      </c>
      <c r="F211" t="s">
        <v>78</v>
      </c>
      <c r="G211">
        <v>136972</v>
      </c>
      <c r="H211">
        <v>19</v>
      </c>
      <c r="I211">
        <v>19</v>
      </c>
      <c r="J211">
        <v>5</v>
      </c>
      <c r="K211">
        <v>1</v>
      </c>
      <c r="L211">
        <v>2</v>
      </c>
      <c r="M211">
        <v>3</v>
      </c>
      <c r="N211" t="s">
        <v>33</v>
      </c>
      <c r="O211" t="s">
        <v>47</v>
      </c>
      <c r="P211">
        <v>16</v>
      </c>
      <c r="Q211">
        <v>35</v>
      </c>
      <c r="R211">
        <v>3</v>
      </c>
      <c r="S211" t="s">
        <v>31</v>
      </c>
      <c r="T211">
        <v>6</v>
      </c>
      <c r="U211" t="s">
        <v>31</v>
      </c>
      <c r="V211" s="1">
        <v>43762</v>
      </c>
    </row>
    <row r="212" spans="1:23" x14ac:dyDescent="0.35">
      <c r="A212" t="s">
        <v>268</v>
      </c>
      <c r="B212">
        <v>55</v>
      </c>
      <c r="C212" t="s">
        <v>27</v>
      </c>
      <c r="D212" t="s">
        <v>45</v>
      </c>
      <c r="E212" t="s">
        <v>63</v>
      </c>
      <c r="F212" t="s">
        <v>41</v>
      </c>
      <c r="G212">
        <v>156351</v>
      </c>
      <c r="H212">
        <v>27</v>
      </c>
      <c r="I212">
        <v>33</v>
      </c>
      <c r="J212">
        <v>5</v>
      </c>
      <c r="K212">
        <v>4</v>
      </c>
      <c r="L212">
        <v>3</v>
      </c>
      <c r="M212">
        <v>4</v>
      </c>
      <c r="N212" t="s">
        <v>31</v>
      </c>
      <c r="O212" t="s">
        <v>32</v>
      </c>
      <c r="P212">
        <v>29</v>
      </c>
      <c r="Q212">
        <v>13</v>
      </c>
      <c r="R212">
        <v>3</v>
      </c>
      <c r="S212" t="s">
        <v>31</v>
      </c>
      <c r="T212">
        <v>4</v>
      </c>
      <c r="U212" t="s">
        <v>31</v>
      </c>
      <c r="V212" s="1">
        <v>42821</v>
      </c>
    </row>
    <row r="213" spans="1:23" x14ac:dyDescent="0.35">
      <c r="A213" t="s">
        <v>269</v>
      </c>
      <c r="B213">
        <v>34</v>
      </c>
      <c r="C213" t="s">
        <v>44</v>
      </c>
      <c r="D213" t="s">
        <v>45</v>
      </c>
      <c r="E213" t="s">
        <v>63</v>
      </c>
      <c r="F213" t="s">
        <v>61</v>
      </c>
      <c r="G213">
        <v>78098</v>
      </c>
      <c r="H213">
        <v>5</v>
      </c>
      <c r="I213">
        <v>10</v>
      </c>
      <c r="J213">
        <v>3</v>
      </c>
      <c r="K213">
        <v>4</v>
      </c>
      <c r="L213">
        <v>1</v>
      </c>
      <c r="M213">
        <v>3</v>
      </c>
      <c r="N213" t="s">
        <v>31</v>
      </c>
      <c r="O213" t="s">
        <v>47</v>
      </c>
      <c r="P213">
        <v>23</v>
      </c>
      <c r="Q213">
        <v>54</v>
      </c>
      <c r="R213">
        <v>3</v>
      </c>
      <c r="S213" t="s">
        <v>31</v>
      </c>
      <c r="T213">
        <v>4</v>
      </c>
      <c r="U213" t="s">
        <v>31</v>
      </c>
      <c r="V213" s="1">
        <v>43290</v>
      </c>
    </row>
    <row r="214" spans="1:23" x14ac:dyDescent="0.35">
      <c r="A214" t="s">
        <v>270</v>
      </c>
      <c r="B214">
        <v>56</v>
      </c>
      <c r="C214" t="s">
        <v>44</v>
      </c>
      <c r="D214" t="s">
        <v>35</v>
      </c>
      <c r="E214" t="s">
        <v>36</v>
      </c>
      <c r="F214" t="s">
        <v>56</v>
      </c>
      <c r="G214">
        <v>159222</v>
      </c>
      <c r="H214">
        <v>28</v>
      </c>
      <c r="I214">
        <v>34</v>
      </c>
      <c r="J214">
        <v>5</v>
      </c>
      <c r="K214">
        <v>2</v>
      </c>
      <c r="L214">
        <v>4</v>
      </c>
      <c r="M214">
        <v>1</v>
      </c>
      <c r="N214" t="s">
        <v>31</v>
      </c>
      <c r="O214" t="s">
        <v>32</v>
      </c>
      <c r="P214">
        <v>22</v>
      </c>
      <c r="Q214">
        <v>47</v>
      </c>
      <c r="R214">
        <v>3</v>
      </c>
      <c r="S214" t="s">
        <v>31</v>
      </c>
      <c r="T214">
        <v>4</v>
      </c>
      <c r="U214" t="s">
        <v>31</v>
      </c>
      <c r="V214" s="1">
        <v>44286</v>
      </c>
    </row>
    <row r="215" spans="1:23" x14ac:dyDescent="0.35">
      <c r="A215" t="s">
        <v>271</v>
      </c>
      <c r="B215">
        <v>59</v>
      </c>
      <c r="C215" t="s">
        <v>44</v>
      </c>
      <c r="D215" t="s">
        <v>35</v>
      </c>
      <c r="E215" t="s">
        <v>36</v>
      </c>
      <c r="F215" t="s">
        <v>41</v>
      </c>
      <c r="G215">
        <v>163912</v>
      </c>
      <c r="H215">
        <v>33</v>
      </c>
      <c r="I215">
        <v>38</v>
      </c>
      <c r="J215">
        <v>5</v>
      </c>
      <c r="K215">
        <v>4</v>
      </c>
      <c r="L215">
        <v>3</v>
      </c>
      <c r="M215">
        <v>2</v>
      </c>
      <c r="N215" t="s">
        <v>31</v>
      </c>
      <c r="O215" t="s">
        <v>32</v>
      </c>
      <c r="P215">
        <v>9</v>
      </c>
      <c r="Q215">
        <v>44</v>
      </c>
      <c r="R215">
        <v>2</v>
      </c>
      <c r="S215" t="s">
        <v>31</v>
      </c>
      <c r="T215">
        <v>5</v>
      </c>
      <c r="U215" t="s">
        <v>31</v>
      </c>
      <c r="V215" s="1">
        <v>42345</v>
      </c>
    </row>
    <row r="216" spans="1:23" x14ac:dyDescent="0.35">
      <c r="A216" t="s">
        <v>272</v>
      </c>
      <c r="B216">
        <v>37</v>
      </c>
      <c r="C216" t="s">
        <v>44</v>
      </c>
      <c r="D216" t="s">
        <v>49</v>
      </c>
      <c r="E216" t="s">
        <v>50</v>
      </c>
      <c r="F216" t="s">
        <v>41</v>
      </c>
      <c r="G216">
        <v>133399</v>
      </c>
      <c r="H216">
        <v>16</v>
      </c>
      <c r="I216">
        <v>16</v>
      </c>
      <c r="J216">
        <v>5</v>
      </c>
      <c r="K216">
        <v>2</v>
      </c>
      <c r="L216">
        <v>2</v>
      </c>
      <c r="M216">
        <v>4</v>
      </c>
      <c r="N216" t="s">
        <v>31</v>
      </c>
      <c r="O216" t="s">
        <v>32</v>
      </c>
      <c r="P216">
        <v>11</v>
      </c>
      <c r="Q216">
        <v>11</v>
      </c>
      <c r="R216">
        <v>3</v>
      </c>
      <c r="S216" t="s">
        <v>33</v>
      </c>
      <c r="T216">
        <v>7</v>
      </c>
      <c r="U216" t="s">
        <v>31</v>
      </c>
      <c r="V216" s="1">
        <v>42644</v>
      </c>
    </row>
    <row r="217" spans="1:23" x14ac:dyDescent="0.35">
      <c r="A217" t="s">
        <v>273</v>
      </c>
      <c r="B217">
        <v>45</v>
      </c>
      <c r="C217" t="s">
        <v>27</v>
      </c>
      <c r="D217" t="s">
        <v>28</v>
      </c>
      <c r="E217" t="s">
        <v>66</v>
      </c>
      <c r="F217" t="s">
        <v>56</v>
      </c>
      <c r="G217">
        <v>147080</v>
      </c>
      <c r="H217">
        <v>24</v>
      </c>
      <c r="I217">
        <v>24</v>
      </c>
      <c r="J217">
        <v>5</v>
      </c>
      <c r="K217">
        <v>2</v>
      </c>
      <c r="L217">
        <v>1</v>
      </c>
      <c r="M217">
        <v>4</v>
      </c>
      <c r="N217" t="s">
        <v>33</v>
      </c>
      <c r="O217" t="s">
        <v>47</v>
      </c>
      <c r="P217">
        <v>21</v>
      </c>
      <c r="Q217">
        <v>21</v>
      </c>
      <c r="R217">
        <v>4</v>
      </c>
      <c r="S217" t="s">
        <v>33</v>
      </c>
      <c r="T217">
        <v>4</v>
      </c>
      <c r="U217" t="s">
        <v>31</v>
      </c>
      <c r="V217" s="1">
        <v>43215</v>
      </c>
    </row>
    <row r="218" spans="1:23" x14ac:dyDescent="0.35">
      <c r="A218" t="s">
        <v>274</v>
      </c>
      <c r="B218">
        <v>28</v>
      </c>
      <c r="C218" t="s">
        <v>44</v>
      </c>
      <c r="D218" t="s">
        <v>52</v>
      </c>
      <c r="E218" t="s">
        <v>55</v>
      </c>
      <c r="F218" t="s">
        <v>78</v>
      </c>
      <c r="G218">
        <v>59774</v>
      </c>
      <c r="H218">
        <v>0</v>
      </c>
      <c r="I218">
        <v>6</v>
      </c>
      <c r="J218">
        <v>2</v>
      </c>
      <c r="K218">
        <v>2</v>
      </c>
      <c r="L218">
        <v>3</v>
      </c>
      <c r="M218">
        <v>4</v>
      </c>
      <c r="N218" t="s">
        <v>33</v>
      </c>
      <c r="O218" t="s">
        <v>32</v>
      </c>
      <c r="P218">
        <v>24</v>
      </c>
      <c r="Q218">
        <v>31</v>
      </c>
      <c r="R218">
        <v>3</v>
      </c>
      <c r="S218" t="s">
        <v>31</v>
      </c>
      <c r="T218">
        <v>4</v>
      </c>
      <c r="U218" t="s">
        <v>31</v>
      </c>
      <c r="V218" s="1">
        <v>44890</v>
      </c>
    </row>
    <row r="219" spans="1:23" x14ac:dyDescent="0.35">
      <c r="A219" t="s">
        <v>275</v>
      </c>
      <c r="B219">
        <v>49</v>
      </c>
      <c r="C219" t="s">
        <v>27</v>
      </c>
      <c r="D219" t="s">
        <v>49</v>
      </c>
      <c r="E219" t="s">
        <v>50</v>
      </c>
      <c r="F219" t="s">
        <v>61</v>
      </c>
      <c r="G219">
        <v>150733</v>
      </c>
      <c r="H219">
        <v>25</v>
      </c>
      <c r="I219">
        <v>28</v>
      </c>
      <c r="J219">
        <v>5</v>
      </c>
      <c r="K219">
        <v>4</v>
      </c>
      <c r="L219">
        <v>1</v>
      </c>
      <c r="M219">
        <v>3</v>
      </c>
      <c r="N219" t="s">
        <v>33</v>
      </c>
      <c r="O219" t="s">
        <v>42</v>
      </c>
      <c r="P219">
        <v>27</v>
      </c>
      <c r="Q219">
        <v>48</v>
      </c>
      <c r="R219">
        <v>3</v>
      </c>
      <c r="S219" t="s">
        <v>31</v>
      </c>
      <c r="T219">
        <v>2</v>
      </c>
      <c r="U219" t="s">
        <v>31</v>
      </c>
      <c r="V219" s="1">
        <v>40937</v>
      </c>
    </row>
    <row r="220" spans="1:23" x14ac:dyDescent="0.35">
      <c r="A220" t="s">
        <v>276</v>
      </c>
      <c r="B220">
        <v>36</v>
      </c>
      <c r="C220" t="s">
        <v>44</v>
      </c>
      <c r="D220" t="s">
        <v>52</v>
      </c>
      <c r="E220" t="s">
        <v>53</v>
      </c>
      <c r="F220" t="s">
        <v>56</v>
      </c>
      <c r="G220">
        <v>124138</v>
      </c>
      <c r="H220">
        <v>12</v>
      </c>
      <c r="I220">
        <v>15</v>
      </c>
      <c r="J220">
        <v>5</v>
      </c>
      <c r="K220">
        <v>4</v>
      </c>
      <c r="L220">
        <v>4</v>
      </c>
      <c r="M220">
        <v>3</v>
      </c>
      <c r="N220" t="s">
        <v>31</v>
      </c>
      <c r="O220" t="s">
        <v>32</v>
      </c>
      <c r="P220">
        <v>3</v>
      </c>
      <c r="Q220">
        <v>54</v>
      </c>
      <c r="R220">
        <v>3</v>
      </c>
      <c r="S220" t="s">
        <v>31</v>
      </c>
      <c r="T220">
        <v>4</v>
      </c>
      <c r="U220" t="s">
        <v>33</v>
      </c>
      <c r="V220" s="1">
        <v>41747</v>
      </c>
      <c r="W220" s="1">
        <v>42460</v>
      </c>
    </row>
    <row r="221" spans="1:23" x14ac:dyDescent="0.35">
      <c r="A221" t="s">
        <v>277</v>
      </c>
      <c r="B221">
        <v>55</v>
      </c>
      <c r="C221" t="s">
        <v>27</v>
      </c>
      <c r="D221" t="s">
        <v>35</v>
      </c>
      <c r="E221" t="s">
        <v>36</v>
      </c>
      <c r="F221" t="s">
        <v>41</v>
      </c>
      <c r="G221">
        <v>101231</v>
      </c>
      <c r="H221">
        <v>9</v>
      </c>
      <c r="I221">
        <v>34</v>
      </c>
      <c r="J221">
        <v>4</v>
      </c>
      <c r="K221">
        <v>2</v>
      </c>
      <c r="L221">
        <v>4</v>
      </c>
      <c r="M221">
        <v>4</v>
      </c>
      <c r="N221" t="s">
        <v>31</v>
      </c>
      <c r="O221" t="s">
        <v>47</v>
      </c>
      <c r="P221">
        <v>28</v>
      </c>
      <c r="Q221">
        <v>35</v>
      </c>
      <c r="R221">
        <v>3</v>
      </c>
      <c r="S221" t="s">
        <v>33</v>
      </c>
      <c r="T221">
        <v>2</v>
      </c>
      <c r="U221" t="s">
        <v>31</v>
      </c>
      <c r="V221" s="1">
        <v>42359</v>
      </c>
    </row>
    <row r="222" spans="1:23" x14ac:dyDescent="0.35">
      <c r="A222" t="s">
        <v>278</v>
      </c>
      <c r="B222">
        <v>46</v>
      </c>
      <c r="C222" t="s">
        <v>27</v>
      </c>
      <c r="D222" t="s">
        <v>28</v>
      </c>
      <c r="E222" t="s">
        <v>29</v>
      </c>
      <c r="F222" t="s">
        <v>56</v>
      </c>
      <c r="G222">
        <v>134515</v>
      </c>
      <c r="H222">
        <v>17</v>
      </c>
      <c r="I222">
        <v>22</v>
      </c>
      <c r="J222">
        <v>5</v>
      </c>
      <c r="K222">
        <v>3</v>
      </c>
      <c r="L222">
        <v>1</v>
      </c>
      <c r="M222">
        <v>4</v>
      </c>
      <c r="N222" t="s">
        <v>31</v>
      </c>
      <c r="O222" t="s">
        <v>32</v>
      </c>
      <c r="P222">
        <v>8</v>
      </c>
      <c r="Q222">
        <v>41</v>
      </c>
      <c r="R222">
        <v>3</v>
      </c>
      <c r="S222" t="s">
        <v>31</v>
      </c>
      <c r="T222">
        <v>2</v>
      </c>
      <c r="U222" t="s">
        <v>33</v>
      </c>
      <c r="V222" s="1">
        <v>41812</v>
      </c>
      <c r="W222" s="1">
        <v>42429</v>
      </c>
    </row>
    <row r="223" spans="1:23" x14ac:dyDescent="0.35">
      <c r="A223" t="s">
        <v>279</v>
      </c>
      <c r="B223">
        <v>37</v>
      </c>
      <c r="C223" t="s">
        <v>44</v>
      </c>
      <c r="D223" t="s">
        <v>45</v>
      </c>
      <c r="E223" t="s">
        <v>46</v>
      </c>
      <c r="F223" t="s">
        <v>78</v>
      </c>
      <c r="G223">
        <v>126089</v>
      </c>
      <c r="H223">
        <v>14</v>
      </c>
      <c r="I223">
        <v>16</v>
      </c>
      <c r="J223">
        <v>5</v>
      </c>
      <c r="K223">
        <v>2</v>
      </c>
      <c r="L223">
        <v>3</v>
      </c>
      <c r="M223">
        <v>1</v>
      </c>
      <c r="N223" t="s">
        <v>31</v>
      </c>
      <c r="O223" t="s">
        <v>32</v>
      </c>
      <c r="P223">
        <v>18</v>
      </c>
      <c r="Q223">
        <v>56</v>
      </c>
      <c r="R223">
        <v>3</v>
      </c>
      <c r="S223" t="s">
        <v>31</v>
      </c>
      <c r="T223">
        <v>7</v>
      </c>
      <c r="U223" t="s">
        <v>33</v>
      </c>
      <c r="V223" s="1">
        <v>44643</v>
      </c>
      <c r="W223" s="1">
        <v>45182</v>
      </c>
    </row>
    <row r="224" spans="1:23" x14ac:dyDescent="0.35">
      <c r="A224" t="s">
        <v>280</v>
      </c>
      <c r="B224">
        <v>40</v>
      </c>
      <c r="C224" t="s">
        <v>27</v>
      </c>
      <c r="D224" t="s">
        <v>52</v>
      </c>
      <c r="E224" t="s">
        <v>55</v>
      </c>
      <c r="F224" t="s">
        <v>41</v>
      </c>
      <c r="G224">
        <v>42659</v>
      </c>
      <c r="H224">
        <v>0</v>
      </c>
      <c r="I224">
        <v>17</v>
      </c>
      <c r="J224">
        <v>1</v>
      </c>
      <c r="K224">
        <v>3</v>
      </c>
      <c r="L224">
        <v>4</v>
      </c>
      <c r="M224">
        <v>1</v>
      </c>
      <c r="N224" t="s">
        <v>31</v>
      </c>
      <c r="O224" t="s">
        <v>42</v>
      </c>
      <c r="P224">
        <v>3</v>
      </c>
      <c r="Q224">
        <v>49</v>
      </c>
      <c r="R224">
        <v>3</v>
      </c>
      <c r="S224" t="s">
        <v>31</v>
      </c>
      <c r="T224">
        <v>6</v>
      </c>
      <c r="U224" t="s">
        <v>31</v>
      </c>
      <c r="V224" s="1">
        <v>42371</v>
      </c>
    </row>
    <row r="225" spans="1:23" x14ac:dyDescent="0.35">
      <c r="A225" t="s">
        <v>281</v>
      </c>
      <c r="B225">
        <v>43</v>
      </c>
      <c r="C225" t="s">
        <v>44</v>
      </c>
      <c r="D225" t="s">
        <v>28</v>
      </c>
      <c r="E225" t="s">
        <v>29</v>
      </c>
      <c r="F225" t="s">
        <v>61</v>
      </c>
      <c r="G225">
        <v>62626</v>
      </c>
      <c r="H225">
        <v>5</v>
      </c>
      <c r="I225">
        <v>22</v>
      </c>
      <c r="J225">
        <v>2</v>
      </c>
      <c r="K225">
        <v>4</v>
      </c>
      <c r="L225">
        <v>3</v>
      </c>
      <c r="M225">
        <v>3</v>
      </c>
      <c r="N225" t="s">
        <v>31</v>
      </c>
      <c r="O225" t="s">
        <v>47</v>
      </c>
      <c r="P225">
        <v>18</v>
      </c>
      <c r="Q225">
        <v>32</v>
      </c>
      <c r="R225">
        <v>3</v>
      </c>
      <c r="S225" t="s">
        <v>31</v>
      </c>
      <c r="T225">
        <v>4</v>
      </c>
      <c r="U225" t="s">
        <v>31</v>
      </c>
      <c r="V225" s="1">
        <v>41590</v>
      </c>
    </row>
    <row r="226" spans="1:23" x14ac:dyDescent="0.35">
      <c r="A226" t="s">
        <v>282</v>
      </c>
      <c r="B226">
        <v>28</v>
      </c>
      <c r="C226" t="s">
        <v>44</v>
      </c>
      <c r="D226" t="s">
        <v>52</v>
      </c>
      <c r="E226" t="s">
        <v>53</v>
      </c>
      <c r="F226" t="s">
        <v>56</v>
      </c>
      <c r="G226">
        <v>39156</v>
      </c>
      <c r="H226">
        <v>0</v>
      </c>
      <c r="I226">
        <v>5</v>
      </c>
      <c r="J226">
        <v>1</v>
      </c>
      <c r="K226">
        <v>1</v>
      </c>
      <c r="L226">
        <v>3</v>
      </c>
      <c r="M226">
        <v>1</v>
      </c>
      <c r="N226" t="s">
        <v>31</v>
      </c>
      <c r="O226" t="s">
        <v>32</v>
      </c>
      <c r="P226">
        <v>23</v>
      </c>
      <c r="Q226">
        <v>29</v>
      </c>
      <c r="R226">
        <v>3</v>
      </c>
      <c r="S226" t="s">
        <v>31</v>
      </c>
      <c r="T226">
        <v>5</v>
      </c>
      <c r="U226" t="s">
        <v>31</v>
      </c>
      <c r="V226" s="1">
        <v>43205</v>
      </c>
    </row>
    <row r="227" spans="1:23" x14ac:dyDescent="0.35">
      <c r="A227" t="s">
        <v>283</v>
      </c>
      <c r="B227">
        <v>59</v>
      </c>
      <c r="C227" t="s">
        <v>27</v>
      </c>
      <c r="D227" t="s">
        <v>49</v>
      </c>
      <c r="E227" t="s">
        <v>68</v>
      </c>
      <c r="F227" t="s">
        <v>30</v>
      </c>
      <c r="G227">
        <v>42378</v>
      </c>
      <c r="H227">
        <v>2</v>
      </c>
      <c r="I227">
        <v>35</v>
      </c>
      <c r="J227">
        <v>1</v>
      </c>
      <c r="K227">
        <v>1</v>
      </c>
      <c r="L227">
        <v>4</v>
      </c>
      <c r="M227">
        <v>3</v>
      </c>
      <c r="N227" t="s">
        <v>31</v>
      </c>
      <c r="O227" t="s">
        <v>32</v>
      </c>
      <c r="P227">
        <v>13</v>
      </c>
      <c r="Q227">
        <v>44</v>
      </c>
      <c r="R227">
        <v>3</v>
      </c>
      <c r="S227" t="s">
        <v>31</v>
      </c>
      <c r="T227">
        <v>2</v>
      </c>
      <c r="U227" t="s">
        <v>33</v>
      </c>
      <c r="V227" s="1">
        <v>44462</v>
      </c>
      <c r="W227" s="1">
        <v>44906</v>
      </c>
    </row>
    <row r="228" spans="1:23" x14ac:dyDescent="0.35">
      <c r="A228" t="s">
        <v>284</v>
      </c>
      <c r="B228">
        <v>37</v>
      </c>
      <c r="C228" t="s">
        <v>44</v>
      </c>
      <c r="D228" t="s">
        <v>49</v>
      </c>
      <c r="E228" t="s">
        <v>50</v>
      </c>
      <c r="F228" t="s">
        <v>37</v>
      </c>
      <c r="G228">
        <v>132618</v>
      </c>
      <c r="H228">
        <v>15</v>
      </c>
      <c r="I228">
        <v>16</v>
      </c>
      <c r="J228">
        <v>5</v>
      </c>
      <c r="K228">
        <v>1</v>
      </c>
      <c r="L228">
        <v>1</v>
      </c>
      <c r="M228">
        <v>2</v>
      </c>
      <c r="N228" t="s">
        <v>33</v>
      </c>
      <c r="O228" t="s">
        <v>32</v>
      </c>
      <c r="P228">
        <v>23</v>
      </c>
      <c r="Q228">
        <v>27</v>
      </c>
      <c r="R228">
        <v>3</v>
      </c>
      <c r="S228" t="s">
        <v>31</v>
      </c>
      <c r="T228">
        <v>5</v>
      </c>
      <c r="U228" t="s">
        <v>31</v>
      </c>
      <c r="V228" s="1">
        <v>42949</v>
      </c>
    </row>
    <row r="229" spans="1:23" x14ac:dyDescent="0.35">
      <c r="A229" t="s">
        <v>285</v>
      </c>
      <c r="B229">
        <v>39</v>
      </c>
      <c r="C229" t="s">
        <v>27</v>
      </c>
      <c r="D229" t="s">
        <v>52</v>
      </c>
      <c r="E229" t="s">
        <v>53</v>
      </c>
      <c r="F229" t="s">
        <v>61</v>
      </c>
      <c r="G229">
        <v>129286</v>
      </c>
      <c r="H229">
        <v>14</v>
      </c>
      <c r="I229">
        <v>16</v>
      </c>
      <c r="J229">
        <v>5</v>
      </c>
      <c r="K229">
        <v>4</v>
      </c>
      <c r="L229">
        <v>1</v>
      </c>
      <c r="M229">
        <v>1</v>
      </c>
      <c r="N229" t="s">
        <v>31</v>
      </c>
      <c r="O229" t="s">
        <v>32</v>
      </c>
      <c r="P229">
        <v>3</v>
      </c>
      <c r="Q229">
        <v>14</v>
      </c>
      <c r="R229">
        <v>3</v>
      </c>
      <c r="S229" t="s">
        <v>31</v>
      </c>
      <c r="T229">
        <v>8</v>
      </c>
      <c r="U229" t="s">
        <v>31</v>
      </c>
      <c r="V229" s="1">
        <v>42049</v>
      </c>
    </row>
    <row r="230" spans="1:23" x14ac:dyDescent="0.35">
      <c r="A230" t="s">
        <v>286</v>
      </c>
      <c r="B230">
        <v>32</v>
      </c>
      <c r="C230" t="s">
        <v>27</v>
      </c>
      <c r="D230" t="s">
        <v>28</v>
      </c>
      <c r="E230" t="s">
        <v>66</v>
      </c>
      <c r="F230" t="s">
        <v>78</v>
      </c>
      <c r="G230">
        <v>84339</v>
      </c>
      <c r="H230">
        <v>7</v>
      </c>
      <c r="I230">
        <v>8</v>
      </c>
      <c r="J230">
        <v>3</v>
      </c>
      <c r="K230">
        <v>1</v>
      </c>
      <c r="L230">
        <v>2</v>
      </c>
      <c r="M230">
        <v>4</v>
      </c>
      <c r="N230" t="s">
        <v>31</v>
      </c>
      <c r="O230" t="s">
        <v>32</v>
      </c>
      <c r="P230">
        <v>24</v>
      </c>
      <c r="Q230">
        <v>32</v>
      </c>
      <c r="R230">
        <v>3</v>
      </c>
      <c r="S230" t="s">
        <v>33</v>
      </c>
      <c r="T230">
        <v>5</v>
      </c>
      <c r="U230" t="s">
        <v>31</v>
      </c>
      <c r="V230" s="1">
        <v>41696</v>
      </c>
    </row>
    <row r="231" spans="1:23" x14ac:dyDescent="0.35">
      <c r="A231" t="s">
        <v>287</v>
      </c>
      <c r="B231">
        <v>38</v>
      </c>
      <c r="C231" t="s">
        <v>27</v>
      </c>
      <c r="D231" t="s">
        <v>35</v>
      </c>
      <c r="E231" t="s">
        <v>36</v>
      </c>
      <c r="F231" t="s">
        <v>30</v>
      </c>
      <c r="G231">
        <v>122446</v>
      </c>
      <c r="H231">
        <v>11</v>
      </c>
      <c r="I231">
        <v>15</v>
      </c>
      <c r="J231">
        <v>5</v>
      </c>
      <c r="K231">
        <v>2</v>
      </c>
      <c r="L231">
        <v>3</v>
      </c>
      <c r="M231">
        <v>2</v>
      </c>
      <c r="N231" t="s">
        <v>33</v>
      </c>
      <c r="O231" t="s">
        <v>32</v>
      </c>
      <c r="P231">
        <v>5</v>
      </c>
      <c r="Q231">
        <v>28</v>
      </c>
      <c r="R231">
        <v>2</v>
      </c>
      <c r="S231" t="s">
        <v>31</v>
      </c>
      <c r="T231">
        <v>1</v>
      </c>
      <c r="U231" t="s">
        <v>33</v>
      </c>
      <c r="V231" s="1">
        <v>43172</v>
      </c>
      <c r="W231" s="1">
        <v>43632</v>
      </c>
    </row>
    <row r="232" spans="1:23" x14ac:dyDescent="0.35">
      <c r="A232" t="s">
        <v>288</v>
      </c>
      <c r="B232">
        <v>25</v>
      </c>
      <c r="C232" t="s">
        <v>44</v>
      </c>
      <c r="D232" t="s">
        <v>52</v>
      </c>
      <c r="E232" t="s">
        <v>53</v>
      </c>
      <c r="F232" t="s">
        <v>37</v>
      </c>
      <c r="G232">
        <v>44586</v>
      </c>
      <c r="H232">
        <v>1</v>
      </c>
      <c r="I232">
        <v>2</v>
      </c>
      <c r="J232">
        <v>1</v>
      </c>
      <c r="K232">
        <v>2</v>
      </c>
      <c r="L232">
        <v>4</v>
      </c>
      <c r="M232">
        <v>3</v>
      </c>
      <c r="N232" t="s">
        <v>31</v>
      </c>
      <c r="O232" t="s">
        <v>47</v>
      </c>
      <c r="P232">
        <v>22</v>
      </c>
      <c r="Q232">
        <v>49</v>
      </c>
      <c r="R232">
        <v>2</v>
      </c>
      <c r="S232" t="s">
        <v>31</v>
      </c>
      <c r="T232">
        <v>8</v>
      </c>
      <c r="U232" t="s">
        <v>33</v>
      </c>
      <c r="V232" s="1">
        <v>41822</v>
      </c>
      <c r="W232" s="1">
        <v>42136</v>
      </c>
    </row>
    <row r="233" spans="1:23" x14ac:dyDescent="0.35">
      <c r="A233" t="s">
        <v>289</v>
      </c>
      <c r="B233">
        <v>27</v>
      </c>
      <c r="C233" t="s">
        <v>44</v>
      </c>
      <c r="D233" t="s">
        <v>35</v>
      </c>
      <c r="E233" t="s">
        <v>36</v>
      </c>
      <c r="F233" t="s">
        <v>61</v>
      </c>
      <c r="G233">
        <v>59454</v>
      </c>
      <c r="H233">
        <v>2</v>
      </c>
      <c r="I233">
        <v>5</v>
      </c>
      <c r="J233">
        <v>2</v>
      </c>
      <c r="K233">
        <v>3</v>
      </c>
      <c r="L233">
        <v>2</v>
      </c>
      <c r="M233">
        <v>2</v>
      </c>
      <c r="N233" t="s">
        <v>33</v>
      </c>
      <c r="O233" t="s">
        <v>32</v>
      </c>
      <c r="P233">
        <v>19</v>
      </c>
      <c r="Q233">
        <v>35</v>
      </c>
      <c r="R233">
        <v>2</v>
      </c>
      <c r="S233" t="s">
        <v>31</v>
      </c>
      <c r="T233">
        <v>5</v>
      </c>
      <c r="U233" t="s">
        <v>31</v>
      </c>
      <c r="V233" s="1">
        <v>42553</v>
      </c>
    </row>
    <row r="234" spans="1:23" x14ac:dyDescent="0.35">
      <c r="A234" t="s">
        <v>290</v>
      </c>
      <c r="B234">
        <v>22</v>
      </c>
      <c r="C234" t="s">
        <v>44</v>
      </c>
      <c r="D234" t="s">
        <v>45</v>
      </c>
      <c r="E234" t="s">
        <v>63</v>
      </c>
      <c r="F234" t="s">
        <v>37</v>
      </c>
      <c r="G234">
        <v>58380</v>
      </c>
      <c r="H234">
        <v>0</v>
      </c>
      <c r="I234">
        <v>1</v>
      </c>
      <c r="J234">
        <v>2</v>
      </c>
      <c r="K234">
        <v>4</v>
      </c>
      <c r="L234">
        <v>3</v>
      </c>
      <c r="M234">
        <v>3</v>
      </c>
      <c r="N234" t="s">
        <v>33</v>
      </c>
      <c r="O234" t="s">
        <v>32</v>
      </c>
      <c r="P234">
        <v>23</v>
      </c>
      <c r="Q234">
        <v>50</v>
      </c>
      <c r="R234">
        <v>4</v>
      </c>
      <c r="S234" t="s">
        <v>31</v>
      </c>
      <c r="T234">
        <v>11</v>
      </c>
      <c r="U234" t="s">
        <v>31</v>
      </c>
      <c r="V234" s="1">
        <v>42300</v>
      </c>
    </row>
    <row r="235" spans="1:23" x14ac:dyDescent="0.35">
      <c r="A235" t="s">
        <v>291</v>
      </c>
      <c r="B235">
        <v>52</v>
      </c>
      <c r="C235" t="s">
        <v>27</v>
      </c>
      <c r="D235" t="s">
        <v>52</v>
      </c>
      <c r="E235" t="s">
        <v>55</v>
      </c>
      <c r="F235" t="s">
        <v>41</v>
      </c>
      <c r="G235">
        <v>138669</v>
      </c>
      <c r="H235">
        <v>17</v>
      </c>
      <c r="I235">
        <v>29</v>
      </c>
      <c r="J235">
        <v>5</v>
      </c>
      <c r="K235">
        <v>2</v>
      </c>
      <c r="L235">
        <v>2</v>
      </c>
      <c r="M235">
        <v>3</v>
      </c>
      <c r="N235" t="s">
        <v>31</v>
      </c>
      <c r="O235" t="s">
        <v>42</v>
      </c>
      <c r="P235">
        <v>23</v>
      </c>
      <c r="Q235">
        <v>17</v>
      </c>
      <c r="R235">
        <v>2</v>
      </c>
      <c r="S235" t="s">
        <v>33</v>
      </c>
      <c r="T235">
        <v>8</v>
      </c>
      <c r="U235" t="s">
        <v>31</v>
      </c>
      <c r="V235" s="1">
        <v>43290</v>
      </c>
    </row>
    <row r="236" spans="1:23" x14ac:dyDescent="0.35">
      <c r="A236" t="s">
        <v>292</v>
      </c>
      <c r="B236">
        <v>50</v>
      </c>
      <c r="C236" t="s">
        <v>27</v>
      </c>
      <c r="D236" t="s">
        <v>45</v>
      </c>
      <c r="E236" t="s">
        <v>46</v>
      </c>
      <c r="F236" t="s">
        <v>78</v>
      </c>
      <c r="G236">
        <v>147061</v>
      </c>
      <c r="H236">
        <v>24</v>
      </c>
      <c r="I236">
        <v>27</v>
      </c>
      <c r="J236">
        <v>5</v>
      </c>
      <c r="K236">
        <v>4</v>
      </c>
      <c r="L236">
        <v>3</v>
      </c>
      <c r="M236">
        <v>2</v>
      </c>
      <c r="N236" t="s">
        <v>31</v>
      </c>
      <c r="O236" t="s">
        <v>42</v>
      </c>
      <c r="P236">
        <v>29</v>
      </c>
      <c r="Q236">
        <v>29</v>
      </c>
      <c r="R236">
        <v>3</v>
      </c>
      <c r="S236" t="s">
        <v>31</v>
      </c>
      <c r="T236">
        <v>6</v>
      </c>
      <c r="U236" t="s">
        <v>31</v>
      </c>
      <c r="V236" s="1">
        <v>41505</v>
      </c>
    </row>
    <row r="237" spans="1:23" x14ac:dyDescent="0.35">
      <c r="A237" t="s">
        <v>293</v>
      </c>
      <c r="B237">
        <v>55</v>
      </c>
      <c r="C237" t="s">
        <v>44</v>
      </c>
      <c r="D237" t="s">
        <v>35</v>
      </c>
      <c r="E237" t="s">
        <v>36</v>
      </c>
      <c r="F237" t="s">
        <v>61</v>
      </c>
      <c r="G237">
        <v>81591</v>
      </c>
      <c r="H237">
        <v>4</v>
      </c>
      <c r="I237">
        <v>34</v>
      </c>
      <c r="J237">
        <v>3</v>
      </c>
      <c r="K237">
        <v>4</v>
      </c>
      <c r="L237">
        <v>3</v>
      </c>
      <c r="M237">
        <v>1</v>
      </c>
      <c r="N237" t="s">
        <v>31</v>
      </c>
      <c r="O237" t="s">
        <v>42</v>
      </c>
      <c r="P237">
        <v>2</v>
      </c>
      <c r="Q237">
        <v>18</v>
      </c>
      <c r="R237">
        <v>3</v>
      </c>
      <c r="S237" t="s">
        <v>31</v>
      </c>
      <c r="T237">
        <v>8</v>
      </c>
      <c r="U237" t="s">
        <v>31</v>
      </c>
      <c r="V237" s="1">
        <v>44240</v>
      </c>
    </row>
    <row r="238" spans="1:23" x14ac:dyDescent="0.35">
      <c r="A238" t="s">
        <v>294</v>
      </c>
      <c r="B238">
        <v>39</v>
      </c>
      <c r="C238" t="s">
        <v>27</v>
      </c>
      <c r="D238" t="s">
        <v>49</v>
      </c>
      <c r="E238" t="s">
        <v>68</v>
      </c>
      <c r="F238" t="s">
        <v>61</v>
      </c>
      <c r="G238">
        <v>103510</v>
      </c>
      <c r="H238">
        <v>9</v>
      </c>
      <c r="I238">
        <v>15</v>
      </c>
      <c r="J238">
        <v>4</v>
      </c>
      <c r="K238">
        <v>4</v>
      </c>
      <c r="L238">
        <v>4</v>
      </c>
      <c r="M238">
        <v>2</v>
      </c>
      <c r="N238" t="s">
        <v>33</v>
      </c>
      <c r="O238" t="s">
        <v>42</v>
      </c>
      <c r="P238">
        <v>24</v>
      </c>
      <c r="Q238">
        <v>58</v>
      </c>
      <c r="R238">
        <v>2</v>
      </c>
      <c r="S238" t="s">
        <v>31</v>
      </c>
      <c r="T238">
        <v>7</v>
      </c>
      <c r="U238" t="s">
        <v>31</v>
      </c>
      <c r="V238" s="1">
        <v>41734</v>
      </c>
    </row>
    <row r="239" spans="1:23" x14ac:dyDescent="0.35">
      <c r="A239" t="s">
        <v>295</v>
      </c>
      <c r="B239">
        <v>25</v>
      </c>
      <c r="C239" t="s">
        <v>44</v>
      </c>
      <c r="D239" t="s">
        <v>39</v>
      </c>
      <c r="E239" t="s">
        <v>59</v>
      </c>
      <c r="F239" t="s">
        <v>56</v>
      </c>
      <c r="G239">
        <v>44187</v>
      </c>
      <c r="H239">
        <v>1</v>
      </c>
      <c r="I239">
        <v>3</v>
      </c>
      <c r="J239">
        <v>1</v>
      </c>
      <c r="K239">
        <v>2</v>
      </c>
      <c r="L239">
        <v>1</v>
      </c>
      <c r="M239">
        <v>4</v>
      </c>
      <c r="N239" t="s">
        <v>33</v>
      </c>
      <c r="O239" t="s">
        <v>32</v>
      </c>
      <c r="P239">
        <v>9</v>
      </c>
      <c r="Q239">
        <v>56</v>
      </c>
      <c r="R239">
        <v>4</v>
      </c>
      <c r="S239" t="s">
        <v>31</v>
      </c>
      <c r="T239">
        <v>5</v>
      </c>
      <c r="U239" t="s">
        <v>31</v>
      </c>
      <c r="V239" s="1">
        <v>41149</v>
      </c>
    </row>
    <row r="240" spans="1:23" x14ac:dyDescent="0.35">
      <c r="A240" t="s">
        <v>296</v>
      </c>
      <c r="B240">
        <v>45</v>
      </c>
      <c r="C240" t="s">
        <v>27</v>
      </c>
      <c r="D240" t="s">
        <v>49</v>
      </c>
      <c r="E240" t="s">
        <v>68</v>
      </c>
      <c r="F240" t="s">
        <v>61</v>
      </c>
      <c r="G240">
        <v>62429</v>
      </c>
      <c r="H240">
        <v>2</v>
      </c>
      <c r="I240">
        <v>22</v>
      </c>
      <c r="J240">
        <v>2</v>
      </c>
      <c r="K240">
        <v>1</v>
      </c>
      <c r="L240">
        <v>2</v>
      </c>
      <c r="M240">
        <v>3</v>
      </c>
      <c r="N240" t="s">
        <v>31</v>
      </c>
      <c r="O240" t="s">
        <v>32</v>
      </c>
      <c r="P240">
        <v>2</v>
      </c>
      <c r="Q240">
        <v>10</v>
      </c>
      <c r="R240">
        <v>4</v>
      </c>
      <c r="S240" t="s">
        <v>31</v>
      </c>
      <c r="T240">
        <v>3</v>
      </c>
      <c r="U240" t="s">
        <v>31</v>
      </c>
      <c r="V240" s="1">
        <v>42139</v>
      </c>
    </row>
    <row r="241" spans="1:23" x14ac:dyDescent="0.35">
      <c r="A241" t="s">
        <v>297</v>
      </c>
      <c r="B241">
        <v>43</v>
      </c>
      <c r="C241" t="s">
        <v>44</v>
      </c>
      <c r="D241" t="s">
        <v>49</v>
      </c>
      <c r="E241" t="s">
        <v>50</v>
      </c>
      <c r="F241" t="s">
        <v>41</v>
      </c>
      <c r="G241">
        <v>57916</v>
      </c>
      <c r="H241">
        <v>2</v>
      </c>
      <c r="I241">
        <v>21</v>
      </c>
      <c r="J241">
        <v>2</v>
      </c>
      <c r="K241">
        <v>1</v>
      </c>
      <c r="L241">
        <v>4</v>
      </c>
      <c r="M241">
        <v>1</v>
      </c>
      <c r="N241" t="s">
        <v>33</v>
      </c>
      <c r="O241" t="s">
        <v>47</v>
      </c>
      <c r="P241">
        <v>27</v>
      </c>
      <c r="Q241">
        <v>30</v>
      </c>
      <c r="R241">
        <v>3</v>
      </c>
      <c r="S241" t="s">
        <v>31</v>
      </c>
      <c r="T241">
        <v>3</v>
      </c>
      <c r="U241" t="s">
        <v>31</v>
      </c>
      <c r="V241" s="1">
        <v>45069</v>
      </c>
    </row>
    <row r="242" spans="1:23" x14ac:dyDescent="0.35">
      <c r="A242" t="s">
        <v>298</v>
      </c>
      <c r="B242">
        <v>57</v>
      </c>
      <c r="C242" t="s">
        <v>44</v>
      </c>
      <c r="D242" t="s">
        <v>49</v>
      </c>
      <c r="E242" t="s">
        <v>50</v>
      </c>
      <c r="F242" t="s">
        <v>61</v>
      </c>
      <c r="G242">
        <v>145011</v>
      </c>
      <c r="H242">
        <v>22</v>
      </c>
      <c r="I242">
        <v>34</v>
      </c>
      <c r="J242">
        <v>5</v>
      </c>
      <c r="K242">
        <v>1</v>
      </c>
      <c r="L242">
        <v>3</v>
      </c>
      <c r="M242">
        <v>4</v>
      </c>
      <c r="N242" t="s">
        <v>31</v>
      </c>
      <c r="O242" t="s">
        <v>32</v>
      </c>
      <c r="P242">
        <v>14</v>
      </c>
      <c r="Q242">
        <v>25</v>
      </c>
      <c r="R242">
        <v>3</v>
      </c>
      <c r="S242" t="s">
        <v>31</v>
      </c>
      <c r="T242">
        <v>7</v>
      </c>
      <c r="U242" t="s">
        <v>31</v>
      </c>
      <c r="V242" s="1">
        <v>42130</v>
      </c>
    </row>
    <row r="243" spans="1:23" x14ac:dyDescent="0.35">
      <c r="A243" t="s">
        <v>299</v>
      </c>
      <c r="B243">
        <v>40</v>
      </c>
      <c r="C243" t="s">
        <v>27</v>
      </c>
      <c r="D243" t="s">
        <v>28</v>
      </c>
      <c r="E243" t="s">
        <v>29</v>
      </c>
      <c r="F243" t="s">
        <v>30</v>
      </c>
      <c r="G243">
        <v>80067</v>
      </c>
      <c r="H243">
        <v>6</v>
      </c>
      <c r="I243">
        <v>19</v>
      </c>
      <c r="J243">
        <v>3</v>
      </c>
      <c r="K243">
        <v>3</v>
      </c>
      <c r="L243">
        <v>2</v>
      </c>
      <c r="M243">
        <v>1</v>
      </c>
      <c r="N243" t="s">
        <v>33</v>
      </c>
      <c r="O243" t="s">
        <v>32</v>
      </c>
      <c r="P243">
        <v>25</v>
      </c>
      <c r="Q243">
        <v>14</v>
      </c>
      <c r="R243">
        <v>2</v>
      </c>
      <c r="S243" t="s">
        <v>31</v>
      </c>
      <c r="T243">
        <v>6</v>
      </c>
      <c r="U243" t="s">
        <v>31</v>
      </c>
      <c r="V243" s="1">
        <v>41454</v>
      </c>
    </row>
    <row r="244" spans="1:23" x14ac:dyDescent="0.35">
      <c r="A244" t="s">
        <v>300</v>
      </c>
      <c r="B244">
        <v>54</v>
      </c>
      <c r="C244" t="s">
        <v>44</v>
      </c>
      <c r="D244" t="s">
        <v>49</v>
      </c>
      <c r="E244" t="s">
        <v>68</v>
      </c>
      <c r="F244" t="s">
        <v>30</v>
      </c>
      <c r="G244">
        <v>86168</v>
      </c>
      <c r="H244">
        <v>6</v>
      </c>
      <c r="I244">
        <v>31</v>
      </c>
      <c r="J244">
        <v>3</v>
      </c>
      <c r="K244">
        <v>1</v>
      </c>
      <c r="L244">
        <v>2</v>
      </c>
      <c r="M244">
        <v>4</v>
      </c>
      <c r="N244" t="s">
        <v>31</v>
      </c>
      <c r="O244" t="s">
        <v>32</v>
      </c>
      <c r="P244">
        <v>2</v>
      </c>
      <c r="Q244">
        <v>39</v>
      </c>
      <c r="R244">
        <v>3</v>
      </c>
      <c r="S244" t="s">
        <v>33</v>
      </c>
      <c r="T244">
        <v>3</v>
      </c>
      <c r="U244" t="s">
        <v>31</v>
      </c>
      <c r="V244" s="1">
        <v>45060</v>
      </c>
    </row>
    <row r="245" spans="1:23" x14ac:dyDescent="0.35">
      <c r="A245" t="s">
        <v>301</v>
      </c>
      <c r="B245">
        <v>37</v>
      </c>
      <c r="C245" t="s">
        <v>44</v>
      </c>
      <c r="D245" t="s">
        <v>45</v>
      </c>
      <c r="E245" t="s">
        <v>46</v>
      </c>
      <c r="F245" t="s">
        <v>41</v>
      </c>
      <c r="G245">
        <v>127593</v>
      </c>
      <c r="H245">
        <v>13</v>
      </c>
      <c r="I245">
        <v>16</v>
      </c>
      <c r="J245">
        <v>5</v>
      </c>
      <c r="K245">
        <v>2</v>
      </c>
      <c r="L245">
        <v>2</v>
      </c>
      <c r="M245">
        <v>3</v>
      </c>
      <c r="N245" t="s">
        <v>31</v>
      </c>
      <c r="O245" t="s">
        <v>32</v>
      </c>
      <c r="P245">
        <v>23</v>
      </c>
      <c r="Q245">
        <v>31</v>
      </c>
      <c r="R245">
        <v>2</v>
      </c>
      <c r="S245" t="s">
        <v>31</v>
      </c>
      <c r="T245">
        <v>5</v>
      </c>
      <c r="U245" t="s">
        <v>31</v>
      </c>
      <c r="V245" s="1">
        <v>43185</v>
      </c>
    </row>
    <row r="246" spans="1:23" x14ac:dyDescent="0.35">
      <c r="A246" t="s">
        <v>302</v>
      </c>
      <c r="B246">
        <v>23</v>
      </c>
      <c r="C246" t="s">
        <v>27</v>
      </c>
      <c r="D246" t="s">
        <v>52</v>
      </c>
      <c r="E246" t="s">
        <v>55</v>
      </c>
      <c r="F246" t="s">
        <v>61</v>
      </c>
      <c r="G246">
        <v>41212</v>
      </c>
      <c r="H246">
        <v>0</v>
      </c>
      <c r="I246">
        <v>1</v>
      </c>
      <c r="J246">
        <v>1</v>
      </c>
      <c r="K246">
        <v>2</v>
      </c>
      <c r="L246">
        <v>4</v>
      </c>
      <c r="M246">
        <v>2</v>
      </c>
      <c r="N246" t="s">
        <v>31</v>
      </c>
      <c r="O246" t="s">
        <v>32</v>
      </c>
      <c r="P246">
        <v>23</v>
      </c>
      <c r="Q246">
        <v>38</v>
      </c>
      <c r="R246">
        <v>3</v>
      </c>
      <c r="S246" t="s">
        <v>31</v>
      </c>
      <c r="T246">
        <v>5</v>
      </c>
      <c r="U246" t="s">
        <v>31</v>
      </c>
      <c r="V246" s="1">
        <v>44413</v>
      </c>
    </row>
    <row r="247" spans="1:23" x14ac:dyDescent="0.35">
      <c r="A247" t="s">
        <v>303</v>
      </c>
      <c r="B247">
        <v>50</v>
      </c>
      <c r="C247" t="s">
        <v>27</v>
      </c>
      <c r="D247" t="s">
        <v>39</v>
      </c>
      <c r="E247" t="s">
        <v>40</v>
      </c>
      <c r="F247" t="s">
        <v>41</v>
      </c>
      <c r="G247">
        <v>149250</v>
      </c>
      <c r="H247">
        <v>23</v>
      </c>
      <c r="I247">
        <v>26</v>
      </c>
      <c r="J247">
        <v>5</v>
      </c>
      <c r="K247">
        <v>4</v>
      </c>
      <c r="L247">
        <v>1</v>
      </c>
      <c r="M247">
        <v>1</v>
      </c>
      <c r="N247" t="s">
        <v>31</v>
      </c>
      <c r="O247" t="s">
        <v>32</v>
      </c>
      <c r="P247">
        <v>19</v>
      </c>
      <c r="Q247">
        <v>35</v>
      </c>
      <c r="R247">
        <v>3</v>
      </c>
      <c r="S247" t="s">
        <v>33</v>
      </c>
      <c r="T247">
        <v>7</v>
      </c>
      <c r="U247" t="s">
        <v>31</v>
      </c>
      <c r="V247" s="1">
        <v>45181</v>
      </c>
    </row>
    <row r="248" spans="1:23" x14ac:dyDescent="0.35">
      <c r="A248" t="s">
        <v>304</v>
      </c>
      <c r="B248">
        <v>24</v>
      </c>
      <c r="C248" t="s">
        <v>27</v>
      </c>
      <c r="D248" t="s">
        <v>39</v>
      </c>
      <c r="E248" t="s">
        <v>40</v>
      </c>
      <c r="F248" t="s">
        <v>41</v>
      </c>
      <c r="G248">
        <v>57894</v>
      </c>
      <c r="H248">
        <v>0</v>
      </c>
      <c r="I248">
        <v>1</v>
      </c>
      <c r="J248">
        <v>2</v>
      </c>
      <c r="K248">
        <v>2</v>
      </c>
      <c r="L248">
        <v>2</v>
      </c>
      <c r="M248">
        <v>4</v>
      </c>
      <c r="N248" t="s">
        <v>31</v>
      </c>
      <c r="O248" t="s">
        <v>32</v>
      </c>
      <c r="P248">
        <v>17</v>
      </c>
      <c r="Q248">
        <v>34</v>
      </c>
      <c r="R248">
        <v>3</v>
      </c>
      <c r="S248" t="s">
        <v>31</v>
      </c>
      <c r="T248">
        <v>6</v>
      </c>
      <c r="U248" t="s">
        <v>31</v>
      </c>
      <c r="V248" s="1">
        <v>43622</v>
      </c>
    </row>
    <row r="249" spans="1:23" x14ac:dyDescent="0.35">
      <c r="A249" t="s">
        <v>305</v>
      </c>
      <c r="B249">
        <v>47</v>
      </c>
      <c r="C249" t="s">
        <v>44</v>
      </c>
      <c r="D249" t="s">
        <v>35</v>
      </c>
      <c r="E249" t="s">
        <v>85</v>
      </c>
      <c r="F249" t="s">
        <v>61</v>
      </c>
      <c r="G249">
        <v>138010</v>
      </c>
      <c r="H249">
        <v>19</v>
      </c>
      <c r="I249">
        <v>26</v>
      </c>
      <c r="J249">
        <v>5</v>
      </c>
      <c r="K249">
        <v>4</v>
      </c>
      <c r="L249">
        <v>4</v>
      </c>
      <c r="M249">
        <v>1</v>
      </c>
      <c r="N249" t="s">
        <v>31</v>
      </c>
      <c r="O249" t="s">
        <v>42</v>
      </c>
      <c r="P249">
        <v>17</v>
      </c>
      <c r="Q249">
        <v>21</v>
      </c>
      <c r="R249">
        <v>3</v>
      </c>
      <c r="S249" t="s">
        <v>33</v>
      </c>
      <c r="T249">
        <v>6</v>
      </c>
      <c r="U249" t="s">
        <v>31</v>
      </c>
      <c r="V249" s="1">
        <v>42011</v>
      </c>
    </row>
    <row r="250" spans="1:23" x14ac:dyDescent="0.35">
      <c r="A250" t="s">
        <v>306</v>
      </c>
      <c r="B250">
        <v>34</v>
      </c>
      <c r="C250" t="s">
        <v>44</v>
      </c>
      <c r="D250" t="s">
        <v>45</v>
      </c>
      <c r="E250" t="s">
        <v>63</v>
      </c>
      <c r="F250" t="s">
        <v>41</v>
      </c>
      <c r="G250">
        <v>78818</v>
      </c>
      <c r="H250">
        <v>3</v>
      </c>
      <c r="I250">
        <v>12</v>
      </c>
      <c r="J250">
        <v>3</v>
      </c>
      <c r="K250">
        <v>2</v>
      </c>
      <c r="L250">
        <v>3</v>
      </c>
      <c r="M250">
        <v>3</v>
      </c>
      <c r="N250" t="s">
        <v>31</v>
      </c>
      <c r="O250" t="s">
        <v>47</v>
      </c>
      <c r="P250">
        <v>16</v>
      </c>
      <c r="Q250">
        <v>28</v>
      </c>
      <c r="R250">
        <v>3</v>
      </c>
      <c r="S250" t="s">
        <v>31</v>
      </c>
      <c r="T250">
        <v>4</v>
      </c>
      <c r="U250" t="s">
        <v>31</v>
      </c>
      <c r="V250" s="1">
        <v>45127</v>
      </c>
    </row>
    <row r="251" spans="1:23" x14ac:dyDescent="0.35">
      <c r="A251" t="s">
        <v>307</v>
      </c>
      <c r="B251">
        <v>51</v>
      </c>
      <c r="C251" t="s">
        <v>27</v>
      </c>
      <c r="D251" t="s">
        <v>49</v>
      </c>
      <c r="E251" t="s">
        <v>68</v>
      </c>
      <c r="F251" t="s">
        <v>41</v>
      </c>
      <c r="G251">
        <v>143500</v>
      </c>
      <c r="H251">
        <v>20</v>
      </c>
      <c r="I251">
        <v>28</v>
      </c>
      <c r="J251">
        <v>5</v>
      </c>
      <c r="K251">
        <v>4</v>
      </c>
      <c r="L251">
        <v>3</v>
      </c>
      <c r="M251">
        <v>3</v>
      </c>
      <c r="N251" t="s">
        <v>33</v>
      </c>
      <c r="O251" t="s">
        <v>42</v>
      </c>
      <c r="P251">
        <v>5</v>
      </c>
      <c r="Q251">
        <v>32</v>
      </c>
      <c r="R251">
        <v>3</v>
      </c>
      <c r="S251" t="s">
        <v>33</v>
      </c>
      <c r="T251">
        <v>2</v>
      </c>
      <c r="U251" t="s">
        <v>31</v>
      </c>
      <c r="V251" s="1">
        <v>42081</v>
      </c>
    </row>
    <row r="252" spans="1:23" x14ac:dyDescent="0.35">
      <c r="A252" t="s">
        <v>308</v>
      </c>
      <c r="B252">
        <v>32</v>
      </c>
      <c r="C252" t="s">
        <v>44</v>
      </c>
      <c r="D252" t="s">
        <v>39</v>
      </c>
      <c r="E252" t="s">
        <v>74</v>
      </c>
      <c r="F252" t="s">
        <v>37</v>
      </c>
      <c r="G252">
        <v>96825</v>
      </c>
      <c r="H252">
        <v>6</v>
      </c>
      <c r="I252">
        <v>9</v>
      </c>
      <c r="J252">
        <v>4</v>
      </c>
      <c r="K252">
        <v>4</v>
      </c>
      <c r="L252">
        <v>2</v>
      </c>
      <c r="M252">
        <v>4</v>
      </c>
      <c r="N252" t="s">
        <v>31</v>
      </c>
      <c r="O252" t="s">
        <v>42</v>
      </c>
      <c r="P252">
        <v>17</v>
      </c>
      <c r="Q252">
        <v>26</v>
      </c>
      <c r="R252">
        <v>2</v>
      </c>
      <c r="S252" t="s">
        <v>33</v>
      </c>
      <c r="T252">
        <v>3</v>
      </c>
      <c r="U252" t="s">
        <v>31</v>
      </c>
      <c r="V252" s="1">
        <v>45218</v>
      </c>
    </row>
    <row r="253" spans="1:23" x14ac:dyDescent="0.35">
      <c r="A253" t="s">
        <v>309</v>
      </c>
      <c r="B253">
        <v>25</v>
      </c>
      <c r="C253" t="s">
        <v>44</v>
      </c>
      <c r="D253" t="s">
        <v>49</v>
      </c>
      <c r="E253" t="s">
        <v>68</v>
      </c>
      <c r="F253" t="s">
        <v>41</v>
      </c>
      <c r="G253">
        <v>54773</v>
      </c>
      <c r="H253">
        <v>1</v>
      </c>
      <c r="I253">
        <v>4</v>
      </c>
      <c r="J253">
        <v>2</v>
      </c>
      <c r="K253">
        <v>4</v>
      </c>
      <c r="L253">
        <v>1</v>
      </c>
      <c r="M253">
        <v>3</v>
      </c>
      <c r="N253" t="s">
        <v>33</v>
      </c>
      <c r="O253" t="s">
        <v>32</v>
      </c>
      <c r="P253">
        <v>2</v>
      </c>
      <c r="Q253">
        <v>17</v>
      </c>
      <c r="R253">
        <v>3</v>
      </c>
      <c r="S253" t="s">
        <v>31</v>
      </c>
      <c r="T253">
        <v>4</v>
      </c>
      <c r="U253" t="s">
        <v>31</v>
      </c>
      <c r="V253" s="1">
        <v>41782</v>
      </c>
    </row>
    <row r="254" spans="1:23" x14ac:dyDescent="0.35">
      <c r="A254" t="s">
        <v>310</v>
      </c>
      <c r="B254">
        <v>33</v>
      </c>
      <c r="C254" t="s">
        <v>27</v>
      </c>
      <c r="D254" t="s">
        <v>45</v>
      </c>
      <c r="E254" t="s">
        <v>63</v>
      </c>
      <c r="F254" t="s">
        <v>78</v>
      </c>
      <c r="G254">
        <v>76329</v>
      </c>
      <c r="H254">
        <v>4</v>
      </c>
      <c r="I254">
        <v>11</v>
      </c>
      <c r="J254">
        <v>3</v>
      </c>
      <c r="K254">
        <v>2</v>
      </c>
      <c r="L254">
        <v>3</v>
      </c>
      <c r="M254">
        <v>4</v>
      </c>
      <c r="N254" t="s">
        <v>31</v>
      </c>
      <c r="O254" t="s">
        <v>32</v>
      </c>
      <c r="P254">
        <v>6</v>
      </c>
      <c r="Q254">
        <v>47</v>
      </c>
      <c r="R254">
        <v>4</v>
      </c>
      <c r="S254" t="s">
        <v>31</v>
      </c>
      <c r="T254">
        <v>2</v>
      </c>
      <c r="U254" t="s">
        <v>33</v>
      </c>
      <c r="V254" s="1">
        <v>41286</v>
      </c>
      <c r="W254" s="1">
        <v>41775</v>
      </c>
    </row>
    <row r="255" spans="1:23" x14ac:dyDescent="0.35">
      <c r="A255" t="s">
        <v>311</v>
      </c>
      <c r="B255">
        <v>38</v>
      </c>
      <c r="C255" t="s">
        <v>44</v>
      </c>
      <c r="D255" t="s">
        <v>45</v>
      </c>
      <c r="E255" t="s">
        <v>63</v>
      </c>
      <c r="F255" t="s">
        <v>37</v>
      </c>
      <c r="G255">
        <v>86367</v>
      </c>
      <c r="H255">
        <v>7</v>
      </c>
      <c r="I255">
        <v>16</v>
      </c>
      <c r="J255">
        <v>3</v>
      </c>
      <c r="K255">
        <v>2</v>
      </c>
      <c r="L255">
        <v>1</v>
      </c>
      <c r="M255">
        <v>1</v>
      </c>
      <c r="N255" t="s">
        <v>31</v>
      </c>
      <c r="O255" t="s">
        <v>32</v>
      </c>
      <c r="P255">
        <v>24</v>
      </c>
      <c r="Q255">
        <v>37</v>
      </c>
      <c r="R255">
        <v>3</v>
      </c>
      <c r="S255" t="s">
        <v>31</v>
      </c>
      <c r="T255">
        <v>5</v>
      </c>
      <c r="U255" t="s">
        <v>31</v>
      </c>
      <c r="V255" s="1">
        <v>43747</v>
      </c>
    </row>
    <row r="256" spans="1:23" x14ac:dyDescent="0.35">
      <c r="A256" t="s">
        <v>312</v>
      </c>
      <c r="B256">
        <v>55</v>
      </c>
      <c r="C256" t="s">
        <v>27</v>
      </c>
      <c r="D256" t="s">
        <v>45</v>
      </c>
      <c r="E256" t="s">
        <v>46</v>
      </c>
      <c r="F256" t="s">
        <v>78</v>
      </c>
      <c r="G256">
        <v>98384</v>
      </c>
      <c r="H256">
        <v>6</v>
      </c>
      <c r="I256">
        <v>32</v>
      </c>
      <c r="J256">
        <v>4</v>
      </c>
      <c r="K256">
        <v>1</v>
      </c>
      <c r="L256">
        <v>2</v>
      </c>
      <c r="M256">
        <v>2</v>
      </c>
      <c r="N256" t="s">
        <v>31</v>
      </c>
      <c r="O256" t="s">
        <v>32</v>
      </c>
      <c r="P256">
        <v>19</v>
      </c>
      <c r="Q256">
        <v>59</v>
      </c>
      <c r="R256">
        <v>2</v>
      </c>
      <c r="S256" t="s">
        <v>31</v>
      </c>
      <c r="T256">
        <v>8</v>
      </c>
      <c r="U256" t="s">
        <v>31</v>
      </c>
      <c r="V256" s="1">
        <v>44788</v>
      </c>
    </row>
    <row r="257" spans="1:23" x14ac:dyDescent="0.35">
      <c r="A257" t="s">
        <v>313</v>
      </c>
      <c r="B257">
        <v>46</v>
      </c>
      <c r="C257" t="s">
        <v>27</v>
      </c>
      <c r="D257" t="s">
        <v>49</v>
      </c>
      <c r="E257" t="s">
        <v>68</v>
      </c>
      <c r="F257" t="s">
        <v>78</v>
      </c>
      <c r="G257">
        <v>134302</v>
      </c>
      <c r="H257">
        <v>18</v>
      </c>
      <c r="I257">
        <v>24</v>
      </c>
      <c r="J257">
        <v>5</v>
      </c>
      <c r="K257">
        <v>3</v>
      </c>
      <c r="L257">
        <v>2</v>
      </c>
      <c r="M257">
        <v>4</v>
      </c>
      <c r="N257" t="s">
        <v>31</v>
      </c>
      <c r="O257" t="s">
        <v>32</v>
      </c>
      <c r="P257">
        <v>8</v>
      </c>
      <c r="Q257">
        <v>27</v>
      </c>
      <c r="R257">
        <v>3</v>
      </c>
      <c r="S257" t="s">
        <v>33</v>
      </c>
      <c r="T257">
        <v>7</v>
      </c>
      <c r="U257" t="s">
        <v>31</v>
      </c>
      <c r="V257" s="1">
        <v>43545</v>
      </c>
    </row>
    <row r="258" spans="1:23" x14ac:dyDescent="0.35">
      <c r="A258" t="s">
        <v>314</v>
      </c>
      <c r="B258">
        <v>58</v>
      </c>
      <c r="C258" t="s">
        <v>44</v>
      </c>
      <c r="D258" t="s">
        <v>39</v>
      </c>
      <c r="E258" t="s">
        <v>40</v>
      </c>
      <c r="F258" t="s">
        <v>78</v>
      </c>
      <c r="G258">
        <v>150159</v>
      </c>
      <c r="H258">
        <v>25</v>
      </c>
      <c r="I258">
        <v>35</v>
      </c>
      <c r="J258">
        <v>5</v>
      </c>
      <c r="K258">
        <v>4</v>
      </c>
      <c r="L258">
        <v>4</v>
      </c>
      <c r="M258">
        <v>3</v>
      </c>
      <c r="N258" t="s">
        <v>31</v>
      </c>
      <c r="O258" t="s">
        <v>32</v>
      </c>
      <c r="P258">
        <v>5</v>
      </c>
      <c r="Q258">
        <v>22</v>
      </c>
      <c r="R258">
        <v>3</v>
      </c>
      <c r="S258" t="s">
        <v>33</v>
      </c>
      <c r="T258">
        <v>4</v>
      </c>
      <c r="U258" t="s">
        <v>33</v>
      </c>
      <c r="V258" s="1">
        <v>43880</v>
      </c>
      <c r="W258" s="1">
        <v>44395</v>
      </c>
    </row>
    <row r="259" spans="1:23" x14ac:dyDescent="0.35">
      <c r="A259" t="s">
        <v>315</v>
      </c>
      <c r="B259">
        <v>56</v>
      </c>
      <c r="C259" t="s">
        <v>27</v>
      </c>
      <c r="D259" t="s">
        <v>52</v>
      </c>
      <c r="E259" t="s">
        <v>53</v>
      </c>
      <c r="F259" t="s">
        <v>56</v>
      </c>
      <c r="G259">
        <v>65787</v>
      </c>
      <c r="H259">
        <v>3</v>
      </c>
      <c r="I259">
        <v>35</v>
      </c>
      <c r="J259">
        <v>2</v>
      </c>
      <c r="K259">
        <v>2</v>
      </c>
      <c r="L259">
        <v>1</v>
      </c>
      <c r="M259">
        <v>1</v>
      </c>
      <c r="N259" t="s">
        <v>31</v>
      </c>
      <c r="O259" t="s">
        <v>32</v>
      </c>
      <c r="P259">
        <v>17</v>
      </c>
      <c r="Q259">
        <v>36</v>
      </c>
      <c r="R259">
        <v>4</v>
      </c>
      <c r="S259" t="s">
        <v>31</v>
      </c>
      <c r="T259">
        <v>8</v>
      </c>
      <c r="U259" t="s">
        <v>31</v>
      </c>
      <c r="V259" s="1">
        <v>41164</v>
      </c>
    </row>
    <row r="260" spans="1:23" x14ac:dyDescent="0.35">
      <c r="A260" t="s">
        <v>316</v>
      </c>
      <c r="B260">
        <v>54</v>
      </c>
      <c r="C260" t="s">
        <v>27</v>
      </c>
      <c r="D260" t="s">
        <v>52</v>
      </c>
      <c r="E260" t="s">
        <v>53</v>
      </c>
      <c r="F260" t="s">
        <v>56</v>
      </c>
      <c r="G260">
        <v>142383</v>
      </c>
      <c r="H260">
        <v>21</v>
      </c>
      <c r="I260">
        <v>30</v>
      </c>
      <c r="J260">
        <v>5</v>
      </c>
      <c r="K260">
        <v>3</v>
      </c>
      <c r="L260">
        <v>1</v>
      </c>
      <c r="M260">
        <v>2</v>
      </c>
      <c r="N260" t="s">
        <v>31</v>
      </c>
      <c r="O260" t="s">
        <v>47</v>
      </c>
      <c r="P260">
        <v>16</v>
      </c>
      <c r="Q260">
        <v>23</v>
      </c>
      <c r="R260">
        <v>4</v>
      </c>
      <c r="S260" t="s">
        <v>31</v>
      </c>
      <c r="T260">
        <v>6</v>
      </c>
      <c r="U260" t="s">
        <v>31</v>
      </c>
      <c r="V260" s="1">
        <v>43355</v>
      </c>
    </row>
    <row r="261" spans="1:23" x14ac:dyDescent="0.35">
      <c r="A261" t="s">
        <v>317</v>
      </c>
      <c r="B261">
        <v>26</v>
      </c>
      <c r="C261" t="s">
        <v>27</v>
      </c>
      <c r="D261" t="s">
        <v>45</v>
      </c>
      <c r="E261" t="s">
        <v>46</v>
      </c>
      <c r="F261" t="s">
        <v>30</v>
      </c>
      <c r="G261">
        <v>61006</v>
      </c>
      <c r="H261">
        <v>1</v>
      </c>
      <c r="I261">
        <v>2</v>
      </c>
      <c r="J261">
        <v>2</v>
      </c>
      <c r="K261">
        <v>2</v>
      </c>
      <c r="L261">
        <v>4</v>
      </c>
      <c r="M261">
        <v>4</v>
      </c>
      <c r="N261" t="s">
        <v>31</v>
      </c>
      <c r="O261" t="s">
        <v>32</v>
      </c>
      <c r="P261">
        <v>5</v>
      </c>
      <c r="Q261">
        <v>12</v>
      </c>
      <c r="R261">
        <v>3</v>
      </c>
      <c r="S261" t="s">
        <v>31</v>
      </c>
      <c r="T261">
        <v>8</v>
      </c>
      <c r="U261" t="s">
        <v>31</v>
      </c>
      <c r="V261" s="1">
        <v>44008</v>
      </c>
    </row>
    <row r="262" spans="1:23" x14ac:dyDescent="0.35">
      <c r="A262" t="s">
        <v>318</v>
      </c>
      <c r="B262">
        <v>37</v>
      </c>
      <c r="C262" t="s">
        <v>27</v>
      </c>
      <c r="D262" t="s">
        <v>28</v>
      </c>
      <c r="E262" t="s">
        <v>66</v>
      </c>
      <c r="F262" t="s">
        <v>30</v>
      </c>
      <c r="G262">
        <v>101897</v>
      </c>
      <c r="H262">
        <v>6</v>
      </c>
      <c r="I262">
        <v>16</v>
      </c>
      <c r="J262">
        <v>4</v>
      </c>
      <c r="K262">
        <v>1</v>
      </c>
      <c r="L262">
        <v>4</v>
      </c>
      <c r="M262">
        <v>3</v>
      </c>
      <c r="N262" t="s">
        <v>31</v>
      </c>
      <c r="O262" t="s">
        <v>42</v>
      </c>
      <c r="P262">
        <v>7</v>
      </c>
      <c r="Q262">
        <v>35</v>
      </c>
      <c r="R262">
        <v>2</v>
      </c>
      <c r="S262" t="s">
        <v>31</v>
      </c>
      <c r="T262">
        <v>5</v>
      </c>
      <c r="U262" t="s">
        <v>31</v>
      </c>
      <c r="V262" s="1">
        <v>41155</v>
      </c>
    </row>
    <row r="263" spans="1:23" x14ac:dyDescent="0.35">
      <c r="A263" t="s">
        <v>319</v>
      </c>
      <c r="B263">
        <v>52</v>
      </c>
      <c r="C263" t="s">
        <v>27</v>
      </c>
      <c r="D263" t="s">
        <v>49</v>
      </c>
      <c r="E263" t="s">
        <v>50</v>
      </c>
      <c r="F263" t="s">
        <v>30</v>
      </c>
      <c r="G263">
        <v>149523</v>
      </c>
      <c r="H263">
        <v>23</v>
      </c>
      <c r="I263">
        <v>29</v>
      </c>
      <c r="J263">
        <v>5</v>
      </c>
      <c r="K263">
        <v>2</v>
      </c>
      <c r="L263">
        <v>4</v>
      </c>
      <c r="M263">
        <v>1</v>
      </c>
      <c r="N263" t="s">
        <v>31</v>
      </c>
      <c r="O263" t="s">
        <v>32</v>
      </c>
      <c r="P263">
        <v>12</v>
      </c>
      <c r="Q263">
        <v>39</v>
      </c>
      <c r="R263">
        <v>3</v>
      </c>
      <c r="S263" t="s">
        <v>33</v>
      </c>
      <c r="T263">
        <v>4</v>
      </c>
      <c r="U263" t="s">
        <v>31</v>
      </c>
      <c r="V263" s="1">
        <v>42756</v>
      </c>
    </row>
    <row r="264" spans="1:23" x14ac:dyDescent="0.35">
      <c r="A264" t="s">
        <v>320</v>
      </c>
      <c r="B264">
        <v>25</v>
      </c>
      <c r="C264" t="s">
        <v>44</v>
      </c>
      <c r="D264" t="s">
        <v>39</v>
      </c>
      <c r="E264" t="s">
        <v>40</v>
      </c>
      <c r="F264" t="s">
        <v>56</v>
      </c>
      <c r="G264">
        <v>60198</v>
      </c>
      <c r="H264">
        <v>3</v>
      </c>
      <c r="I264">
        <v>4</v>
      </c>
      <c r="J264">
        <v>2</v>
      </c>
      <c r="K264">
        <v>4</v>
      </c>
      <c r="L264">
        <v>4</v>
      </c>
      <c r="M264">
        <v>1</v>
      </c>
      <c r="N264" t="s">
        <v>31</v>
      </c>
      <c r="O264" t="s">
        <v>42</v>
      </c>
      <c r="P264">
        <v>19</v>
      </c>
      <c r="Q264">
        <v>39</v>
      </c>
      <c r="R264">
        <v>3</v>
      </c>
      <c r="S264" t="s">
        <v>31</v>
      </c>
      <c r="T264">
        <v>6</v>
      </c>
      <c r="U264" t="s">
        <v>31</v>
      </c>
      <c r="V264" s="1">
        <v>41454</v>
      </c>
    </row>
    <row r="265" spans="1:23" x14ac:dyDescent="0.35">
      <c r="A265" t="s">
        <v>321</v>
      </c>
      <c r="B265">
        <v>23</v>
      </c>
      <c r="C265" t="s">
        <v>27</v>
      </c>
      <c r="D265" t="s">
        <v>39</v>
      </c>
      <c r="E265" t="s">
        <v>59</v>
      </c>
      <c r="F265" t="s">
        <v>61</v>
      </c>
      <c r="G265">
        <v>44961</v>
      </c>
      <c r="H265">
        <v>2</v>
      </c>
      <c r="I265">
        <v>2</v>
      </c>
      <c r="J265">
        <v>1</v>
      </c>
      <c r="K265">
        <v>2</v>
      </c>
      <c r="L265">
        <v>2</v>
      </c>
      <c r="M265">
        <v>2</v>
      </c>
      <c r="N265" t="s">
        <v>31</v>
      </c>
      <c r="O265" t="s">
        <v>32</v>
      </c>
      <c r="P265">
        <v>1</v>
      </c>
      <c r="Q265">
        <v>37</v>
      </c>
      <c r="R265">
        <v>3</v>
      </c>
      <c r="S265" t="s">
        <v>31</v>
      </c>
      <c r="T265">
        <v>4</v>
      </c>
      <c r="U265" t="s">
        <v>31</v>
      </c>
      <c r="V265" s="1">
        <v>44554</v>
      </c>
    </row>
    <row r="266" spans="1:23" x14ac:dyDescent="0.35">
      <c r="A266" t="s">
        <v>322</v>
      </c>
      <c r="B266">
        <v>52</v>
      </c>
      <c r="C266" t="s">
        <v>27</v>
      </c>
      <c r="D266" t="s">
        <v>45</v>
      </c>
      <c r="E266" t="s">
        <v>46</v>
      </c>
      <c r="F266" t="s">
        <v>37</v>
      </c>
      <c r="G266">
        <v>138820</v>
      </c>
      <c r="H266">
        <v>17</v>
      </c>
      <c r="I266">
        <v>28</v>
      </c>
      <c r="J266">
        <v>5</v>
      </c>
      <c r="K266">
        <v>2</v>
      </c>
      <c r="L266">
        <v>4</v>
      </c>
      <c r="M266">
        <v>1</v>
      </c>
      <c r="N266" t="s">
        <v>31</v>
      </c>
      <c r="O266" t="s">
        <v>47</v>
      </c>
      <c r="P266">
        <v>12</v>
      </c>
      <c r="Q266">
        <v>19</v>
      </c>
      <c r="R266">
        <v>3</v>
      </c>
      <c r="S266" t="s">
        <v>31</v>
      </c>
      <c r="T266">
        <v>6</v>
      </c>
      <c r="U266" t="s">
        <v>31</v>
      </c>
      <c r="V266" s="1">
        <v>45029</v>
      </c>
    </row>
    <row r="267" spans="1:23" x14ac:dyDescent="0.35">
      <c r="A267" t="s">
        <v>323</v>
      </c>
      <c r="B267">
        <v>49</v>
      </c>
      <c r="C267" t="s">
        <v>27</v>
      </c>
      <c r="D267" t="s">
        <v>28</v>
      </c>
      <c r="E267" t="s">
        <v>66</v>
      </c>
      <c r="F267" t="s">
        <v>56</v>
      </c>
      <c r="G267">
        <v>154407</v>
      </c>
      <c r="H267">
        <v>28</v>
      </c>
      <c r="I267">
        <v>28</v>
      </c>
      <c r="J267">
        <v>5</v>
      </c>
      <c r="K267">
        <v>1</v>
      </c>
      <c r="L267">
        <v>1</v>
      </c>
      <c r="M267">
        <v>1</v>
      </c>
      <c r="N267" t="s">
        <v>31</v>
      </c>
      <c r="O267" t="s">
        <v>32</v>
      </c>
      <c r="P267">
        <v>3</v>
      </c>
      <c r="Q267">
        <v>34</v>
      </c>
      <c r="R267">
        <v>2</v>
      </c>
      <c r="S267" t="s">
        <v>31</v>
      </c>
      <c r="T267">
        <v>3</v>
      </c>
      <c r="U267" t="s">
        <v>31</v>
      </c>
      <c r="V267" s="1">
        <v>41281</v>
      </c>
    </row>
    <row r="268" spans="1:23" x14ac:dyDescent="0.35">
      <c r="A268" t="s">
        <v>324</v>
      </c>
      <c r="B268">
        <v>34</v>
      </c>
      <c r="C268" t="s">
        <v>27</v>
      </c>
      <c r="D268" t="s">
        <v>35</v>
      </c>
      <c r="E268" t="s">
        <v>36</v>
      </c>
      <c r="F268" t="s">
        <v>78</v>
      </c>
      <c r="G268">
        <v>41503</v>
      </c>
      <c r="H268">
        <v>2</v>
      </c>
      <c r="I268">
        <v>12</v>
      </c>
      <c r="J268">
        <v>1</v>
      </c>
      <c r="K268">
        <v>3</v>
      </c>
      <c r="L268">
        <v>2</v>
      </c>
      <c r="M268">
        <v>3</v>
      </c>
      <c r="N268" t="s">
        <v>31</v>
      </c>
      <c r="O268" t="s">
        <v>42</v>
      </c>
      <c r="P268">
        <v>27</v>
      </c>
      <c r="Q268">
        <v>56</v>
      </c>
      <c r="R268">
        <v>3</v>
      </c>
      <c r="S268" t="s">
        <v>31</v>
      </c>
      <c r="T268">
        <v>8</v>
      </c>
      <c r="U268" t="s">
        <v>31</v>
      </c>
      <c r="V268" s="1">
        <v>44901</v>
      </c>
    </row>
    <row r="269" spans="1:23" x14ac:dyDescent="0.35">
      <c r="A269" t="s">
        <v>325</v>
      </c>
      <c r="B269">
        <v>26</v>
      </c>
      <c r="C269" t="s">
        <v>27</v>
      </c>
      <c r="D269" t="s">
        <v>52</v>
      </c>
      <c r="E269" t="s">
        <v>55</v>
      </c>
      <c r="F269" t="s">
        <v>78</v>
      </c>
      <c r="G269">
        <v>59687</v>
      </c>
      <c r="H269">
        <v>3</v>
      </c>
      <c r="I269">
        <v>5</v>
      </c>
      <c r="J269">
        <v>2</v>
      </c>
      <c r="K269">
        <v>2</v>
      </c>
      <c r="L269">
        <v>1</v>
      </c>
      <c r="M269">
        <v>2</v>
      </c>
      <c r="N269" t="s">
        <v>31</v>
      </c>
      <c r="O269" t="s">
        <v>32</v>
      </c>
      <c r="P269">
        <v>24</v>
      </c>
      <c r="Q269">
        <v>20</v>
      </c>
      <c r="R269">
        <v>2</v>
      </c>
      <c r="S269" t="s">
        <v>31</v>
      </c>
      <c r="T269">
        <v>5</v>
      </c>
      <c r="U269" t="s">
        <v>31</v>
      </c>
      <c r="V269" s="1">
        <v>42658</v>
      </c>
    </row>
    <row r="270" spans="1:23" x14ac:dyDescent="0.35">
      <c r="A270" t="s">
        <v>326</v>
      </c>
      <c r="B270">
        <v>48</v>
      </c>
      <c r="C270" t="s">
        <v>27</v>
      </c>
      <c r="D270" t="s">
        <v>52</v>
      </c>
      <c r="E270" t="s">
        <v>55</v>
      </c>
      <c r="F270" t="s">
        <v>61</v>
      </c>
      <c r="G270">
        <v>135784</v>
      </c>
      <c r="H270">
        <v>16</v>
      </c>
      <c r="I270">
        <v>27</v>
      </c>
      <c r="J270">
        <v>5</v>
      </c>
      <c r="K270">
        <v>2</v>
      </c>
      <c r="L270">
        <v>3</v>
      </c>
      <c r="M270">
        <v>3</v>
      </c>
      <c r="N270" t="s">
        <v>31</v>
      </c>
      <c r="O270" t="s">
        <v>32</v>
      </c>
      <c r="P270">
        <v>18</v>
      </c>
      <c r="Q270">
        <v>57</v>
      </c>
      <c r="R270">
        <v>2</v>
      </c>
      <c r="S270" t="s">
        <v>33</v>
      </c>
      <c r="T270">
        <v>7</v>
      </c>
      <c r="U270" t="s">
        <v>31</v>
      </c>
      <c r="V270" s="1">
        <v>43349</v>
      </c>
    </row>
    <row r="271" spans="1:23" x14ac:dyDescent="0.35">
      <c r="A271" t="s">
        <v>327</v>
      </c>
      <c r="B271">
        <v>30</v>
      </c>
      <c r="C271" t="s">
        <v>27</v>
      </c>
      <c r="D271" t="s">
        <v>49</v>
      </c>
      <c r="E271" t="s">
        <v>50</v>
      </c>
      <c r="F271" t="s">
        <v>30</v>
      </c>
      <c r="G271">
        <v>61539</v>
      </c>
      <c r="H271">
        <v>3</v>
      </c>
      <c r="I271">
        <v>9</v>
      </c>
      <c r="J271">
        <v>2</v>
      </c>
      <c r="K271">
        <v>4</v>
      </c>
      <c r="L271">
        <v>1</v>
      </c>
      <c r="M271">
        <v>4</v>
      </c>
      <c r="N271" t="s">
        <v>31</v>
      </c>
      <c r="O271" t="s">
        <v>32</v>
      </c>
      <c r="P271">
        <v>23</v>
      </c>
      <c r="Q271">
        <v>57</v>
      </c>
      <c r="R271">
        <v>3</v>
      </c>
      <c r="S271" t="s">
        <v>31</v>
      </c>
      <c r="T271">
        <v>2</v>
      </c>
      <c r="U271" t="s">
        <v>31</v>
      </c>
      <c r="V271" s="1">
        <v>42067</v>
      </c>
    </row>
    <row r="272" spans="1:23" x14ac:dyDescent="0.35">
      <c r="A272" t="s">
        <v>328</v>
      </c>
      <c r="B272">
        <v>52</v>
      </c>
      <c r="C272" t="s">
        <v>27</v>
      </c>
      <c r="D272" t="s">
        <v>28</v>
      </c>
      <c r="E272" t="s">
        <v>66</v>
      </c>
      <c r="F272" t="s">
        <v>30</v>
      </c>
      <c r="G272">
        <v>82003</v>
      </c>
      <c r="H272">
        <v>5</v>
      </c>
      <c r="I272">
        <v>30</v>
      </c>
      <c r="J272">
        <v>3</v>
      </c>
      <c r="K272">
        <v>3</v>
      </c>
      <c r="L272">
        <v>2</v>
      </c>
      <c r="M272">
        <v>2</v>
      </c>
      <c r="N272" t="s">
        <v>31</v>
      </c>
      <c r="O272" t="s">
        <v>47</v>
      </c>
      <c r="P272">
        <v>4</v>
      </c>
      <c r="Q272">
        <v>16</v>
      </c>
      <c r="R272">
        <v>3</v>
      </c>
      <c r="S272" t="s">
        <v>33</v>
      </c>
      <c r="T272">
        <v>4</v>
      </c>
      <c r="U272" t="s">
        <v>31</v>
      </c>
      <c r="V272" s="1">
        <v>44159</v>
      </c>
    </row>
    <row r="273" spans="1:23" x14ac:dyDescent="0.35">
      <c r="A273" t="s">
        <v>329</v>
      </c>
      <c r="B273">
        <v>55</v>
      </c>
      <c r="C273" t="s">
        <v>44</v>
      </c>
      <c r="D273" t="s">
        <v>45</v>
      </c>
      <c r="E273" t="s">
        <v>63</v>
      </c>
      <c r="F273" t="s">
        <v>30</v>
      </c>
      <c r="G273">
        <v>165658</v>
      </c>
      <c r="H273">
        <v>31</v>
      </c>
      <c r="I273">
        <v>34</v>
      </c>
      <c r="J273">
        <v>5</v>
      </c>
      <c r="K273">
        <v>2</v>
      </c>
      <c r="L273">
        <v>2</v>
      </c>
      <c r="M273">
        <v>2</v>
      </c>
      <c r="N273" t="s">
        <v>33</v>
      </c>
      <c r="O273" t="s">
        <v>32</v>
      </c>
      <c r="P273">
        <v>17</v>
      </c>
      <c r="Q273">
        <v>16</v>
      </c>
      <c r="R273">
        <v>2</v>
      </c>
      <c r="S273" t="s">
        <v>31</v>
      </c>
      <c r="T273">
        <v>6</v>
      </c>
      <c r="U273" t="s">
        <v>31</v>
      </c>
      <c r="V273" s="1">
        <v>45281</v>
      </c>
    </row>
    <row r="274" spans="1:23" x14ac:dyDescent="0.35">
      <c r="A274" t="s">
        <v>330</v>
      </c>
      <c r="B274">
        <v>45</v>
      </c>
      <c r="C274" t="s">
        <v>44</v>
      </c>
      <c r="D274" t="s">
        <v>49</v>
      </c>
      <c r="E274" t="s">
        <v>50</v>
      </c>
      <c r="F274" t="s">
        <v>37</v>
      </c>
      <c r="G274">
        <v>75687</v>
      </c>
      <c r="H274">
        <v>4</v>
      </c>
      <c r="I274">
        <v>21</v>
      </c>
      <c r="J274">
        <v>3</v>
      </c>
      <c r="K274">
        <v>2</v>
      </c>
      <c r="L274">
        <v>3</v>
      </c>
      <c r="M274">
        <v>3</v>
      </c>
      <c r="N274" t="s">
        <v>31</v>
      </c>
      <c r="O274" t="s">
        <v>32</v>
      </c>
      <c r="P274">
        <v>14</v>
      </c>
      <c r="Q274">
        <v>23</v>
      </c>
      <c r="R274">
        <v>3</v>
      </c>
      <c r="S274" t="s">
        <v>31</v>
      </c>
      <c r="T274">
        <v>2</v>
      </c>
      <c r="U274" t="s">
        <v>31</v>
      </c>
      <c r="V274" s="1">
        <v>42781</v>
      </c>
    </row>
    <row r="275" spans="1:23" x14ac:dyDescent="0.35">
      <c r="A275" t="s">
        <v>331</v>
      </c>
      <c r="B275">
        <v>23</v>
      </c>
      <c r="C275" t="s">
        <v>27</v>
      </c>
      <c r="D275" t="s">
        <v>52</v>
      </c>
      <c r="E275" t="s">
        <v>55</v>
      </c>
      <c r="F275" t="s">
        <v>41</v>
      </c>
      <c r="G275">
        <v>39521</v>
      </c>
      <c r="H275">
        <v>0</v>
      </c>
      <c r="I275">
        <v>1</v>
      </c>
      <c r="J275">
        <v>1</v>
      </c>
      <c r="K275">
        <v>2</v>
      </c>
      <c r="L275">
        <v>3</v>
      </c>
      <c r="M275">
        <v>3</v>
      </c>
      <c r="N275" t="s">
        <v>33</v>
      </c>
      <c r="O275" t="s">
        <v>32</v>
      </c>
      <c r="P275">
        <v>24</v>
      </c>
      <c r="Q275">
        <v>14</v>
      </c>
      <c r="R275">
        <v>3</v>
      </c>
      <c r="S275" t="s">
        <v>31</v>
      </c>
      <c r="T275">
        <v>7</v>
      </c>
      <c r="U275" t="s">
        <v>31</v>
      </c>
      <c r="V275" s="1">
        <v>41081</v>
      </c>
    </row>
    <row r="276" spans="1:23" x14ac:dyDescent="0.35">
      <c r="A276" t="s">
        <v>332</v>
      </c>
      <c r="B276">
        <v>56</v>
      </c>
      <c r="C276" t="s">
        <v>27</v>
      </c>
      <c r="D276" t="s">
        <v>28</v>
      </c>
      <c r="E276" t="s">
        <v>66</v>
      </c>
      <c r="F276" t="s">
        <v>37</v>
      </c>
      <c r="G276">
        <v>85327</v>
      </c>
      <c r="H276">
        <v>6</v>
      </c>
      <c r="I276">
        <v>34</v>
      </c>
      <c r="J276">
        <v>3</v>
      </c>
      <c r="K276">
        <v>2</v>
      </c>
      <c r="L276">
        <v>2</v>
      </c>
      <c r="M276">
        <v>4</v>
      </c>
      <c r="N276" t="s">
        <v>33</v>
      </c>
      <c r="O276" t="s">
        <v>32</v>
      </c>
      <c r="P276">
        <v>7</v>
      </c>
      <c r="Q276">
        <v>54</v>
      </c>
      <c r="R276">
        <v>3</v>
      </c>
      <c r="S276" t="s">
        <v>31</v>
      </c>
      <c r="T276">
        <v>4</v>
      </c>
      <c r="U276" t="s">
        <v>31</v>
      </c>
      <c r="V276" s="1">
        <v>43282</v>
      </c>
    </row>
    <row r="277" spans="1:23" x14ac:dyDescent="0.35">
      <c r="A277" t="s">
        <v>333</v>
      </c>
      <c r="B277">
        <v>44</v>
      </c>
      <c r="C277" t="s">
        <v>27</v>
      </c>
      <c r="D277" t="s">
        <v>45</v>
      </c>
      <c r="E277" t="s">
        <v>63</v>
      </c>
      <c r="F277" t="s">
        <v>30</v>
      </c>
      <c r="G277">
        <v>138406</v>
      </c>
      <c r="H277">
        <v>19</v>
      </c>
      <c r="I277">
        <v>20</v>
      </c>
      <c r="J277">
        <v>5</v>
      </c>
      <c r="K277">
        <v>4</v>
      </c>
      <c r="L277">
        <v>1</v>
      </c>
      <c r="M277">
        <v>1</v>
      </c>
      <c r="N277" t="s">
        <v>31</v>
      </c>
      <c r="O277" t="s">
        <v>32</v>
      </c>
      <c r="P277">
        <v>18</v>
      </c>
      <c r="Q277">
        <v>56</v>
      </c>
      <c r="R277">
        <v>3</v>
      </c>
      <c r="S277" t="s">
        <v>31</v>
      </c>
      <c r="T277">
        <v>5</v>
      </c>
      <c r="U277" t="s">
        <v>31</v>
      </c>
      <c r="V277" s="1">
        <v>40990</v>
      </c>
    </row>
    <row r="278" spans="1:23" x14ac:dyDescent="0.35">
      <c r="A278" t="s">
        <v>334</v>
      </c>
      <c r="B278">
        <v>44</v>
      </c>
      <c r="C278" t="s">
        <v>27</v>
      </c>
      <c r="D278" t="s">
        <v>45</v>
      </c>
      <c r="E278" t="s">
        <v>63</v>
      </c>
      <c r="F278" t="s">
        <v>37</v>
      </c>
      <c r="G278">
        <v>55932</v>
      </c>
      <c r="H278">
        <v>1</v>
      </c>
      <c r="I278">
        <v>22</v>
      </c>
      <c r="J278">
        <v>2</v>
      </c>
      <c r="K278">
        <v>1</v>
      </c>
      <c r="L278">
        <v>4</v>
      </c>
      <c r="M278">
        <v>3</v>
      </c>
      <c r="N278" t="s">
        <v>31</v>
      </c>
      <c r="O278" t="s">
        <v>32</v>
      </c>
      <c r="P278">
        <v>20</v>
      </c>
      <c r="Q278">
        <v>33</v>
      </c>
      <c r="R278">
        <v>4</v>
      </c>
      <c r="S278" t="s">
        <v>31</v>
      </c>
      <c r="T278">
        <v>6</v>
      </c>
      <c r="U278" t="s">
        <v>31</v>
      </c>
      <c r="V278" s="1">
        <v>41896</v>
      </c>
    </row>
    <row r="279" spans="1:23" x14ac:dyDescent="0.35">
      <c r="A279" t="s">
        <v>335</v>
      </c>
      <c r="B279">
        <v>55</v>
      </c>
      <c r="C279" t="s">
        <v>44</v>
      </c>
      <c r="D279" t="s">
        <v>39</v>
      </c>
      <c r="E279" t="s">
        <v>40</v>
      </c>
      <c r="F279" t="s">
        <v>37</v>
      </c>
      <c r="G279">
        <v>157732</v>
      </c>
      <c r="H279">
        <v>28</v>
      </c>
      <c r="I279">
        <v>34</v>
      </c>
      <c r="J279">
        <v>5</v>
      </c>
      <c r="K279">
        <v>2</v>
      </c>
      <c r="L279">
        <v>3</v>
      </c>
      <c r="M279">
        <v>3</v>
      </c>
      <c r="N279" t="s">
        <v>33</v>
      </c>
      <c r="O279" t="s">
        <v>32</v>
      </c>
      <c r="P279">
        <v>20</v>
      </c>
      <c r="Q279">
        <v>20</v>
      </c>
      <c r="R279">
        <v>4</v>
      </c>
      <c r="S279" t="s">
        <v>31</v>
      </c>
      <c r="T279">
        <v>9</v>
      </c>
      <c r="U279" t="s">
        <v>31</v>
      </c>
      <c r="V279" s="1">
        <v>43853</v>
      </c>
    </row>
    <row r="280" spans="1:23" x14ac:dyDescent="0.35">
      <c r="A280" t="s">
        <v>336</v>
      </c>
      <c r="B280">
        <v>46</v>
      </c>
      <c r="C280" t="s">
        <v>44</v>
      </c>
      <c r="D280" t="s">
        <v>52</v>
      </c>
      <c r="E280" t="s">
        <v>53</v>
      </c>
      <c r="F280" t="s">
        <v>37</v>
      </c>
      <c r="G280">
        <v>135587</v>
      </c>
      <c r="H280">
        <v>17</v>
      </c>
      <c r="I280">
        <v>24</v>
      </c>
      <c r="J280">
        <v>5</v>
      </c>
      <c r="K280">
        <v>1</v>
      </c>
      <c r="L280">
        <v>4</v>
      </c>
      <c r="M280">
        <v>2</v>
      </c>
      <c r="N280" t="s">
        <v>31</v>
      </c>
      <c r="O280" t="s">
        <v>32</v>
      </c>
      <c r="P280">
        <v>29</v>
      </c>
      <c r="Q280">
        <v>40</v>
      </c>
      <c r="R280">
        <v>2</v>
      </c>
      <c r="S280" t="s">
        <v>33</v>
      </c>
      <c r="T280">
        <v>4</v>
      </c>
      <c r="U280" t="s">
        <v>31</v>
      </c>
      <c r="V280" s="1">
        <v>41914</v>
      </c>
    </row>
    <row r="281" spans="1:23" x14ac:dyDescent="0.35">
      <c r="A281" t="s">
        <v>337</v>
      </c>
      <c r="B281">
        <v>47</v>
      </c>
      <c r="C281" t="s">
        <v>44</v>
      </c>
      <c r="D281" t="s">
        <v>28</v>
      </c>
      <c r="E281" t="s">
        <v>66</v>
      </c>
      <c r="F281" t="s">
        <v>56</v>
      </c>
      <c r="G281">
        <v>120607</v>
      </c>
      <c r="H281">
        <v>11</v>
      </c>
      <c r="I281">
        <v>24</v>
      </c>
      <c r="J281">
        <v>5</v>
      </c>
      <c r="K281">
        <v>1</v>
      </c>
      <c r="L281">
        <v>2</v>
      </c>
      <c r="M281">
        <v>3</v>
      </c>
      <c r="N281" t="s">
        <v>33</v>
      </c>
      <c r="O281" t="s">
        <v>32</v>
      </c>
      <c r="P281">
        <v>20</v>
      </c>
      <c r="Q281">
        <v>56</v>
      </c>
      <c r="R281">
        <v>3</v>
      </c>
      <c r="S281" t="s">
        <v>33</v>
      </c>
      <c r="T281">
        <v>5</v>
      </c>
      <c r="U281" t="s">
        <v>31</v>
      </c>
      <c r="V281" s="1">
        <v>44154</v>
      </c>
    </row>
    <row r="282" spans="1:23" x14ac:dyDescent="0.35">
      <c r="A282" t="s">
        <v>338</v>
      </c>
      <c r="B282">
        <v>46</v>
      </c>
      <c r="C282" t="s">
        <v>44</v>
      </c>
      <c r="D282" t="s">
        <v>35</v>
      </c>
      <c r="E282" t="s">
        <v>36</v>
      </c>
      <c r="F282" t="s">
        <v>56</v>
      </c>
      <c r="G282">
        <v>86109</v>
      </c>
      <c r="H282">
        <v>7</v>
      </c>
      <c r="I282">
        <v>25</v>
      </c>
      <c r="J282">
        <v>3</v>
      </c>
      <c r="K282">
        <v>3</v>
      </c>
      <c r="L282">
        <v>1</v>
      </c>
      <c r="M282">
        <v>4</v>
      </c>
      <c r="N282" t="s">
        <v>31</v>
      </c>
      <c r="O282" t="s">
        <v>32</v>
      </c>
      <c r="P282">
        <v>18</v>
      </c>
      <c r="Q282">
        <v>38</v>
      </c>
      <c r="R282">
        <v>3</v>
      </c>
      <c r="S282" t="s">
        <v>31</v>
      </c>
      <c r="T282">
        <v>4</v>
      </c>
      <c r="U282" t="s">
        <v>31</v>
      </c>
      <c r="V282" s="1">
        <v>41747</v>
      </c>
    </row>
    <row r="283" spans="1:23" x14ac:dyDescent="0.35">
      <c r="A283" t="s">
        <v>339</v>
      </c>
      <c r="B283">
        <v>44</v>
      </c>
      <c r="C283" t="s">
        <v>27</v>
      </c>
      <c r="D283" t="s">
        <v>28</v>
      </c>
      <c r="E283" t="s">
        <v>66</v>
      </c>
      <c r="F283" t="s">
        <v>56</v>
      </c>
      <c r="G283">
        <v>131254</v>
      </c>
      <c r="H283">
        <v>15</v>
      </c>
      <c r="I283">
        <v>20</v>
      </c>
      <c r="J283">
        <v>5</v>
      </c>
      <c r="K283">
        <v>2</v>
      </c>
      <c r="L283">
        <v>1</v>
      </c>
      <c r="M283">
        <v>1</v>
      </c>
      <c r="N283" t="s">
        <v>33</v>
      </c>
      <c r="O283" t="s">
        <v>47</v>
      </c>
      <c r="P283">
        <v>13</v>
      </c>
      <c r="Q283">
        <v>35</v>
      </c>
      <c r="R283">
        <v>3</v>
      </c>
      <c r="S283" t="s">
        <v>31</v>
      </c>
      <c r="T283">
        <v>8</v>
      </c>
      <c r="U283" t="s">
        <v>31</v>
      </c>
      <c r="V283" s="1">
        <v>43879</v>
      </c>
    </row>
    <row r="284" spans="1:23" x14ac:dyDescent="0.35">
      <c r="A284" t="s">
        <v>340</v>
      </c>
      <c r="B284">
        <v>22</v>
      </c>
      <c r="C284" t="s">
        <v>27</v>
      </c>
      <c r="D284" t="s">
        <v>39</v>
      </c>
      <c r="E284" t="s">
        <v>74</v>
      </c>
      <c r="F284" t="s">
        <v>56</v>
      </c>
      <c r="G284">
        <v>52636</v>
      </c>
      <c r="H284">
        <v>0</v>
      </c>
      <c r="I284">
        <v>1</v>
      </c>
      <c r="J284">
        <v>2</v>
      </c>
      <c r="K284">
        <v>2</v>
      </c>
      <c r="L284">
        <v>2</v>
      </c>
      <c r="M284">
        <v>1</v>
      </c>
      <c r="N284" t="s">
        <v>31</v>
      </c>
      <c r="O284" t="s">
        <v>42</v>
      </c>
      <c r="P284">
        <v>12</v>
      </c>
      <c r="Q284">
        <v>31</v>
      </c>
      <c r="R284">
        <v>3</v>
      </c>
      <c r="S284" t="s">
        <v>31</v>
      </c>
      <c r="T284">
        <v>6</v>
      </c>
      <c r="U284" t="s">
        <v>31</v>
      </c>
      <c r="V284" s="1">
        <v>45050</v>
      </c>
    </row>
    <row r="285" spans="1:23" x14ac:dyDescent="0.35">
      <c r="A285" t="s">
        <v>341</v>
      </c>
      <c r="B285">
        <v>32</v>
      </c>
      <c r="C285" t="s">
        <v>27</v>
      </c>
      <c r="D285" t="s">
        <v>52</v>
      </c>
      <c r="E285" t="s">
        <v>53</v>
      </c>
      <c r="F285" t="s">
        <v>30</v>
      </c>
      <c r="G285">
        <v>54558</v>
      </c>
      <c r="H285">
        <v>0</v>
      </c>
      <c r="I285">
        <v>11</v>
      </c>
      <c r="J285">
        <v>2</v>
      </c>
      <c r="K285">
        <v>2</v>
      </c>
      <c r="L285">
        <v>3</v>
      </c>
      <c r="M285">
        <v>4</v>
      </c>
      <c r="N285" t="s">
        <v>31</v>
      </c>
      <c r="O285" t="s">
        <v>32</v>
      </c>
      <c r="P285">
        <v>17</v>
      </c>
      <c r="Q285">
        <v>24</v>
      </c>
      <c r="R285">
        <v>3</v>
      </c>
      <c r="S285" t="s">
        <v>31</v>
      </c>
      <c r="T285">
        <v>5</v>
      </c>
      <c r="U285" t="s">
        <v>31</v>
      </c>
      <c r="V285" s="1">
        <v>43350</v>
      </c>
    </row>
    <row r="286" spans="1:23" x14ac:dyDescent="0.35">
      <c r="A286" t="s">
        <v>342</v>
      </c>
      <c r="B286">
        <v>32</v>
      </c>
      <c r="C286" t="s">
        <v>27</v>
      </c>
      <c r="D286" t="s">
        <v>35</v>
      </c>
      <c r="E286" t="s">
        <v>85</v>
      </c>
      <c r="F286" t="s">
        <v>30</v>
      </c>
      <c r="G286">
        <v>84158</v>
      </c>
      <c r="H286">
        <v>6</v>
      </c>
      <c r="I286">
        <v>9</v>
      </c>
      <c r="J286">
        <v>3</v>
      </c>
      <c r="K286">
        <v>3</v>
      </c>
      <c r="L286">
        <v>4</v>
      </c>
      <c r="M286">
        <v>3</v>
      </c>
      <c r="N286" t="s">
        <v>33</v>
      </c>
      <c r="O286" t="s">
        <v>47</v>
      </c>
      <c r="P286">
        <v>2</v>
      </c>
      <c r="Q286">
        <v>50</v>
      </c>
      <c r="R286">
        <v>4</v>
      </c>
      <c r="S286" t="s">
        <v>33</v>
      </c>
      <c r="T286">
        <v>5</v>
      </c>
      <c r="U286" t="s">
        <v>31</v>
      </c>
      <c r="V286" s="1">
        <v>42992</v>
      </c>
    </row>
    <row r="287" spans="1:23" x14ac:dyDescent="0.35">
      <c r="A287" t="s">
        <v>343</v>
      </c>
      <c r="B287">
        <v>46</v>
      </c>
      <c r="C287" t="s">
        <v>27</v>
      </c>
      <c r="D287" t="s">
        <v>49</v>
      </c>
      <c r="E287" t="s">
        <v>50</v>
      </c>
      <c r="F287" t="s">
        <v>78</v>
      </c>
      <c r="G287">
        <v>136799</v>
      </c>
      <c r="H287">
        <v>18</v>
      </c>
      <c r="I287">
        <v>22</v>
      </c>
      <c r="J287">
        <v>5</v>
      </c>
      <c r="K287">
        <v>3</v>
      </c>
      <c r="L287">
        <v>1</v>
      </c>
      <c r="M287">
        <v>4</v>
      </c>
      <c r="N287" t="s">
        <v>31</v>
      </c>
      <c r="O287" t="s">
        <v>32</v>
      </c>
      <c r="P287">
        <v>20</v>
      </c>
      <c r="Q287">
        <v>27</v>
      </c>
      <c r="R287">
        <v>3</v>
      </c>
      <c r="S287" t="s">
        <v>31</v>
      </c>
      <c r="T287">
        <v>6</v>
      </c>
      <c r="U287" t="s">
        <v>31</v>
      </c>
      <c r="V287" s="1">
        <v>41009</v>
      </c>
    </row>
    <row r="288" spans="1:23" x14ac:dyDescent="0.35">
      <c r="A288" t="s">
        <v>344</v>
      </c>
      <c r="B288">
        <v>23</v>
      </c>
      <c r="C288" t="s">
        <v>44</v>
      </c>
      <c r="D288" t="s">
        <v>45</v>
      </c>
      <c r="E288" t="s">
        <v>63</v>
      </c>
      <c r="F288" t="s">
        <v>37</v>
      </c>
      <c r="G288">
        <v>58918</v>
      </c>
      <c r="H288">
        <v>2</v>
      </c>
      <c r="I288">
        <v>2</v>
      </c>
      <c r="J288">
        <v>2</v>
      </c>
      <c r="K288">
        <v>2</v>
      </c>
      <c r="L288">
        <v>3</v>
      </c>
      <c r="M288">
        <v>3</v>
      </c>
      <c r="N288" t="s">
        <v>33</v>
      </c>
      <c r="O288" t="s">
        <v>42</v>
      </c>
      <c r="P288">
        <v>5</v>
      </c>
      <c r="Q288">
        <v>27</v>
      </c>
      <c r="R288">
        <v>3</v>
      </c>
      <c r="S288" t="s">
        <v>31</v>
      </c>
      <c r="T288">
        <v>8</v>
      </c>
      <c r="U288" t="s">
        <v>33</v>
      </c>
      <c r="V288" s="1">
        <v>44629</v>
      </c>
      <c r="W288" s="1">
        <v>45161</v>
      </c>
    </row>
    <row r="289" spans="1:23" x14ac:dyDescent="0.35">
      <c r="A289" t="s">
        <v>345</v>
      </c>
      <c r="B289">
        <v>54</v>
      </c>
      <c r="C289" t="s">
        <v>27</v>
      </c>
      <c r="D289" t="s">
        <v>39</v>
      </c>
      <c r="E289" t="s">
        <v>74</v>
      </c>
      <c r="F289" t="s">
        <v>56</v>
      </c>
      <c r="G289">
        <v>160281</v>
      </c>
      <c r="H289">
        <v>28</v>
      </c>
      <c r="I289">
        <v>33</v>
      </c>
      <c r="J289">
        <v>5</v>
      </c>
      <c r="K289">
        <v>2</v>
      </c>
      <c r="L289">
        <v>1</v>
      </c>
      <c r="M289">
        <v>3</v>
      </c>
      <c r="N289" t="s">
        <v>31</v>
      </c>
      <c r="O289" t="s">
        <v>32</v>
      </c>
      <c r="P289">
        <v>4</v>
      </c>
      <c r="Q289">
        <v>27</v>
      </c>
      <c r="R289">
        <v>3</v>
      </c>
      <c r="S289" t="s">
        <v>31</v>
      </c>
      <c r="T289">
        <v>6</v>
      </c>
      <c r="U289" t="s">
        <v>31</v>
      </c>
      <c r="V289" s="1">
        <v>42464</v>
      </c>
    </row>
    <row r="290" spans="1:23" x14ac:dyDescent="0.35">
      <c r="A290" t="s">
        <v>346</v>
      </c>
      <c r="B290">
        <v>46</v>
      </c>
      <c r="C290" t="s">
        <v>44</v>
      </c>
      <c r="D290" t="s">
        <v>28</v>
      </c>
      <c r="E290" t="s">
        <v>66</v>
      </c>
      <c r="F290" t="s">
        <v>56</v>
      </c>
      <c r="G290">
        <v>139615</v>
      </c>
      <c r="H290">
        <v>19</v>
      </c>
      <c r="I290">
        <v>25</v>
      </c>
      <c r="J290">
        <v>5</v>
      </c>
      <c r="K290">
        <v>4</v>
      </c>
      <c r="L290">
        <v>2</v>
      </c>
      <c r="M290">
        <v>4</v>
      </c>
      <c r="N290" t="s">
        <v>31</v>
      </c>
      <c r="O290" t="s">
        <v>32</v>
      </c>
      <c r="P290">
        <v>10</v>
      </c>
      <c r="Q290">
        <v>41</v>
      </c>
      <c r="R290">
        <v>3</v>
      </c>
      <c r="S290" t="s">
        <v>33</v>
      </c>
      <c r="T290">
        <v>4</v>
      </c>
      <c r="U290" t="s">
        <v>31</v>
      </c>
      <c r="V290" s="1">
        <v>45066</v>
      </c>
    </row>
    <row r="291" spans="1:23" x14ac:dyDescent="0.35">
      <c r="A291" t="s">
        <v>347</v>
      </c>
      <c r="B291">
        <v>24</v>
      </c>
      <c r="C291" t="s">
        <v>44</v>
      </c>
      <c r="D291" t="s">
        <v>35</v>
      </c>
      <c r="E291" t="s">
        <v>36</v>
      </c>
      <c r="F291" t="s">
        <v>78</v>
      </c>
      <c r="G291">
        <v>41358</v>
      </c>
      <c r="H291">
        <v>1</v>
      </c>
      <c r="I291">
        <v>1</v>
      </c>
      <c r="J291">
        <v>1</v>
      </c>
      <c r="K291">
        <v>3</v>
      </c>
      <c r="L291">
        <v>1</v>
      </c>
      <c r="M291">
        <v>2</v>
      </c>
      <c r="N291" t="s">
        <v>33</v>
      </c>
      <c r="O291" t="s">
        <v>32</v>
      </c>
      <c r="P291">
        <v>12</v>
      </c>
      <c r="Q291">
        <v>56</v>
      </c>
      <c r="R291">
        <v>2</v>
      </c>
      <c r="S291" t="s">
        <v>31</v>
      </c>
      <c r="T291">
        <v>7</v>
      </c>
      <c r="U291" t="s">
        <v>31</v>
      </c>
      <c r="V291" s="1">
        <v>44051</v>
      </c>
    </row>
    <row r="292" spans="1:23" x14ac:dyDescent="0.35">
      <c r="A292" t="s">
        <v>348</v>
      </c>
      <c r="B292">
        <v>27</v>
      </c>
      <c r="C292" t="s">
        <v>44</v>
      </c>
      <c r="D292" t="s">
        <v>49</v>
      </c>
      <c r="E292" t="s">
        <v>50</v>
      </c>
      <c r="F292" t="s">
        <v>37</v>
      </c>
      <c r="G292">
        <v>59575</v>
      </c>
      <c r="H292">
        <v>0</v>
      </c>
      <c r="I292">
        <v>5</v>
      </c>
      <c r="J292">
        <v>2</v>
      </c>
      <c r="K292">
        <v>1</v>
      </c>
      <c r="L292">
        <v>2</v>
      </c>
      <c r="M292">
        <v>3</v>
      </c>
      <c r="N292" t="s">
        <v>31</v>
      </c>
      <c r="O292" t="s">
        <v>42</v>
      </c>
      <c r="P292">
        <v>4</v>
      </c>
      <c r="Q292">
        <v>11</v>
      </c>
      <c r="R292">
        <v>3</v>
      </c>
      <c r="S292" t="s">
        <v>31</v>
      </c>
      <c r="T292">
        <v>4</v>
      </c>
      <c r="U292" t="s">
        <v>31</v>
      </c>
      <c r="V292" s="1">
        <v>44673</v>
      </c>
    </row>
    <row r="293" spans="1:23" x14ac:dyDescent="0.35">
      <c r="A293" t="s">
        <v>349</v>
      </c>
      <c r="B293">
        <v>51</v>
      </c>
      <c r="C293" t="s">
        <v>27</v>
      </c>
      <c r="D293" t="s">
        <v>28</v>
      </c>
      <c r="E293" t="s">
        <v>66</v>
      </c>
      <c r="F293" t="s">
        <v>56</v>
      </c>
      <c r="G293">
        <v>41926</v>
      </c>
      <c r="H293">
        <v>1</v>
      </c>
      <c r="I293">
        <v>27</v>
      </c>
      <c r="J293">
        <v>1</v>
      </c>
      <c r="K293">
        <v>1</v>
      </c>
      <c r="L293">
        <v>3</v>
      </c>
      <c r="M293">
        <v>4</v>
      </c>
      <c r="N293" t="s">
        <v>31</v>
      </c>
      <c r="O293" t="s">
        <v>32</v>
      </c>
      <c r="P293">
        <v>8</v>
      </c>
      <c r="Q293">
        <v>28</v>
      </c>
      <c r="R293">
        <v>3</v>
      </c>
      <c r="S293" t="s">
        <v>31</v>
      </c>
      <c r="T293">
        <v>1</v>
      </c>
      <c r="U293" t="s">
        <v>31</v>
      </c>
      <c r="V293" s="1">
        <v>41610</v>
      </c>
    </row>
    <row r="294" spans="1:23" x14ac:dyDescent="0.35">
      <c r="A294" t="s">
        <v>350</v>
      </c>
      <c r="B294">
        <v>40</v>
      </c>
      <c r="C294" t="s">
        <v>27</v>
      </c>
      <c r="D294" t="s">
        <v>39</v>
      </c>
      <c r="E294" t="s">
        <v>74</v>
      </c>
      <c r="F294" t="s">
        <v>41</v>
      </c>
      <c r="G294">
        <v>41324</v>
      </c>
      <c r="H294">
        <v>0</v>
      </c>
      <c r="I294">
        <v>19</v>
      </c>
      <c r="J294">
        <v>1</v>
      </c>
      <c r="K294">
        <v>3</v>
      </c>
      <c r="L294">
        <v>1</v>
      </c>
      <c r="M294">
        <v>3</v>
      </c>
      <c r="N294" t="s">
        <v>31</v>
      </c>
      <c r="O294" t="s">
        <v>32</v>
      </c>
      <c r="P294">
        <v>8</v>
      </c>
      <c r="Q294">
        <v>14</v>
      </c>
      <c r="R294">
        <v>4</v>
      </c>
      <c r="S294" t="s">
        <v>31</v>
      </c>
      <c r="T294">
        <v>5</v>
      </c>
      <c r="U294" t="s">
        <v>31</v>
      </c>
      <c r="V294" s="1">
        <v>42679</v>
      </c>
    </row>
    <row r="295" spans="1:23" x14ac:dyDescent="0.35">
      <c r="A295" t="s">
        <v>351</v>
      </c>
      <c r="B295">
        <v>39</v>
      </c>
      <c r="C295" t="s">
        <v>27</v>
      </c>
      <c r="D295" t="s">
        <v>45</v>
      </c>
      <c r="E295" t="s">
        <v>63</v>
      </c>
      <c r="F295" t="s">
        <v>78</v>
      </c>
      <c r="G295">
        <v>53711</v>
      </c>
      <c r="H295">
        <v>0</v>
      </c>
      <c r="I295">
        <v>16</v>
      </c>
      <c r="J295">
        <v>2</v>
      </c>
      <c r="K295">
        <v>1</v>
      </c>
      <c r="L295">
        <v>1</v>
      </c>
      <c r="M295">
        <v>2</v>
      </c>
      <c r="N295" t="s">
        <v>31</v>
      </c>
      <c r="O295" t="s">
        <v>47</v>
      </c>
      <c r="P295">
        <v>10</v>
      </c>
      <c r="Q295">
        <v>33</v>
      </c>
      <c r="R295">
        <v>3</v>
      </c>
      <c r="S295" t="s">
        <v>31</v>
      </c>
      <c r="T295">
        <v>4</v>
      </c>
      <c r="U295" t="s">
        <v>31</v>
      </c>
      <c r="V295" s="1">
        <v>42906</v>
      </c>
    </row>
    <row r="296" spans="1:23" x14ac:dyDescent="0.35">
      <c r="A296" t="s">
        <v>352</v>
      </c>
      <c r="B296">
        <v>43</v>
      </c>
      <c r="C296" t="s">
        <v>27</v>
      </c>
      <c r="D296" t="s">
        <v>39</v>
      </c>
      <c r="E296" t="s">
        <v>40</v>
      </c>
      <c r="F296" t="s">
        <v>41</v>
      </c>
      <c r="G296">
        <v>128682</v>
      </c>
      <c r="H296">
        <v>13</v>
      </c>
      <c r="I296">
        <v>20</v>
      </c>
      <c r="J296">
        <v>5</v>
      </c>
      <c r="K296">
        <v>3</v>
      </c>
      <c r="L296">
        <v>4</v>
      </c>
      <c r="M296">
        <v>3</v>
      </c>
      <c r="N296" t="s">
        <v>31</v>
      </c>
      <c r="O296" t="s">
        <v>32</v>
      </c>
      <c r="P296">
        <v>10</v>
      </c>
      <c r="Q296">
        <v>18</v>
      </c>
      <c r="R296">
        <v>2</v>
      </c>
      <c r="S296" t="s">
        <v>31</v>
      </c>
      <c r="T296">
        <v>5</v>
      </c>
      <c r="U296" t="s">
        <v>33</v>
      </c>
      <c r="V296" s="1">
        <v>43794</v>
      </c>
      <c r="W296" s="1">
        <v>44652</v>
      </c>
    </row>
    <row r="297" spans="1:23" x14ac:dyDescent="0.35">
      <c r="A297" t="s">
        <v>353</v>
      </c>
      <c r="B297">
        <v>40</v>
      </c>
      <c r="C297" t="s">
        <v>27</v>
      </c>
      <c r="D297" t="s">
        <v>35</v>
      </c>
      <c r="E297" t="s">
        <v>85</v>
      </c>
      <c r="F297" t="s">
        <v>41</v>
      </c>
      <c r="G297">
        <v>41120</v>
      </c>
      <c r="H297">
        <v>2</v>
      </c>
      <c r="I297">
        <v>19</v>
      </c>
      <c r="J297">
        <v>1</v>
      </c>
      <c r="K297">
        <v>2</v>
      </c>
      <c r="L297">
        <v>4</v>
      </c>
      <c r="M297">
        <v>1</v>
      </c>
      <c r="N297" t="s">
        <v>33</v>
      </c>
      <c r="O297" t="s">
        <v>32</v>
      </c>
      <c r="P297">
        <v>12</v>
      </c>
      <c r="Q297">
        <v>22</v>
      </c>
      <c r="R297">
        <v>4</v>
      </c>
      <c r="S297" t="s">
        <v>31</v>
      </c>
      <c r="T297">
        <v>2</v>
      </c>
      <c r="U297" t="s">
        <v>31</v>
      </c>
      <c r="V297" s="1">
        <v>42338</v>
      </c>
    </row>
    <row r="298" spans="1:23" x14ac:dyDescent="0.35">
      <c r="A298" t="s">
        <v>354</v>
      </c>
      <c r="B298">
        <v>57</v>
      </c>
      <c r="C298" t="s">
        <v>44</v>
      </c>
      <c r="D298" t="s">
        <v>39</v>
      </c>
      <c r="E298" t="s">
        <v>59</v>
      </c>
      <c r="F298" t="s">
        <v>78</v>
      </c>
      <c r="G298">
        <v>129446</v>
      </c>
      <c r="H298">
        <v>14</v>
      </c>
      <c r="I298">
        <v>34</v>
      </c>
      <c r="J298">
        <v>5</v>
      </c>
      <c r="K298">
        <v>2</v>
      </c>
      <c r="L298">
        <v>1</v>
      </c>
      <c r="M298">
        <v>3</v>
      </c>
      <c r="N298" t="s">
        <v>33</v>
      </c>
      <c r="O298" t="s">
        <v>42</v>
      </c>
      <c r="P298">
        <v>19</v>
      </c>
      <c r="Q298">
        <v>11</v>
      </c>
      <c r="R298">
        <v>3</v>
      </c>
      <c r="S298" t="s">
        <v>31</v>
      </c>
      <c r="T298">
        <v>6</v>
      </c>
      <c r="U298" t="s">
        <v>31</v>
      </c>
      <c r="V298" s="1">
        <v>44894</v>
      </c>
    </row>
    <row r="299" spans="1:23" x14ac:dyDescent="0.35">
      <c r="A299" t="s">
        <v>355</v>
      </c>
      <c r="B299">
        <v>30</v>
      </c>
      <c r="C299" t="s">
        <v>44</v>
      </c>
      <c r="D299" t="s">
        <v>28</v>
      </c>
      <c r="E299" t="s">
        <v>29</v>
      </c>
      <c r="F299" t="s">
        <v>61</v>
      </c>
      <c r="G299">
        <v>104293</v>
      </c>
      <c r="H299">
        <v>9</v>
      </c>
      <c r="I299">
        <v>9</v>
      </c>
      <c r="J299">
        <v>4</v>
      </c>
      <c r="K299">
        <v>3</v>
      </c>
      <c r="L299">
        <v>4</v>
      </c>
      <c r="M299">
        <v>4</v>
      </c>
      <c r="N299" t="s">
        <v>31</v>
      </c>
      <c r="O299" t="s">
        <v>47</v>
      </c>
      <c r="P299">
        <v>8</v>
      </c>
      <c r="Q299">
        <v>12</v>
      </c>
      <c r="R299">
        <v>3</v>
      </c>
      <c r="S299" t="s">
        <v>33</v>
      </c>
      <c r="T299">
        <v>6</v>
      </c>
      <c r="U299" t="s">
        <v>31</v>
      </c>
      <c r="V299" s="1">
        <v>43684</v>
      </c>
    </row>
    <row r="300" spans="1:23" x14ac:dyDescent="0.35">
      <c r="A300" t="s">
        <v>356</v>
      </c>
      <c r="B300">
        <v>52</v>
      </c>
      <c r="C300" t="s">
        <v>44</v>
      </c>
      <c r="D300" t="s">
        <v>45</v>
      </c>
      <c r="E300" t="s">
        <v>63</v>
      </c>
      <c r="F300" t="s">
        <v>78</v>
      </c>
      <c r="G300">
        <v>151030</v>
      </c>
      <c r="H300">
        <v>27</v>
      </c>
      <c r="I300">
        <v>29</v>
      </c>
      <c r="J300">
        <v>5</v>
      </c>
      <c r="K300">
        <v>3</v>
      </c>
      <c r="L300">
        <v>3</v>
      </c>
      <c r="M300">
        <v>1</v>
      </c>
      <c r="N300" t="s">
        <v>31</v>
      </c>
      <c r="O300" t="s">
        <v>47</v>
      </c>
      <c r="P300">
        <v>7</v>
      </c>
      <c r="Q300">
        <v>46</v>
      </c>
      <c r="R300">
        <v>2</v>
      </c>
      <c r="S300" t="s">
        <v>33</v>
      </c>
      <c r="T300">
        <v>2</v>
      </c>
      <c r="U300" t="s">
        <v>31</v>
      </c>
      <c r="V300" s="1">
        <v>45042</v>
      </c>
    </row>
    <row r="301" spans="1:23" x14ac:dyDescent="0.35">
      <c r="A301" t="s">
        <v>357</v>
      </c>
      <c r="B301">
        <v>41</v>
      </c>
      <c r="C301" t="s">
        <v>44</v>
      </c>
      <c r="D301" t="s">
        <v>39</v>
      </c>
      <c r="E301" t="s">
        <v>74</v>
      </c>
      <c r="F301" t="s">
        <v>30</v>
      </c>
      <c r="G301">
        <v>88442</v>
      </c>
      <c r="H301">
        <v>8</v>
      </c>
      <c r="I301">
        <v>19</v>
      </c>
      <c r="J301">
        <v>3</v>
      </c>
      <c r="K301">
        <v>1</v>
      </c>
      <c r="L301">
        <v>1</v>
      </c>
      <c r="M301">
        <v>3</v>
      </c>
      <c r="N301" t="s">
        <v>33</v>
      </c>
      <c r="O301" t="s">
        <v>32</v>
      </c>
      <c r="P301">
        <v>25</v>
      </c>
      <c r="Q301">
        <v>44</v>
      </c>
      <c r="R301">
        <v>4</v>
      </c>
      <c r="S301" t="s">
        <v>31</v>
      </c>
      <c r="T301">
        <v>6</v>
      </c>
      <c r="U301" t="s">
        <v>31</v>
      </c>
      <c r="V301" s="1">
        <v>42690</v>
      </c>
    </row>
    <row r="302" spans="1:23" x14ac:dyDescent="0.35">
      <c r="A302" t="s">
        <v>358</v>
      </c>
      <c r="B302">
        <v>54</v>
      </c>
      <c r="C302" t="s">
        <v>27</v>
      </c>
      <c r="D302" t="s">
        <v>39</v>
      </c>
      <c r="E302" t="s">
        <v>59</v>
      </c>
      <c r="F302" t="s">
        <v>41</v>
      </c>
      <c r="G302">
        <v>121550</v>
      </c>
      <c r="H302">
        <v>12</v>
      </c>
      <c r="I302">
        <v>30</v>
      </c>
      <c r="J302">
        <v>5</v>
      </c>
      <c r="K302">
        <v>1</v>
      </c>
      <c r="L302">
        <v>2</v>
      </c>
      <c r="M302">
        <v>4</v>
      </c>
      <c r="N302" t="s">
        <v>33</v>
      </c>
      <c r="O302" t="s">
        <v>42</v>
      </c>
      <c r="P302">
        <v>9</v>
      </c>
      <c r="Q302">
        <v>49</v>
      </c>
      <c r="R302">
        <v>2</v>
      </c>
      <c r="S302" t="s">
        <v>33</v>
      </c>
      <c r="T302">
        <v>4</v>
      </c>
      <c r="U302" t="s">
        <v>31</v>
      </c>
      <c r="V302" s="1">
        <v>45218</v>
      </c>
    </row>
    <row r="303" spans="1:23" x14ac:dyDescent="0.35">
      <c r="A303" t="s">
        <v>359</v>
      </c>
      <c r="B303">
        <v>37</v>
      </c>
      <c r="C303" t="s">
        <v>44</v>
      </c>
      <c r="D303" t="s">
        <v>39</v>
      </c>
      <c r="E303" t="s">
        <v>74</v>
      </c>
      <c r="F303" t="s">
        <v>30</v>
      </c>
      <c r="G303">
        <v>77548</v>
      </c>
      <c r="H303">
        <v>3</v>
      </c>
      <c r="I303">
        <v>14</v>
      </c>
      <c r="J303">
        <v>3</v>
      </c>
      <c r="K303">
        <v>4</v>
      </c>
      <c r="L303">
        <v>3</v>
      </c>
      <c r="M303">
        <v>4</v>
      </c>
      <c r="N303" t="s">
        <v>33</v>
      </c>
      <c r="O303" t="s">
        <v>32</v>
      </c>
      <c r="P303">
        <v>21</v>
      </c>
      <c r="Q303">
        <v>23</v>
      </c>
      <c r="R303">
        <v>3</v>
      </c>
      <c r="S303" t="s">
        <v>31</v>
      </c>
      <c r="T303">
        <v>3</v>
      </c>
      <c r="U303" t="s">
        <v>31</v>
      </c>
      <c r="V303" s="1">
        <v>43142</v>
      </c>
    </row>
    <row r="304" spans="1:23" x14ac:dyDescent="0.35">
      <c r="A304" t="s">
        <v>360</v>
      </c>
      <c r="B304">
        <v>35</v>
      </c>
      <c r="C304" t="s">
        <v>27</v>
      </c>
      <c r="D304" t="s">
        <v>45</v>
      </c>
      <c r="E304" t="s">
        <v>46</v>
      </c>
      <c r="F304" t="s">
        <v>78</v>
      </c>
      <c r="G304">
        <v>83513</v>
      </c>
      <c r="H304">
        <v>7</v>
      </c>
      <c r="I304">
        <v>12</v>
      </c>
      <c r="J304">
        <v>3</v>
      </c>
      <c r="K304">
        <v>3</v>
      </c>
      <c r="L304">
        <v>2</v>
      </c>
      <c r="M304">
        <v>2</v>
      </c>
      <c r="N304" t="s">
        <v>31</v>
      </c>
      <c r="O304" t="s">
        <v>32</v>
      </c>
      <c r="P304">
        <v>29</v>
      </c>
      <c r="Q304">
        <v>26</v>
      </c>
      <c r="R304">
        <v>2</v>
      </c>
      <c r="S304" t="s">
        <v>33</v>
      </c>
      <c r="T304">
        <v>8</v>
      </c>
      <c r="U304" t="s">
        <v>31</v>
      </c>
      <c r="V304" s="1">
        <v>44861</v>
      </c>
    </row>
    <row r="305" spans="1:23" x14ac:dyDescent="0.35">
      <c r="A305" t="s">
        <v>361</v>
      </c>
      <c r="B305">
        <v>37</v>
      </c>
      <c r="C305" t="s">
        <v>44</v>
      </c>
      <c r="D305" t="s">
        <v>49</v>
      </c>
      <c r="E305" t="s">
        <v>68</v>
      </c>
      <c r="F305" t="s">
        <v>56</v>
      </c>
      <c r="G305">
        <v>43068</v>
      </c>
      <c r="H305">
        <v>2</v>
      </c>
      <c r="I305">
        <v>13</v>
      </c>
      <c r="J305">
        <v>1</v>
      </c>
      <c r="K305">
        <v>2</v>
      </c>
      <c r="L305">
        <v>3</v>
      </c>
      <c r="M305">
        <v>4</v>
      </c>
      <c r="N305" t="s">
        <v>33</v>
      </c>
      <c r="O305" t="s">
        <v>32</v>
      </c>
      <c r="P305">
        <v>27</v>
      </c>
      <c r="Q305">
        <v>29</v>
      </c>
      <c r="R305">
        <v>3</v>
      </c>
      <c r="S305" t="s">
        <v>31</v>
      </c>
      <c r="T305">
        <v>4</v>
      </c>
      <c r="U305" t="s">
        <v>31</v>
      </c>
      <c r="V305" s="1">
        <v>42033</v>
      </c>
    </row>
    <row r="306" spans="1:23" x14ac:dyDescent="0.35">
      <c r="A306" t="s">
        <v>362</v>
      </c>
      <c r="B306">
        <v>27</v>
      </c>
      <c r="C306" t="s">
        <v>44</v>
      </c>
      <c r="D306" t="s">
        <v>28</v>
      </c>
      <c r="E306" t="s">
        <v>66</v>
      </c>
      <c r="F306" t="s">
        <v>61</v>
      </c>
      <c r="G306">
        <v>57782</v>
      </c>
      <c r="H306">
        <v>1</v>
      </c>
      <c r="I306">
        <v>5</v>
      </c>
      <c r="J306">
        <v>2</v>
      </c>
      <c r="K306">
        <v>2</v>
      </c>
      <c r="L306">
        <v>3</v>
      </c>
      <c r="M306">
        <v>2</v>
      </c>
      <c r="N306" t="s">
        <v>33</v>
      </c>
      <c r="O306" t="s">
        <v>32</v>
      </c>
      <c r="P306">
        <v>17</v>
      </c>
      <c r="Q306">
        <v>23</v>
      </c>
      <c r="R306">
        <v>3</v>
      </c>
      <c r="S306" t="s">
        <v>31</v>
      </c>
      <c r="T306">
        <v>5</v>
      </c>
      <c r="U306" t="s">
        <v>33</v>
      </c>
      <c r="V306" s="1">
        <v>41246</v>
      </c>
      <c r="W306" s="1">
        <v>42223</v>
      </c>
    </row>
    <row r="307" spans="1:23" x14ac:dyDescent="0.35">
      <c r="A307" t="s">
        <v>363</v>
      </c>
      <c r="B307">
        <v>39</v>
      </c>
      <c r="C307" t="s">
        <v>44</v>
      </c>
      <c r="D307" t="s">
        <v>35</v>
      </c>
      <c r="E307" t="s">
        <v>85</v>
      </c>
      <c r="F307" t="s">
        <v>37</v>
      </c>
      <c r="G307">
        <v>101301</v>
      </c>
      <c r="H307">
        <v>7</v>
      </c>
      <c r="I307">
        <v>15</v>
      </c>
      <c r="J307">
        <v>4</v>
      </c>
      <c r="K307">
        <v>2</v>
      </c>
      <c r="L307">
        <v>2</v>
      </c>
      <c r="M307">
        <v>3</v>
      </c>
      <c r="N307" t="s">
        <v>33</v>
      </c>
      <c r="O307" t="s">
        <v>32</v>
      </c>
      <c r="P307">
        <v>11</v>
      </c>
      <c r="Q307">
        <v>40</v>
      </c>
      <c r="R307">
        <v>3</v>
      </c>
      <c r="S307" t="s">
        <v>33</v>
      </c>
      <c r="T307">
        <v>5</v>
      </c>
      <c r="U307" t="s">
        <v>33</v>
      </c>
      <c r="V307" s="1">
        <v>44599</v>
      </c>
      <c r="W307" s="1">
        <v>45062</v>
      </c>
    </row>
    <row r="308" spans="1:23" x14ac:dyDescent="0.35">
      <c r="A308" t="s">
        <v>364</v>
      </c>
      <c r="B308">
        <v>23</v>
      </c>
      <c r="C308" t="s">
        <v>44</v>
      </c>
      <c r="D308" t="s">
        <v>52</v>
      </c>
      <c r="E308" t="s">
        <v>55</v>
      </c>
      <c r="F308" t="s">
        <v>56</v>
      </c>
      <c r="G308">
        <v>39058</v>
      </c>
      <c r="H308">
        <v>1</v>
      </c>
      <c r="I308">
        <v>1</v>
      </c>
      <c r="J308">
        <v>1</v>
      </c>
      <c r="K308">
        <v>2</v>
      </c>
      <c r="L308">
        <v>3</v>
      </c>
      <c r="M308">
        <v>3</v>
      </c>
      <c r="N308" t="s">
        <v>31</v>
      </c>
      <c r="O308" t="s">
        <v>42</v>
      </c>
      <c r="P308">
        <v>11</v>
      </c>
      <c r="Q308">
        <v>46</v>
      </c>
      <c r="R308">
        <v>3</v>
      </c>
      <c r="S308" t="s">
        <v>31</v>
      </c>
      <c r="T308">
        <v>2</v>
      </c>
      <c r="U308" t="s">
        <v>31</v>
      </c>
      <c r="V308" s="1">
        <v>41813</v>
      </c>
    </row>
    <row r="309" spans="1:23" x14ac:dyDescent="0.35">
      <c r="A309" t="s">
        <v>365</v>
      </c>
      <c r="B309">
        <v>56</v>
      </c>
      <c r="C309" t="s">
        <v>27</v>
      </c>
      <c r="D309" t="s">
        <v>52</v>
      </c>
      <c r="E309" t="s">
        <v>55</v>
      </c>
      <c r="F309" t="s">
        <v>37</v>
      </c>
      <c r="G309">
        <v>128531</v>
      </c>
      <c r="H309">
        <v>13</v>
      </c>
      <c r="I309">
        <v>35</v>
      </c>
      <c r="J309">
        <v>5</v>
      </c>
      <c r="K309">
        <v>3</v>
      </c>
      <c r="L309">
        <v>3</v>
      </c>
      <c r="M309">
        <v>1</v>
      </c>
      <c r="N309" t="s">
        <v>31</v>
      </c>
      <c r="O309" t="s">
        <v>32</v>
      </c>
      <c r="P309">
        <v>22</v>
      </c>
      <c r="Q309">
        <v>30</v>
      </c>
      <c r="R309">
        <v>3</v>
      </c>
      <c r="S309" t="s">
        <v>31</v>
      </c>
      <c r="T309">
        <v>4</v>
      </c>
      <c r="U309" t="s">
        <v>31</v>
      </c>
      <c r="V309" s="1">
        <v>45105</v>
      </c>
    </row>
    <row r="310" spans="1:23" x14ac:dyDescent="0.35">
      <c r="A310" t="s">
        <v>366</v>
      </c>
      <c r="B310">
        <v>42</v>
      </c>
      <c r="C310" t="s">
        <v>27</v>
      </c>
      <c r="D310" t="s">
        <v>35</v>
      </c>
      <c r="E310" t="s">
        <v>85</v>
      </c>
      <c r="F310" t="s">
        <v>37</v>
      </c>
      <c r="G310">
        <v>136262</v>
      </c>
      <c r="H310">
        <v>16</v>
      </c>
      <c r="I310">
        <v>21</v>
      </c>
      <c r="J310">
        <v>5</v>
      </c>
      <c r="K310">
        <v>2</v>
      </c>
      <c r="L310">
        <v>2</v>
      </c>
      <c r="M310">
        <v>2</v>
      </c>
      <c r="N310" t="s">
        <v>31</v>
      </c>
      <c r="O310" t="s">
        <v>32</v>
      </c>
      <c r="P310">
        <v>2</v>
      </c>
      <c r="Q310">
        <v>11</v>
      </c>
      <c r="R310">
        <v>2</v>
      </c>
      <c r="S310" t="s">
        <v>33</v>
      </c>
      <c r="T310">
        <v>4</v>
      </c>
      <c r="U310" t="s">
        <v>31</v>
      </c>
      <c r="V310" s="1">
        <v>44242</v>
      </c>
    </row>
    <row r="311" spans="1:23" x14ac:dyDescent="0.35">
      <c r="A311" t="s">
        <v>367</v>
      </c>
      <c r="B311">
        <v>48</v>
      </c>
      <c r="C311" t="s">
        <v>27</v>
      </c>
      <c r="D311" t="s">
        <v>28</v>
      </c>
      <c r="E311" t="s">
        <v>66</v>
      </c>
      <c r="F311" t="s">
        <v>56</v>
      </c>
      <c r="G311">
        <v>81974</v>
      </c>
      <c r="H311">
        <v>7</v>
      </c>
      <c r="I311">
        <v>26</v>
      </c>
      <c r="J311">
        <v>3</v>
      </c>
      <c r="K311">
        <v>3</v>
      </c>
      <c r="L311">
        <v>2</v>
      </c>
      <c r="M311">
        <v>2</v>
      </c>
      <c r="N311" t="s">
        <v>31</v>
      </c>
      <c r="O311" t="s">
        <v>32</v>
      </c>
      <c r="P311">
        <v>11</v>
      </c>
      <c r="Q311">
        <v>37</v>
      </c>
      <c r="R311">
        <v>2</v>
      </c>
      <c r="S311" t="s">
        <v>33</v>
      </c>
      <c r="T311">
        <v>0</v>
      </c>
      <c r="U311" t="s">
        <v>33</v>
      </c>
      <c r="V311" s="1">
        <v>42839</v>
      </c>
      <c r="W311" s="1">
        <v>43408</v>
      </c>
    </row>
    <row r="312" spans="1:23" x14ac:dyDescent="0.35">
      <c r="A312" t="s">
        <v>368</v>
      </c>
      <c r="B312">
        <v>56</v>
      </c>
      <c r="C312" t="s">
        <v>44</v>
      </c>
      <c r="D312" t="s">
        <v>39</v>
      </c>
      <c r="E312" t="s">
        <v>40</v>
      </c>
      <c r="F312" t="s">
        <v>30</v>
      </c>
      <c r="G312">
        <v>133327</v>
      </c>
      <c r="H312">
        <v>17</v>
      </c>
      <c r="I312">
        <v>34</v>
      </c>
      <c r="J312">
        <v>5</v>
      </c>
      <c r="K312">
        <v>4</v>
      </c>
      <c r="L312">
        <v>2</v>
      </c>
      <c r="M312">
        <v>2</v>
      </c>
      <c r="N312" t="s">
        <v>31</v>
      </c>
      <c r="O312" t="s">
        <v>32</v>
      </c>
      <c r="P312">
        <v>5</v>
      </c>
      <c r="Q312">
        <v>42</v>
      </c>
      <c r="R312">
        <v>2</v>
      </c>
      <c r="S312" t="s">
        <v>33</v>
      </c>
      <c r="T312">
        <v>3</v>
      </c>
      <c r="U312" t="s">
        <v>31</v>
      </c>
      <c r="V312" s="1">
        <v>43595</v>
      </c>
    </row>
    <row r="313" spans="1:23" x14ac:dyDescent="0.35">
      <c r="A313" t="s">
        <v>369</v>
      </c>
      <c r="B313">
        <v>49</v>
      </c>
      <c r="C313" t="s">
        <v>44</v>
      </c>
      <c r="D313" t="s">
        <v>52</v>
      </c>
      <c r="E313" t="s">
        <v>53</v>
      </c>
      <c r="F313" t="s">
        <v>56</v>
      </c>
      <c r="G313">
        <v>134715</v>
      </c>
      <c r="H313">
        <v>17</v>
      </c>
      <c r="I313">
        <v>28</v>
      </c>
      <c r="J313">
        <v>5</v>
      </c>
      <c r="K313">
        <v>2</v>
      </c>
      <c r="L313">
        <v>2</v>
      </c>
      <c r="M313">
        <v>4</v>
      </c>
      <c r="N313" t="s">
        <v>31</v>
      </c>
      <c r="O313" t="s">
        <v>47</v>
      </c>
      <c r="P313">
        <v>3</v>
      </c>
      <c r="Q313">
        <v>53</v>
      </c>
      <c r="R313">
        <v>3</v>
      </c>
      <c r="S313" t="s">
        <v>31</v>
      </c>
      <c r="T313">
        <v>8</v>
      </c>
      <c r="U313" t="s">
        <v>31</v>
      </c>
      <c r="V313" s="1">
        <v>42047</v>
      </c>
    </row>
    <row r="314" spans="1:23" x14ac:dyDescent="0.35">
      <c r="A314" t="s">
        <v>370</v>
      </c>
      <c r="B314">
        <v>39</v>
      </c>
      <c r="C314" t="s">
        <v>27</v>
      </c>
      <c r="D314" t="s">
        <v>28</v>
      </c>
      <c r="E314" t="s">
        <v>66</v>
      </c>
      <c r="F314" t="s">
        <v>61</v>
      </c>
      <c r="G314">
        <v>129936</v>
      </c>
      <c r="H314">
        <v>13</v>
      </c>
      <c r="I314">
        <v>15</v>
      </c>
      <c r="J314">
        <v>5</v>
      </c>
      <c r="K314">
        <v>3</v>
      </c>
      <c r="L314">
        <v>3</v>
      </c>
      <c r="M314">
        <v>3</v>
      </c>
      <c r="N314" t="s">
        <v>31</v>
      </c>
      <c r="O314" t="s">
        <v>32</v>
      </c>
      <c r="P314">
        <v>4</v>
      </c>
      <c r="Q314">
        <v>28</v>
      </c>
      <c r="R314">
        <v>3</v>
      </c>
      <c r="S314" t="s">
        <v>33</v>
      </c>
      <c r="T314">
        <v>5</v>
      </c>
      <c r="U314" t="s">
        <v>33</v>
      </c>
      <c r="V314" s="1">
        <v>44802</v>
      </c>
      <c r="W314" s="1">
        <v>45675</v>
      </c>
    </row>
    <row r="315" spans="1:23" x14ac:dyDescent="0.35">
      <c r="A315" t="s">
        <v>371</v>
      </c>
      <c r="B315">
        <v>50</v>
      </c>
      <c r="C315" t="s">
        <v>44</v>
      </c>
      <c r="D315" t="s">
        <v>39</v>
      </c>
      <c r="E315" t="s">
        <v>74</v>
      </c>
      <c r="F315" t="s">
        <v>30</v>
      </c>
      <c r="G315">
        <v>52737</v>
      </c>
      <c r="H315">
        <v>0</v>
      </c>
      <c r="I315">
        <v>29</v>
      </c>
      <c r="J315">
        <v>2</v>
      </c>
      <c r="K315">
        <v>4</v>
      </c>
      <c r="L315">
        <v>3</v>
      </c>
      <c r="M315">
        <v>4</v>
      </c>
      <c r="N315" t="s">
        <v>31</v>
      </c>
      <c r="O315" t="s">
        <v>42</v>
      </c>
      <c r="P315">
        <v>12</v>
      </c>
      <c r="Q315">
        <v>49</v>
      </c>
      <c r="R315">
        <v>3</v>
      </c>
      <c r="S315" t="s">
        <v>31</v>
      </c>
      <c r="T315">
        <v>4</v>
      </c>
      <c r="U315" t="s">
        <v>31</v>
      </c>
      <c r="V315" s="1">
        <v>43850</v>
      </c>
    </row>
    <row r="316" spans="1:23" x14ac:dyDescent="0.35">
      <c r="A316" t="s">
        <v>372</v>
      </c>
      <c r="B316">
        <v>29</v>
      </c>
      <c r="C316" t="s">
        <v>44</v>
      </c>
      <c r="D316" t="s">
        <v>39</v>
      </c>
      <c r="E316" t="s">
        <v>74</v>
      </c>
      <c r="F316" t="s">
        <v>37</v>
      </c>
      <c r="G316">
        <v>85580</v>
      </c>
      <c r="H316">
        <v>6</v>
      </c>
      <c r="I316">
        <v>7</v>
      </c>
      <c r="J316">
        <v>3</v>
      </c>
      <c r="K316">
        <v>2</v>
      </c>
      <c r="L316">
        <v>4</v>
      </c>
      <c r="M316">
        <v>2</v>
      </c>
      <c r="N316" t="s">
        <v>31</v>
      </c>
      <c r="O316" t="s">
        <v>32</v>
      </c>
      <c r="P316">
        <v>24</v>
      </c>
      <c r="Q316">
        <v>43</v>
      </c>
      <c r="R316">
        <v>4</v>
      </c>
      <c r="S316" t="s">
        <v>31</v>
      </c>
      <c r="T316">
        <v>7</v>
      </c>
      <c r="U316" t="s">
        <v>31</v>
      </c>
      <c r="V316" s="1">
        <v>42827</v>
      </c>
    </row>
    <row r="317" spans="1:23" x14ac:dyDescent="0.35">
      <c r="A317" t="s">
        <v>373</v>
      </c>
      <c r="B317">
        <v>38</v>
      </c>
      <c r="C317" t="s">
        <v>44</v>
      </c>
      <c r="D317" t="s">
        <v>45</v>
      </c>
      <c r="E317" t="s">
        <v>63</v>
      </c>
      <c r="F317" t="s">
        <v>56</v>
      </c>
      <c r="G317">
        <v>122824</v>
      </c>
      <c r="H317">
        <v>12</v>
      </c>
      <c r="I317">
        <v>14</v>
      </c>
      <c r="J317">
        <v>5</v>
      </c>
      <c r="K317">
        <v>4</v>
      </c>
      <c r="L317">
        <v>1</v>
      </c>
      <c r="M317">
        <v>1</v>
      </c>
      <c r="N317" t="s">
        <v>31</v>
      </c>
      <c r="O317" t="s">
        <v>32</v>
      </c>
      <c r="P317">
        <v>6</v>
      </c>
      <c r="Q317">
        <v>22</v>
      </c>
      <c r="R317">
        <v>3</v>
      </c>
      <c r="S317" t="s">
        <v>31</v>
      </c>
      <c r="T317">
        <v>2</v>
      </c>
      <c r="U317" t="s">
        <v>33</v>
      </c>
      <c r="V317" s="1">
        <v>43151</v>
      </c>
      <c r="W317" s="1">
        <v>43262</v>
      </c>
    </row>
    <row r="318" spans="1:23" x14ac:dyDescent="0.35">
      <c r="A318" t="s">
        <v>374</v>
      </c>
      <c r="B318">
        <v>31</v>
      </c>
      <c r="C318" t="s">
        <v>27</v>
      </c>
      <c r="D318" t="s">
        <v>35</v>
      </c>
      <c r="E318" t="s">
        <v>36</v>
      </c>
      <c r="F318" t="s">
        <v>37</v>
      </c>
      <c r="G318">
        <v>80622</v>
      </c>
      <c r="H318">
        <v>5</v>
      </c>
      <c r="I318">
        <v>9</v>
      </c>
      <c r="J318">
        <v>3</v>
      </c>
      <c r="K318">
        <v>1</v>
      </c>
      <c r="L318">
        <v>2</v>
      </c>
      <c r="M318">
        <v>2</v>
      </c>
      <c r="N318" t="s">
        <v>33</v>
      </c>
      <c r="O318" t="s">
        <v>32</v>
      </c>
      <c r="P318">
        <v>4</v>
      </c>
      <c r="Q318">
        <v>39</v>
      </c>
      <c r="R318">
        <v>3</v>
      </c>
      <c r="S318" t="s">
        <v>33</v>
      </c>
      <c r="T318">
        <v>8</v>
      </c>
      <c r="U318" t="s">
        <v>33</v>
      </c>
      <c r="V318" s="1">
        <v>41304</v>
      </c>
      <c r="W318" s="1">
        <v>41410</v>
      </c>
    </row>
    <row r="319" spans="1:23" x14ac:dyDescent="0.35">
      <c r="A319" t="s">
        <v>375</v>
      </c>
      <c r="B319">
        <v>47</v>
      </c>
      <c r="C319" t="s">
        <v>27</v>
      </c>
      <c r="D319" t="s">
        <v>35</v>
      </c>
      <c r="E319" t="s">
        <v>85</v>
      </c>
      <c r="F319" t="s">
        <v>78</v>
      </c>
      <c r="G319">
        <v>148459</v>
      </c>
      <c r="H319">
        <v>22</v>
      </c>
      <c r="I319">
        <v>26</v>
      </c>
      <c r="J319">
        <v>5</v>
      </c>
      <c r="K319">
        <v>1</v>
      </c>
      <c r="L319">
        <v>4</v>
      </c>
      <c r="M319">
        <v>4</v>
      </c>
      <c r="N319" t="s">
        <v>31</v>
      </c>
      <c r="O319" t="s">
        <v>32</v>
      </c>
      <c r="P319">
        <v>28</v>
      </c>
      <c r="Q319">
        <v>36</v>
      </c>
      <c r="R319">
        <v>3</v>
      </c>
      <c r="S319" t="s">
        <v>33</v>
      </c>
      <c r="T319">
        <v>4</v>
      </c>
      <c r="U319" t="s">
        <v>31</v>
      </c>
      <c r="V319" s="1">
        <v>41573</v>
      </c>
    </row>
    <row r="320" spans="1:23" x14ac:dyDescent="0.35">
      <c r="A320" t="s">
        <v>376</v>
      </c>
      <c r="B320">
        <v>34</v>
      </c>
      <c r="C320" t="s">
        <v>44</v>
      </c>
      <c r="D320" t="s">
        <v>28</v>
      </c>
      <c r="E320" t="s">
        <v>29</v>
      </c>
      <c r="F320" t="s">
        <v>78</v>
      </c>
      <c r="G320">
        <v>102869</v>
      </c>
      <c r="H320">
        <v>9</v>
      </c>
      <c r="I320">
        <v>10</v>
      </c>
      <c r="J320">
        <v>4</v>
      </c>
      <c r="K320">
        <v>1</v>
      </c>
      <c r="L320">
        <v>1</v>
      </c>
      <c r="M320">
        <v>4</v>
      </c>
      <c r="N320" t="s">
        <v>31</v>
      </c>
      <c r="O320" t="s">
        <v>42</v>
      </c>
      <c r="P320">
        <v>7</v>
      </c>
      <c r="Q320">
        <v>47</v>
      </c>
      <c r="R320">
        <v>3</v>
      </c>
      <c r="S320" t="s">
        <v>31</v>
      </c>
      <c r="T320">
        <v>7</v>
      </c>
      <c r="U320" t="s">
        <v>31</v>
      </c>
      <c r="V320" s="1">
        <v>44218</v>
      </c>
    </row>
    <row r="321" spans="1:23" x14ac:dyDescent="0.35">
      <c r="A321" t="s">
        <v>377</v>
      </c>
      <c r="B321">
        <v>48</v>
      </c>
      <c r="C321" t="s">
        <v>27</v>
      </c>
      <c r="D321" t="s">
        <v>52</v>
      </c>
      <c r="E321" t="s">
        <v>55</v>
      </c>
      <c r="F321" t="s">
        <v>78</v>
      </c>
      <c r="G321">
        <v>152548</v>
      </c>
      <c r="H321">
        <v>26</v>
      </c>
      <c r="I321">
        <v>27</v>
      </c>
      <c r="J321">
        <v>5</v>
      </c>
      <c r="K321">
        <v>2</v>
      </c>
      <c r="L321">
        <v>4</v>
      </c>
      <c r="M321">
        <v>4</v>
      </c>
      <c r="N321" t="s">
        <v>31</v>
      </c>
      <c r="O321" t="s">
        <v>32</v>
      </c>
      <c r="P321">
        <v>6</v>
      </c>
      <c r="Q321">
        <v>47</v>
      </c>
      <c r="R321">
        <v>2</v>
      </c>
      <c r="S321" t="s">
        <v>31</v>
      </c>
      <c r="T321">
        <v>4</v>
      </c>
      <c r="U321" t="s">
        <v>31</v>
      </c>
      <c r="V321" s="1">
        <v>44918</v>
      </c>
    </row>
    <row r="322" spans="1:23" x14ac:dyDescent="0.35">
      <c r="A322" t="s">
        <v>378</v>
      </c>
      <c r="B322">
        <v>33</v>
      </c>
      <c r="C322" t="s">
        <v>44</v>
      </c>
      <c r="D322" t="s">
        <v>39</v>
      </c>
      <c r="E322" t="s">
        <v>40</v>
      </c>
      <c r="F322" t="s">
        <v>56</v>
      </c>
      <c r="G322">
        <v>108211</v>
      </c>
      <c r="H322">
        <v>11</v>
      </c>
      <c r="I322">
        <v>11</v>
      </c>
      <c r="J322">
        <v>4</v>
      </c>
      <c r="K322">
        <v>3</v>
      </c>
      <c r="L322">
        <v>2</v>
      </c>
      <c r="M322">
        <v>2</v>
      </c>
      <c r="N322" t="s">
        <v>33</v>
      </c>
      <c r="O322" t="s">
        <v>42</v>
      </c>
      <c r="P322">
        <v>16</v>
      </c>
      <c r="Q322">
        <v>17</v>
      </c>
      <c r="R322">
        <v>3</v>
      </c>
      <c r="S322" t="s">
        <v>33</v>
      </c>
      <c r="T322">
        <v>5</v>
      </c>
      <c r="U322" t="s">
        <v>31</v>
      </c>
      <c r="V322" s="1">
        <v>42848</v>
      </c>
    </row>
    <row r="323" spans="1:23" x14ac:dyDescent="0.35">
      <c r="A323" t="s">
        <v>379</v>
      </c>
      <c r="B323">
        <v>26</v>
      </c>
      <c r="C323" t="s">
        <v>27</v>
      </c>
      <c r="D323" t="s">
        <v>39</v>
      </c>
      <c r="E323" t="s">
        <v>40</v>
      </c>
      <c r="F323" t="s">
        <v>78</v>
      </c>
      <c r="G323">
        <v>55813</v>
      </c>
      <c r="H323">
        <v>1</v>
      </c>
      <c r="I323">
        <v>2</v>
      </c>
      <c r="J323">
        <v>2</v>
      </c>
      <c r="K323">
        <v>4</v>
      </c>
      <c r="L323">
        <v>4</v>
      </c>
      <c r="M323">
        <v>3</v>
      </c>
      <c r="N323" t="s">
        <v>33</v>
      </c>
      <c r="O323" t="s">
        <v>32</v>
      </c>
      <c r="P323">
        <v>2</v>
      </c>
      <c r="Q323">
        <v>20</v>
      </c>
      <c r="R323">
        <v>3</v>
      </c>
      <c r="S323" t="s">
        <v>31</v>
      </c>
      <c r="T323">
        <v>4</v>
      </c>
      <c r="U323" t="s">
        <v>31</v>
      </c>
      <c r="V323" s="1">
        <v>43970</v>
      </c>
    </row>
    <row r="324" spans="1:23" x14ac:dyDescent="0.35">
      <c r="A324" t="s">
        <v>380</v>
      </c>
      <c r="B324">
        <v>44</v>
      </c>
      <c r="C324" t="s">
        <v>44</v>
      </c>
      <c r="D324" t="s">
        <v>45</v>
      </c>
      <c r="E324" t="s">
        <v>46</v>
      </c>
      <c r="F324" t="s">
        <v>78</v>
      </c>
      <c r="G324">
        <v>78441</v>
      </c>
      <c r="H324">
        <v>5</v>
      </c>
      <c r="I324">
        <v>21</v>
      </c>
      <c r="J324">
        <v>3</v>
      </c>
      <c r="K324">
        <v>1</v>
      </c>
      <c r="L324">
        <v>4</v>
      </c>
      <c r="M324">
        <v>4</v>
      </c>
      <c r="N324" t="s">
        <v>31</v>
      </c>
      <c r="O324" t="s">
        <v>32</v>
      </c>
      <c r="P324">
        <v>20</v>
      </c>
      <c r="Q324">
        <v>27</v>
      </c>
      <c r="R324">
        <v>3</v>
      </c>
      <c r="S324" t="s">
        <v>33</v>
      </c>
      <c r="T324">
        <v>5</v>
      </c>
      <c r="U324" t="s">
        <v>31</v>
      </c>
      <c r="V324" s="1">
        <v>41595</v>
      </c>
    </row>
    <row r="325" spans="1:23" x14ac:dyDescent="0.35">
      <c r="A325" t="s">
        <v>381</v>
      </c>
      <c r="B325">
        <v>55</v>
      </c>
      <c r="C325" t="s">
        <v>44</v>
      </c>
      <c r="D325" t="s">
        <v>35</v>
      </c>
      <c r="E325" t="s">
        <v>85</v>
      </c>
      <c r="F325" t="s">
        <v>56</v>
      </c>
      <c r="G325">
        <v>138810</v>
      </c>
      <c r="H325">
        <v>20</v>
      </c>
      <c r="I325">
        <v>31</v>
      </c>
      <c r="J325">
        <v>5</v>
      </c>
      <c r="K325">
        <v>3</v>
      </c>
      <c r="L325">
        <v>2</v>
      </c>
      <c r="M325">
        <v>1</v>
      </c>
      <c r="N325" t="s">
        <v>33</v>
      </c>
      <c r="O325" t="s">
        <v>32</v>
      </c>
      <c r="P325">
        <v>8</v>
      </c>
      <c r="Q325">
        <v>57</v>
      </c>
      <c r="R325">
        <v>3</v>
      </c>
      <c r="S325" t="s">
        <v>33</v>
      </c>
      <c r="T325">
        <v>6</v>
      </c>
      <c r="U325" t="s">
        <v>33</v>
      </c>
      <c r="V325" s="1">
        <v>41201</v>
      </c>
      <c r="W325" s="1">
        <v>41928</v>
      </c>
    </row>
    <row r="326" spans="1:23" x14ac:dyDescent="0.35">
      <c r="A326" t="s">
        <v>382</v>
      </c>
      <c r="B326">
        <v>45</v>
      </c>
      <c r="C326" t="s">
        <v>27</v>
      </c>
      <c r="D326" t="s">
        <v>39</v>
      </c>
      <c r="E326" t="s">
        <v>74</v>
      </c>
      <c r="F326" t="s">
        <v>78</v>
      </c>
      <c r="G326">
        <v>79966</v>
      </c>
      <c r="H326">
        <v>6</v>
      </c>
      <c r="I326">
        <v>23</v>
      </c>
      <c r="J326">
        <v>3</v>
      </c>
      <c r="K326">
        <v>2</v>
      </c>
      <c r="L326">
        <v>4</v>
      </c>
      <c r="M326">
        <v>3</v>
      </c>
      <c r="N326" t="s">
        <v>31</v>
      </c>
      <c r="O326" t="s">
        <v>32</v>
      </c>
      <c r="P326">
        <v>28</v>
      </c>
      <c r="Q326">
        <v>22</v>
      </c>
      <c r="R326">
        <v>2</v>
      </c>
      <c r="S326" t="s">
        <v>33</v>
      </c>
      <c r="T326">
        <v>6</v>
      </c>
      <c r="U326" t="s">
        <v>33</v>
      </c>
      <c r="V326" s="1">
        <v>42291</v>
      </c>
      <c r="W326" s="1">
        <v>42917</v>
      </c>
    </row>
    <row r="327" spans="1:23" x14ac:dyDescent="0.35">
      <c r="A327" t="s">
        <v>383</v>
      </c>
      <c r="B327">
        <v>32</v>
      </c>
      <c r="C327" t="s">
        <v>44</v>
      </c>
      <c r="D327" t="s">
        <v>52</v>
      </c>
      <c r="E327" t="s">
        <v>53</v>
      </c>
      <c r="F327" t="s">
        <v>78</v>
      </c>
      <c r="G327">
        <v>85948</v>
      </c>
      <c r="H327">
        <v>6</v>
      </c>
      <c r="I327">
        <v>10</v>
      </c>
      <c r="J327">
        <v>3</v>
      </c>
      <c r="K327">
        <v>1</v>
      </c>
      <c r="L327">
        <v>1</v>
      </c>
      <c r="M327">
        <v>4</v>
      </c>
      <c r="N327" t="s">
        <v>33</v>
      </c>
      <c r="O327" t="s">
        <v>32</v>
      </c>
      <c r="P327">
        <v>5</v>
      </c>
      <c r="Q327">
        <v>11</v>
      </c>
      <c r="R327">
        <v>3</v>
      </c>
      <c r="S327" t="s">
        <v>31</v>
      </c>
      <c r="T327">
        <v>4</v>
      </c>
      <c r="U327" t="s">
        <v>31</v>
      </c>
      <c r="V327" s="1">
        <v>41267</v>
      </c>
    </row>
    <row r="328" spans="1:23" x14ac:dyDescent="0.35">
      <c r="A328" t="s">
        <v>384</v>
      </c>
      <c r="B328">
        <v>23</v>
      </c>
      <c r="C328" t="s">
        <v>44</v>
      </c>
      <c r="D328" t="s">
        <v>39</v>
      </c>
      <c r="E328" t="s">
        <v>59</v>
      </c>
      <c r="F328" t="s">
        <v>61</v>
      </c>
      <c r="G328">
        <v>38627</v>
      </c>
      <c r="H328">
        <v>0</v>
      </c>
      <c r="I328">
        <v>2</v>
      </c>
      <c r="J328">
        <v>1</v>
      </c>
      <c r="K328">
        <v>2</v>
      </c>
      <c r="L328">
        <v>3</v>
      </c>
      <c r="M328">
        <v>1</v>
      </c>
      <c r="N328" t="s">
        <v>31</v>
      </c>
      <c r="O328" t="s">
        <v>32</v>
      </c>
      <c r="P328">
        <v>18</v>
      </c>
      <c r="Q328">
        <v>19</v>
      </c>
      <c r="R328">
        <v>2</v>
      </c>
      <c r="S328" t="s">
        <v>31</v>
      </c>
      <c r="T328">
        <v>4</v>
      </c>
      <c r="U328" t="s">
        <v>31</v>
      </c>
      <c r="V328" s="1">
        <v>41707</v>
      </c>
    </row>
    <row r="329" spans="1:23" x14ac:dyDescent="0.35">
      <c r="A329" t="s">
        <v>385</v>
      </c>
      <c r="B329">
        <v>48</v>
      </c>
      <c r="C329" t="s">
        <v>44</v>
      </c>
      <c r="D329" t="s">
        <v>45</v>
      </c>
      <c r="E329" t="s">
        <v>46</v>
      </c>
      <c r="F329" t="s">
        <v>41</v>
      </c>
      <c r="G329">
        <v>153800</v>
      </c>
      <c r="H329">
        <v>25</v>
      </c>
      <c r="I329">
        <v>27</v>
      </c>
      <c r="J329">
        <v>5</v>
      </c>
      <c r="K329">
        <v>2</v>
      </c>
      <c r="L329">
        <v>1</v>
      </c>
      <c r="M329">
        <v>1</v>
      </c>
      <c r="N329" t="s">
        <v>31</v>
      </c>
      <c r="O329" t="s">
        <v>32</v>
      </c>
      <c r="P329">
        <v>6</v>
      </c>
      <c r="Q329">
        <v>30</v>
      </c>
      <c r="R329">
        <v>3</v>
      </c>
      <c r="S329" t="s">
        <v>31</v>
      </c>
      <c r="T329">
        <v>3</v>
      </c>
      <c r="U329" t="s">
        <v>31</v>
      </c>
      <c r="V329" s="1">
        <v>41136</v>
      </c>
    </row>
    <row r="330" spans="1:23" x14ac:dyDescent="0.35">
      <c r="A330" t="s">
        <v>386</v>
      </c>
      <c r="B330">
        <v>38</v>
      </c>
      <c r="C330" t="s">
        <v>27</v>
      </c>
      <c r="D330" t="s">
        <v>45</v>
      </c>
      <c r="E330" t="s">
        <v>63</v>
      </c>
      <c r="F330" t="s">
        <v>41</v>
      </c>
      <c r="G330">
        <v>102530</v>
      </c>
      <c r="H330">
        <v>7</v>
      </c>
      <c r="I330">
        <v>17</v>
      </c>
      <c r="J330">
        <v>4</v>
      </c>
      <c r="K330">
        <v>1</v>
      </c>
      <c r="L330">
        <v>3</v>
      </c>
      <c r="M330">
        <v>1</v>
      </c>
      <c r="N330" t="s">
        <v>31</v>
      </c>
      <c r="O330" t="s">
        <v>32</v>
      </c>
      <c r="P330">
        <v>22</v>
      </c>
      <c r="Q330">
        <v>55</v>
      </c>
      <c r="R330">
        <v>4</v>
      </c>
      <c r="S330" t="s">
        <v>31</v>
      </c>
      <c r="T330">
        <v>4</v>
      </c>
      <c r="U330" t="s">
        <v>31</v>
      </c>
      <c r="V330" s="1">
        <v>44299</v>
      </c>
    </row>
    <row r="331" spans="1:23" x14ac:dyDescent="0.35">
      <c r="A331" t="s">
        <v>387</v>
      </c>
      <c r="B331">
        <v>51</v>
      </c>
      <c r="C331" t="s">
        <v>27</v>
      </c>
      <c r="D331" t="s">
        <v>45</v>
      </c>
      <c r="E331" t="s">
        <v>63</v>
      </c>
      <c r="F331" t="s">
        <v>41</v>
      </c>
      <c r="G331">
        <v>104855</v>
      </c>
      <c r="H331">
        <v>10</v>
      </c>
      <c r="I331">
        <v>27</v>
      </c>
      <c r="J331">
        <v>4</v>
      </c>
      <c r="K331">
        <v>1</v>
      </c>
      <c r="L331">
        <v>1</v>
      </c>
      <c r="M331">
        <v>1</v>
      </c>
      <c r="N331" t="s">
        <v>33</v>
      </c>
      <c r="O331" t="s">
        <v>32</v>
      </c>
      <c r="P331">
        <v>2</v>
      </c>
      <c r="Q331">
        <v>19</v>
      </c>
      <c r="R331">
        <v>4</v>
      </c>
      <c r="S331" t="s">
        <v>31</v>
      </c>
      <c r="T331">
        <v>5</v>
      </c>
      <c r="U331" t="s">
        <v>31</v>
      </c>
      <c r="V331" s="1">
        <v>43346</v>
      </c>
    </row>
    <row r="332" spans="1:23" x14ac:dyDescent="0.35">
      <c r="A332" t="s">
        <v>388</v>
      </c>
      <c r="B332">
        <v>43</v>
      </c>
      <c r="C332" t="s">
        <v>44</v>
      </c>
      <c r="D332" t="s">
        <v>35</v>
      </c>
      <c r="E332" t="s">
        <v>36</v>
      </c>
      <c r="F332" t="s">
        <v>30</v>
      </c>
      <c r="G332">
        <v>139319</v>
      </c>
      <c r="H332">
        <v>18</v>
      </c>
      <c r="I332">
        <v>19</v>
      </c>
      <c r="J332">
        <v>5</v>
      </c>
      <c r="K332">
        <v>2</v>
      </c>
      <c r="L332">
        <v>1</v>
      </c>
      <c r="M332">
        <v>2</v>
      </c>
      <c r="N332" t="s">
        <v>31</v>
      </c>
      <c r="O332" t="s">
        <v>42</v>
      </c>
      <c r="P332">
        <v>4</v>
      </c>
      <c r="Q332">
        <v>21</v>
      </c>
      <c r="R332">
        <v>3</v>
      </c>
      <c r="S332" t="s">
        <v>31</v>
      </c>
      <c r="T332">
        <v>7</v>
      </c>
      <c r="U332" t="s">
        <v>31</v>
      </c>
      <c r="V332" s="1">
        <v>44981</v>
      </c>
    </row>
    <row r="333" spans="1:23" x14ac:dyDescent="0.35">
      <c r="A333" t="s">
        <v>389</v>
      </c>
      <c r="B333">
        <v>31</v>
      </c>
      <c r="C333" t="s">
        <v>27</v>
      </c>
      <c r="D333" t="s">
        <v>45</v>
      </c>
      <c r="E333" t="s">
        <v>46</v>
      </c>
      <c r="F333" t="s">
        <v>37</v>
      </c>
      <c r="G333">
        <v>63079</v>
      </c>
      <c r="H333">
        <v>5</v>
      </c>
      <c r="I333">
        <v>8</v>
      </c>
      <c r="J333">
        <v>2</v>
      </c>
      <c r="K333">
        <v>3</v>
      </c>
      <c r="L333">
        <v>3</v>
      </c>
      <c r="M333">
        <v>3</v>
      </c>
      <c r="N333" t="s">
        <v>31</v>
      </c>
      <c r="O333" t="s">
        <v>32</v>
      </c>
      <c r="P333">
        <v>25</v>
      </c>
      <c r="Q333">
        <v>59</v>
      </c>
      <c r="R333">
        <v>3</v>
      </c>
      <c r="S333" t="s">
        <v>31</v>
      </c>
      <c r="T333">
        <v>5</v>
      </c>
      <c r="U333" t="s">
        <v>31</v>
      </c>
      <c r="V333" s="1">
        <v>43562</v>
      </c>
    </row>
    <row r="334" spans="1:23" x14ac:dyDescent="0.35">
      <c r="A334" t="s">
        <v>390</v>
      </c>
      <c r="B334">
        <v>26</v>
      </c>
      <c r="C334" t="s">
        <v>27</v>
      </c>
      <c r="D334" t="s">
        <v>39</v>
      </c>
      <c r="E334" t="s">
        <v>74</v>
      </c>
      <c r="F334" t="s">
        <v>37</v>
      </c>
      <c r="G334">
        <v>82740</v>
      </c>
      <c r="H334">
        <v>4</v>
      </c>
      <c r="I334">
        <v>4</v>
      </c>
      <c r="J334">
        <v>3</v>
      </c>
      <c r="K334">
        <v>3</v>
      </c>
      <c r="L334">
        <v>1</v>
      </c>
      <c r="M334">
        <v>4</v>
      </c>
      <c r="N334" t="s">
        <v>31</v>
      </c>
      <c r="O334" t="s">
        <v>32</v>
      </c>
      <c r="P334">
        <v>1</v>
      </c>
      <c r="Q334">
        <v>39</v>
      </c>
      <c r="R334">
        <v>2</v>
      </c>
      <c r="S334" t="s">
        <v>31</v>
      </c>
      <c r="T334">
        <v>3</v>
      </c>
      <c r="U334" t="s">
        <v>31</v>
      </c>
      <c r="V334" s="1">
        <v>41219</v>
      </c>
    </row>
    <row r="335" spans="1:23" x14ac:dyDescent="0.35">
      <c r="A335" t="s">
        <v>391</v>
      </c>
      <c r="B335">
        <v>34</v>
      </c>
      <c r="C335" t="s">
        <v>44</v>
      </c>
      <c r="D335" t="s">
        <v>28</v>
      </c>
      <c r="E335" t="s">
        <v>66</v>
      </c>
      <c r="F335" t="s">
        <v>56</v>
      </c>
      <c r="G335">
        <v>54421</v>
      </c>
      <c r="H335">
        <v>1</v>
      </c>
      <c r="I335">
        <v>12</v>
      </c>
      <c r="J335">
        <v>2</v>
      </c>
      <c r="K335">
        <v>2</v>
      </c>
      <c r="L335">
        <v>1</v>
      </c>
      <c r="M335">
        <v>1</v>
      </c>
      <c r="N335" t="s">
        <v>33</v>
      </c>
      <c r="O335" t="s">
        <v>32</v>
      </c>
      <c r="P335">
        <v>17</v>
      </c>
      <c r="Q335">
        <v>48</v>
      </c>
      <c r="R335">
        <v>3</v>
      </c>
      <c r="S335" t="s">
        <v>31</v>
      </c>
      <c r="T335">
        <v>6</v>
      </c>
      <c r="U335" t="s">
        <v>31</v>
      </c>
      <c r="V335" s="1">
        <v>42348</v>
      </c>
    </row>
    <row r="336" spans="1:23" x14ac:dyDescent="0.35">
      <c r="A336" t="s">
        <v>392</v>
      </c>
      <c r="B336">
        <v>47</v>
      </c>
      <c r="C336" t="s">
        <v>44</v>
      </c>
      <c r="D336" t="s">
        <v>28</v>
      </c>
      <c r="E336" t="s">
        <v>66</v>
      </c>
      <c r="F336" t="s">
        <v>30</v>
      </c>
      <c r="G336">
        <v>133471</v>
      </c>
      <c r="H336">
        <v>16</v>
      </c>
      <c r="I336">
        <v>25</v>
      </c>
      <c r="J336">
        <v>5</v>
      </c>
      <c r="K336">
        <v>3</v>
      </c>
      <c r="L336">
        <v>3</v>
      </c>
      <c r="M336">
        <v>4</v>
      </c>
      <c r="N336" t="s">
        <v>31</v>
      </c>
      <c r="O336" t="s">
        <v>42</v>
      </c>
      <c r="P336">
        <v>1</v>
      </c>
      <c r="Q336">
        <v>18</v>
      </c>
      <c r="R336">
        <v>3</v>
      </c>
      <c r="S336" t="s">
        <v>31</v>
      </c>
      <c r="T336">
        <v>4</v>
      </c>
      <c r="U336" t="s">
        <v>31</v>
      </c>
      <c r="V336" s="1">
        <v>41782</v>
      </c>
    </row>
    <row r="337" spans="1:23" x14ac:dyDescent="0.35">
      <c r="A337" t="s">
        <v>393</v>
      </c>
      <c r="B337">
        <v>30</v>
      </c>
      <c r="C337" t="s">
        <v>27</v>
      </c>
      <c r="D337" t="s">
        <v>45</v>
      </c>
      <c r="E337" t="s">
        <v>46</v>
      </c>
      <c r="F337" t="s">
        <v>78</v>
      </c>
      <c r="G337">
        <v>44716</v>
      </c>
      <c r="H337">
        <v>0</v>
      </c>
      <c r="I337">
        <v>6</v>
      </c>
      <c r="J337">
        <v>1</v>
      </c>
      <c r="K337">
        <v>3</v>
      </c>
      <c r="L337">
        <v>3</v>
      </c>
      <c r="M337">
        <v>2</v>
      </c>
      <c r="N337" t="s">
        <v>31</v>
      </c>
      <c r="O337" t="s">
        <v>32</v>
      </c>
      <c r="P337">
        <v>8</v>
      </c>
      <c r="Q337">
        <v>42</v>
      </c>
      <c r="R337">
        <v>3</v>
      </c>
      <c r="S337" t="s">
        <v>31</v>
      </c>
      <c r="T337">
        <v>2</v>
      </c>
      <c r="U337" t="s">
        <v>31</v>
      </c>
      <c r="V337" s="1">
        <v>43158</v>
      </c>
    </row>
    <row r="338" spans="1:23" x14ac:dyDescent="0.35">
      <c r="A338" t="s">
        <v>394</v>
      </c>
      <c r="B338">
        <v>45</v>
      </c>
      <c r="C338" t="s">
        <v>27</v>
      </c>
      <c r="D338" t="s">
        <v>28</v>
      </c>
      <c r="E338" t="s">
        <v>66</v>
      </c>
      <c r="F338" t="s">
        <v>78</v>
      </c>
      <c r="G338">
        <v>123812</v>
      </c>
      <c r="H338">
        <v>12</v>
      </c>
      <c r="I338">
        <v>24</v>
      </c>
      <c r="J338">
        <v>5</v>
      </c>
      <c r="K338">
        <v>3</v>
      </c>
      <c r="L338">
        <v>4</v>
      </c>
      <c r="M338">
        <v>2</v>
      </c>
      <c r="N338" t="s">
        <v>31</v>
      </c>
      <c r="O338" t="s">
        <v>42</v>
      </c>
      <c r="P338">
        <v>3</v>
      </c>
      <c r="Q338">
        <v>48</v>
      </c>
      <c r="R338">
        <v>2</v>
      </c>
      <c r="S338" t="s">
        <v>31</v>
      </c>
      <c r="T338">
        <v>5</v>
      </c>
      <c r="U338" t="s">
        <v>31</v>
      </c>
      <c r="V338" s="1">
        <v>44195</v>
      </c>
    </row>
    <row r="339" spans="1:23" x14ac:dyDescent="0.35">
      <c r="A339" t="s">
        <v>395</v>
      </c>
      <c r="B339">
        <v>28</v>
      </c>
      <c r="C339" t="s">
        <v>27</v>
      </c>
      <c r="D339" t="s">
        <v>52</v>
      </c>
      <c r="E339" t="s">
        <v>53</v>
      </c>
      <c r="F339" t="s">
        <v>37</v>
      </c>
      <c r="G339">
        <v>63185</v>
      </c>
      <c r="H339">
        <v>5</v>
      </c>
      <c r="I339">
        <v>7</v>
      </c>
      <c r="J339">
        <v>2</v>
      </c>
      <c r="K339">
        <v>3</v>
      </c>
      <c r="L339">
        <v>1</v>
      </c>
      <c r="M339">
        <v>4</v>
      </c>
      <c r="N339" t="s">
        <v>31</v>
      </c>
      <c r="O339" t="s">
        <v>32</v>
      </c>
      <c r="P339">
        <v>5</v>
      </c>
      <c r="Q339">
        <v>40</v>
      </c>
      <c r="R339">
        <v>2</v>
      </c>
      <c r="S339" t="s">
        <v>33</v>
      </c>
      <c r="T339">
        <v>6</v>
      </c>
      <c r="U339" t="s">
        <v>31</v>
      </c>
      <c r="V339" s="1">
        <v>44188</v>
      </c>
    </row>
    <row r="340" spans="1:23" x14ac:dyDescent="0.35">
      <c r="A340" t="s">
        <v>396</v>
      </c>
      <c r="B340">
        <v>43</v>
      </c>
      <c r="C340" t="s">
        <v>44</v>
      </c>
      <c r="D340" t="s">
        <v>49</v>
      </c>
      <c r="E340" t="s">
        <v>68</v>
      </c>
      <c r="F340" t="s">
        <v>56</v>
      </c>
      <c r="G340">
        <v>66782</v>
      </c>
      <c r="H340">
        <v>4</v>
      </c>
      <c r="I340">
        <v>21</v>
      </c>
      <c r="J340">
        <v>2</v>
      </c>
      <c r="K340">
        <v>2</v>
      </c>
      <c r="L340">
        <v>2</v>
      </c>
      <c r="M340">
        <v>2</v>
      </c>
      <c r="N340" t="s">
        <v>31</v>
      </c>
      <c r="O340" t="s">
        <v>32</v>
      </c>
      <c r="P340">
        <v>15</v>
      </c>
      <c r="Q340">
        <v>13</v>
      </c>
      <c r="R340">
        <v>2</v>
      </c>
      <c r="S340" t="s">
        <v>31</v>
      </c>
      <c r="T340">
        <v>7</v>
      </c>
      <c r="U340" t="s">
        <v>31</v>
      </c>
      <c r="V340" s="1">
        <v>41691</v>
      </c>
    </row>
    <row r="341" spans="1:23" x14ac:dyDescent="0.35">
      <c r="A341" t="s">
        <v>397</v>
      </c>
      <c r="B341">
        <v>49</v>
      </c>
      <c r="C341" t="s">
        <v>44</v>
      </c>
      <c r="D341" t="s">
        <v>28</v>
      </c>
      <c r="E341" t="s">
        <v>29</v>
      </c>
      <c r="F341" t="s">
        <v>61</v>
      </c>
      <c r="G341">
        <v>42722</v>
      </c>
      <c r="H341">
        <v>1</v>
      </c>
      <c r="I341">
        <v>28</v>
      </c>
      <c r="J341">
        <v>1</v>
      </c>
      <c r="K341">
        <v>4</v>
      </c>
      <c r="L341">
        <v>2</v>
      </c>
      <c r="M341">
        <v>4</v>
      </c>
      <c r="N341" t="s">
        <v>31</v>
      </c>
      <c r="O341" t="s">
        <v>42</v>
      </c>
      <c r="P341">
        <v>15</v>
      </c>
      <c r="Q341">
        <v>18</v>
      </c>
      <c r="R341">
        <v>3</v>
      </c>
      <c r="S341" t="s">
        <v>31</v>
      </c>
      <c r="T341">
        <v>4</v>
      </c>
      <c r="U341" t="s">
        <v>31</v>
      </c>
      <c r="V341" s="1">
        <v>44000</v>
      </c>
    </row>
    <row r="342" spans="1:23" x14ac:dyDescent="0.35">
      <c r="A342" t="s">
        <v>398</v>
      </c>
      <c r="B342">
        <v>30</v>
      </c>
      <c r="C342" t="s">
        <v>27</v>
      </c>
      <c r="D342" t="s">
        <v>35</v>
      </c>
      <c r="E342" t="s">
        <v>85</v>
      </c>
      <c r="F342" t="s">
        <v>41</v>
      </c>
      <c r="G342">
        <v>89408</v>
      </c>
      <c r="H342">
        <v>8</v>
      </c>
      <c r="I342">
        <v>8</v>
      </c>
      <c r="J342">
        <v>3</v>
      </c>
      <c r="K342">
        <v>2</v>
      </c>
      <c r="L342">
        <v>3</v>
      </c>
      <c r="M342">
        <v>4</v>
      </c>
      <c r="N342" t="s">
        <v>31</v>
      </c>
      <c r="O342" t="s">
        <v>47</v>
      </c>
      <c r="P342">
        <v>6</v>
      </c>
      <c r="Q342">
        <v>59</v>
      </c>
      <c r="R342">
        <v>3</v>
      </c>
      <c r="S342" t="s">
        <v>33</v>
      </c>
      <c r="T342">
        <v>5</v>
      </c>
      <c r="U342" t="s">
        <v>31</v>
      </c>
      <c r="V342" s="1">
        <v>44310</v>
      </c>
    </row>
    <row r="343" spans="1:23" x14ac:dyDescent="0.35">
      <c r="A343" t="s">
        <v>399</v>
      </c>
      <c r="B343">
        <v>26</v>
      </c>
      <c r="C343" t="s">
        <v>27</v>
      </c>
      <c r="D343" t="s">
        <v>45</v>
      </c>
      <c r="E343" t="s">
        <v>46</v>
      </c>
      <c r="F343" t="s">
        <v>37</v>
      </c>
      <c r="G343">
        <v>57939</v>
      </c>
      <c r="H343">
        <v>2</v>
      </c>
      <c r="I343">
        <v>5</v>
      </c>
      <c r="J343">
        <v>2</v>
      </c>
      <c r="K343">
        <v>1</v>
      </c>
      <c r="L343">
        <v>2</v>
      </c>
      <c r="M343">
        <v>1</v>
      </c>
      <c r="N343" t="s">
        <v>31</v>
      </c>
      <c r="O343" t="s">
        <v>32</v>
      </c>
      <c r="P343">
        <v>14</v>
      </c>
      <c r="Q343">
        <v>40</v>
      </c>
      <c r="R343">
        <v>3</v>
      </c>
      <c r="S343" t="s">
        <v>31</v>
      </c>
      <c r="T343">
        <v>4</v>
      </c>
      <c r="U343" t="s">
        <v>33</v>
      </c>
      <c r="V343" s="1">
        <v>45149</v>
      </c>
      <c r="W343" s="1">
        <v>45523</v>
      </c>
    </row>
    <row r="344" spans="1:23" x14ac:dyDescent="0.35">
      <c r="A344" t="s">
        <v>400</v>
      </c>
      <c r="B344">
        <v>27</v>
      </c>
      <c r="C344" t="s">
        <v>27</v>
      </c>
      <c r="D344" t="s">
        <v>49</v>
      </c>
      <c r="E344" t="s">
        <v>68</v>
      </c>
      <c r="F344" t="s">
        <v>56</v>
      </c>
      <c r="G344">
        <v>57734</v>
      </c>
      <c r="H344">
        <v>2</v>
      </c>
      <c r="I344">
        <v>6</v>
      </c>
      <c r="J344">
        <v>2</v>
      </c>
      <c r="K344">
        <v>2</v>
      </c>
      <c r="L344">
        <v>4</v>
      </c>
      <c r="M344">
        <v>2</v>
      </c>
      <c r="N344" t="s">
        <v>31</v>
      </c>
      <c r="O344" t="s">
        <v>32</v>
      </c>
      <c r="P344">
        <v>4</v>
      </c>
      <c r="Q344">
        <v>32</v>
      </c>
      <c r="R344">
        <v>4</v>
      </c>
      <c r="S344" t="s">
        <v>31</v>
      </c>
      <c r="T344">
        <v>4</v>
      </c>
      <c r="U344" t="s">
        <v>31</v>
      </c>
      <c r="V344" s="1">
        <v>43755</v>
      </c>
    </row>
    <row r="345" spans="1:23" x14ac:dyDescent="0.35">
      <c r="A345" t="s">
        <v>401</v>
      </c>
      <c r="B345">
        <v>42</v>
      </c>
      <c r="C345" t="s">
        <v>27</v>
      </c>
      <c r="D345" t="s">
        <v>39</v>
      </c>
      <c r="E345" t="s">
        <v>40</v>
      </c>
      <c r="F345" t="s">
        <v>61</v>
      </c>
      <c r="G345">
        <v>57167</v>
      </c>
      <c r="H345">
        <v>1</v>
      </c>
      <c r="I345">
        <v>18</v>
      </c>
      <c r="J345">
        <v>2</v>
      </c>
      <c r="K345">
        <v>2</v>
      </c>
      <c r="L345">
        <v>4</v>
      </c>
      <c r="M345">
        <v>2</v>
      </c>
      <c r="N345" t="s">
        <v>31</v>
      </c>
      <c r="O345" t="s">
        <v>32</v>
      </c>
      <c r="P345">
        <v>23</v>
      </c>
      <c r="Q345">
        <v>13</v>
      </c>
      <c r="R345">
        <v>3</v>
      </c>
      <c r="S345" t="s">
        <v>31</v>
      </c>
      <c r="T345">
        <v>5</v>
      </c>
      <c r="U345" t="s">
        <v>31</v>
      </c>
      <c r="V345" s="1">
        <v>42202</v>
      </c>
    </row>
    <row r="346" spans="1:23" x14ac:dyDescent="0.35">
      <c r="A346" t="s">
        <v>402</v>
      </c>
      <c r="B346">
        <v>55</v>
      </c>
      <c r="C346" t="s">
        <v>27</v>
      </c>
      <c r="D346" t="s">
        <v>39</v>
      </c>
      <c r="E346" t="s">
        <v>59</v>
      </c>
      <c r="F346" t="s">
        <v>30</v>
      </c>
      <c r="G346">
        <v>134352</v>
      </c>
      <c r="H346">
        <v>17</v>
      </c>
      <c r="I346">
        <v>31</v>
      </c>
      <c r="J346">
        <v>5</v>
      </c>
      <c r="K346">
        <v>3</v>
      </c>
      <c r="L346">
        <v>1</v>
      </c>
      <c r="M346">
        <v>3</v>
      </c>
      <c r="N346" t="s">
        <v>31</v>
      </c>
      <c r="O346" t="s">
        <v>42</v>
      </c>
      <c r="P346">
        <v>12</v>
      </c>
      <c r="Q346">
        <v>31</v>
      </c>
      <c r="R346">
        <v>4</v>
      </c>
      <c r="S346" t="s">
        <v>31</v>
      </c>
      <c r="T346">
        <v>6</v>
      </c>
      <c r="U346" t="s">
        <v>31</v>
      </c>
      <c r="V346" s="1">
        <v>41856</v>
      </c>
    </row>
    <row r="347" spans="1:23" x14ac:dyDescent="0.35">
      <c r="A347" t="s">
        <v>403</v>
      </c>
      <c r="B347">
        <v>29</v>
      </c>
      <c r="C347" t="s">
        <v>44</v>
      </c>
      <c r="D347" t="s">
        <v>52</v>
      </c>
      <c r="E347" t="s">
        <v>55</v>
      </c>
      <c r="F347" t="s">
        <v>56</v>
      </c>
      <c r="G347">
        <v>81655</v>
      </c>
      <c r="H347">
        <v>5</v>
      </c>
      <c r="I347">
        <v>6</v>
      </c>
      <c r="J347">
        <v>3</v>
      </c>
      <c r="K347">
        <v>4</v>
      </c>
      <c r="L347">
        <v>3</v>
      </c>
      <c r="M347">
        <v>1</v>
      </c>
      <c r="N347" t="s">
        <v>31</v>
      </c>
      <c r="O347" t="s">
        <v>32</v>
      </c>
      <c r="P347">
        <v>29</v>
      </c>
      <c r="Q347">
        <v>18</v>
      </c>
      <c r="R347">
        <v>4</v>
      </c>
      <c r="S347" t="s">
        <v>31</v>
      </c>
      <c r="T347">
        <v>6</v>
      </c>
      <c r="U347" t="s">
        <v>31</v>
      </c>
      <c r="V347" s="1">
        <v>44057</v>
      </c>
    </row>
    <row r="348" spans="1:23" x14ac:dyDescent="0.35">
      <c r="A348" t="s">
        <v>404</v>
      </c>
      <c r="B348">
        <v>49</v>
      </c>
      <c r="C348" t="s">
        <v>44</v>
      </c>
      <c r="D348" t="s">
        <v>39</v>
      </c>
      <c r="E348" t="s">
        <v>59</v>
      </c>
      <c r="F348" t="s">
        <v>56</v>
      </c>
      <c r="G348">
        <v>150808</v>
      </c>
      <c r="H348">
        <v>25</v>
      </c>
      <c r="I348">
        <v>28</v>
      </c>
      <c r="J348">
        <v>5</v>
      </c>
      <c r="K348">
        <v>2</v>
      </c>
      <c r="L348">
        <v>1</v>
      </c>
      <c r="M348">
        <v>4</v>
      </c>
      <c r="N348" t="s">
        <v>31</v>
      </c>
      <c r="O348" t="s">
        <v>42</v>
      </c>
      <c r="P348">
        <v>13</v>
      </c>
      <c r="Q348">
        <v>56</v>
      </c>
      <c r="R348">
        <v>2</v>
      </c>
      <c r="S348" t="s">
        <v>31</v>
      </c>
      <c r="T348">
        <v>3</v>
      </c>
      <c r="U348" t="s">
        <v>31</v>
      </c>
      <c r="V348" s="1">
        <v>43133</v>
      </c>
    </row>
    <row r="349" spans="1:23" x14ac:dyDescent="0.35">
      <c r="A349" t="s">
        <v>405</v>
      </c>
      <c r="B349">
        <v>54</v>
      </c>
      <c r="C349" t="s">
        <v>44</v>
      </c>
      <c r="D349" t="s">
        <v>52</v>
      </c>
      <c r="E349" t="s">
        <v>53</v>
      </c>
      <c r="F349" t="s">
        <v>30</v>
      </c>
      <c r="G349">
        <v>152814</v>
      </c>
      <c r="H349">
        <v>27</v>
      </c>
      <c r="I349">
        <v>31</v>
      </c>
      <c r="J349">
        <v>5</v>
      </c>
      <c r="K349">
        <v>2</v>
      </c>
      <c r="L349">
        <v>2</v>
      </c>
      <c r="M349">
        <v>1</v>
      </c>
      <c r="N349" t="s">
        <v>31</v>
      </c>
      <c r="O349" t="s">
        <v>32</v>
      </c>
      <c r="P349">
        <v>10</v>
      </c>
      <c r="Q349">
        <v>55</v>
      </c>
      <c r="R349">
        <v>4</v>
      </c>
      <c r="S349" t="s">
        <v>31</v>
      </c>
      <c r="T349">
        <v>5</v>
      </c>
      <c r="U349" t="s">
        <v>31</v>
      </c>
      <c r="V349" s="1">
        <v>44046</v>
      </c>
    </row>
    <row r="350" spans="1:23" x14ac:dyDescent="0.35">
      <c r="A350" t="s">
        <v>406</v>
      </c>
      <c r="B350">
        <v>43</v>
      </c>
      <c r="C350" t="s">
        <v>27</v>
      </c>
      <c r="D350" t="s">
        <v>35</v>
      </c>
      <c r="E350" t="s">
        <v>85</v>
      </c>
      <c r="F350" t="s">
        <v>61</v>
      </c>
      <c r="G350">
        <v>60060</v>
      </c>
      <c r="H350">
        <v>4</v>
      </c>
      <c r="I350">
        <v>21</v>
      </c>
      <c r="J350">
        <v>2</v>
      </c>
      <c r="K350">
        <v>1</v>
      </c>
      <c r="L350">
        <v>4</v>
      </c>
      <c r="M350">
        <v>4</v>
      </c>
      <c r="N350" t="s">
        <v>31</v>
      </c>
      <c r="O350" t="s">
        <v>42</v>
      </c>
      <c r="P350">
        <v>1</v>
      </c>
      <c r="Q350">
        <v>31</v>
      </c>
      <c r="R350">
        <v>3</v>
      </c>
      <c r="S350" t="s">
        <v>31</v>
      </c>
      <c r="T350">
        <v>7</v>
      </c>
      <c r="U350" t="s">
        <v>31</v>
      </c>
      <c r="V350" s="1">
        <v>42557</v>
      </c>
    </row>
    <row r="351" spans="1:23" x14ac:dyDescent="0.35">
      <c r="A351" t="s">
        <v>407</v>
      </c>
      <c r="B351">
        <v>26</v>
      </c>
      <c r="C351" t="s">
        <v>44</v>
      </c>
      <c r="D351" t="s">
        <v>35</v>
      </c>
      <c r="E351" t="s">
        <v>85</v>
      </c>
      <c r="F351" t="s">
        <v>78</v>
      </c>
      <c r="G351">
        <v>43916</v>
      </c>
      <c r="H351">
        <v>2</v>
      </c>
      <c r="I351">
        <v>3</v>
      </c>
      <c r="J351">
        <v>1</v>
      </c>
      <c r="K351">
        <v>3</v>
      </c>
      <c r="L351">
        <v>4</v>
      </c>
      <c r="M351">
        <v>2</v>
      </c>
      <c r="N351" t="s">
        <v>33</v>
      </c>
      <c r="O351" t="s">
        <v>42</v>
      </c>
      <c r="P351">
        <v>7</v>
      </c>
      <c r="Q351">
        <v>35</v>
      </c>
      <c r="R351">
        <v>3</v>
      </c>
      <c r="S351" t="s">
        <v>31</v>
      </c>
      <c r="T351">
        <v>4</v>
      </c>
      <c r="U351" t="s">
        <v>31</v>
      </c>
      <c r="V351" s="1">
        <v>44530</v>
      </c>
    </row>
    <row r="352" spans="1:23" x14ac:dyDescent="0.35">
      <c r="A352" t="s">
        <v>408</v>
      </c>
      <c r="B352">
        <v>57</v>
      </c>
      <c r="C352" t="s">
        <v>44</v>
      </c>
      <c r="D352" t="s">
        <v>49</v>
      </c>
      <c r="E352" t="s">
        <v>50</v>
      </c>
      <c r="F352" t="s">
        <v>78</v>
      </c>
      <c r="G352">
        <v>132467</v>
      </c>
      <c r="H352">
        <v>14</v>
      </c>
      <c r="I352">
        <v>33</v>
      </c>
      <c r="J352">
        <v>5</v>
      </c>
      <c r="K352">
        <v>2</v>
      </c>
      <c r="L352">
        <v>4</v>
      </c>
      <c r="M352">
        <v>1</v>
      </c>
      <c r="N352" t="s">
        <v>33</v>
      </c>
      <c r="O352" t="s">
        <v>42</v>
      </c>
      <c r="P352">
        <v>4</v>
      </c>
      <c r="Q352">
        <v>29</v>
      </c>
      <c r="R352">
        <v>2</v>
      </c>
      <c r="S352" t="s">
        <v>33</v>
      </c>
      <c r="T352">
        <v>8</v>
      </c>
      <c r="U352" t="s">
        <v>31</v>
      </c>
      <c r="V352" s="1">
        <v>42634</v>
      </c>
    </row>
    <row r="353" spans="1:23" x14ac:dyDescent="0.35">
      <c r="A353" t="s">
        <v>409</v>
      </c>
      <c r="B353">
        <v>46</v>
      </c>
      <c r="C353" t="s">
        <v>44</v>
      </c>
      <c r="D353" t="s">
        <v>35</v>
      </c>
      <c r="E353" t="s">
        <v>85</v>
      </c>
      <c r="F353" t="s">
        <v>61</v>
      </c>
      <c r="G353">
        <v>146863</v>
      </c>
      <c r="H353">
        <v>24</v>
      </c>
      <c r="I353">
        <v>25</v>
      </c>
      <c r="J353">
        <v>5</v>
      </c>
      <c r="K353">
        <v>1</v>
      </c>
      <c r="L353">
        <v>1</v>
      </c>
      <c r="M353">
        <v>1</v>
      </c>
      <c r="N353" t="s">
        <v>31</v>
      </c>
      <c r="O353" t="s">
        <v>32</v>
      </c>
      <c r="P353">
        <v>18</v>
      </c>
      <c r="Q353">
        <v>25</v>
      </c>
      <c r="R353">
        <v>4</v>
      </c>
      <c r="S353" t="s">
        <v>33</v>
      </c>
      <c r="T353">
        <v>8</v>
      </c>
      <c r="U353" t="s">
        <v>31</v>
      </c>
      <c r="V353" s="1">
        <v>44878</v>
      </c>
    </row>
    <row r="354" spans="1:23" x14ac:dyDescent="0.35">
      <c r="A354" t="s">
        <v>410</v>
      </c>
      <c r="B354">
        <v>48</v>
      </c>
      <c r="C354" t="s">
        <v>44</v>
      </c>
      <c r="D354" t="s">
        <v>35</v>
      </c>
      <c r="E354" t="s">
        <v>85</v>
      </c>
      <c r="F354" t="s">
        <v>41</v>
      </c>
      <c r="G354">
        <v>80614</v>
      </c>
      <c r="H354">
        <v>3</v>
      </c>
      <c r="I354">
        <v>25</v>
      </c>
      <c r="J354">
        <v>3</v>
      </c>
      <c r="K354">
        <v>1</v>
      </c>
      <c r="L354">
        <v>2</v>
      </c>
      <c r="M354">
        <v>1</v>
      </c>
      <c r="N354" t="s">
        <v>31</v>
      </c>
      <c r="O354" t="s">
        <v>32</v>
      </c>
      <c r="P354">
        <v>17</v>
      </c>
      <c r="Q354">
        <v>35</v>
      </c>
      <c r="R354">
        <v>3</v>
      </c>
      <c r="S354" t="s">
        <v>31</v>
      </c>
      <c r="T354">
        <v>6</v>
      </c>
      <c r="U354" t="s">
        <v>31</v>
      </c>
      <c r="V354" s="1">
        <v>41947</v>
      </c>
    </row>
    <row r="355" spans="1:23" x14ac:dyDescent="0.35">
      <c r="A355" t="s">
        <v>411</v>
      </c>
      <c r="B355">
        <v>31</v>
      </c>
      <c r="C355" t="s">
        <v>27</v>
      </c>
      <c r="D355" t="s">
        <v>52</v>
      </c>
      <c r="E355" t="s">
        <v>53</v>
      </c>
      <c r="F355" t="s">
        <v>41</v>
      </c>
      <c r="G355">
        <v>61088</v>
      </c>
      <c r="H355">
        <v>3</v>
      </c>
      <c r="I355">
        <v>7</v>
      </c>
      <c r="J355">
        <v>2</v>
      </c>
      <c r="K355">
        <v>3</v>
      </c>
      <c r="L355">
        <v>4</v>
      </c>
      <c r="M355">
        <v>2</v>
      </c>
      <c r="N355" t="s">
        <v>31</v>
      </c>
      <c r="O355" t="s">
        <v>32</v>
      </c>
      <c r="P355">
        <v>6</v>
      </c>
      <c r="Q355">
        <v>48</v>
      </c>
      <c r="R355">
        <v>3</v>
      </c>
      <c r="S355" t="s">
        <v>31</v>
      </c>
      <c r="T355">
        <v>2</v>
      </c>
      <c r="U355" t="s">
        <v>33</v>
      </c>
      <c r="V355" s="1">
        <v>42774</v>
      </c>
      <c r="W355" s="1">
        <v>42927</v>
      </c>
    </row>
    <row r="356" spans="1:23" x14ac:dyDescent="0.35">
      <c r="A356" t="s">
        <v>412</v>
      </c>
      <c r="B356">
        <v>41</v>
      </c>
      <c r="C356" t="s">
        <v>27</v>
      </c>
      <c r="D356" t="s">
        <v>39</v>
      </c>
      <c r="E356" t="s">
        <v>74</v>
      </c>
      <c r="F356" t="s">
        <v>30</v>
      </c>
      <c r="G356">
        <v>131390</v>
      </c>
      <c r="H356">
        <v>15</v>
      </c>
      <c r="I356">
        <v>19</v>
      </c>
      <c r="J356">
        <v>5</v>
      </c>
      <c r="K356">
        <v>4</v>
      </c>
      <c r="L356">
        <v>2</v>
      </c>
      <c r="M356">
        <v>1</v>
      </c>
      <c r="N356" t="s">
        <v>31</v>
      </c>
      <c r="O356" t="s">
        <v>32</v>
      </c>
      <c r="P356">
        <v>20</v>
      </c>
      <c r="Q356">
        <v>46</v>
      </c>
      <c r="R356">
        <v>4</v>
      </c>
      <c r="S356" t="s">
        <v>33</v>
      </c>
      <c r="T356">
        <v>5</v>
      </c>
      <c r="U356" t="s">
        <v>31</v>
      </c>
      <c r="V356" s="1">
        <v>42154</v>
      </c>
    </row>
    <row r="357" spans="1:23" x14ac:dyDescent="0.35">
      <c r="A357" t="s">
        <v>413</v>
      </c>
      <c r="B357">
        <v>54</v>
      </c>
      <c r="C357" t="s">
        <v>27</v>
      </c>
      <c r="D357" t="s">
        <v>35</v>
      </c>
      <c r="E357" t="s">
        <v>36</v>
      </c>
      <c r="F357" t="s">
        <v>56</v>
      </c>
      <c r="G357">
        <v>133801</v>
      </c>
      <c r="H357">
        <v>17</v>
      </c>
      <c r="I357">
        <v>32</v>
      </c>
      <c r="J357">
        <v>5</v>
      </c>
      <c r="K357">
        <v>2</v>
      </c>
      <c r="L357">
        <v>4</v>
      </c>
      <c r="M357">
        <v>2</v>
      </c>
      <c r="N357" t="s">
        <v>31</v>
      </c>
      <c r="O357" t="s">
        <v>32</v>
      </c>
      <c r="P357">
        <v>11</v>
      </c>
      <c r="Q357">
        <v>54</v>
      </c>
      <c r="R357">
        <v>3</v>
      </c>
      <c r="S357" t="s">
        <v>33</v>
      </c>
      <c r="T357">
        <v>5</v>
      </c>
      <c r="U357" t="s">
        <v>33</v>
      </c>
      <c r="V357" s="1">
        <v>42095</v>
      </c>
      <c r="W357" s="1">
        <v>42977</v>
      </c>
    </row>
    <row r="358" spans="1:23" x14ac:dyDescent="0.35">
      <c r="A358" t="s">
        <v>414</v>
      </c>
      <c r="B358">
        <v>53</v>
      </c>
      <c r="C358" t="s">
        <v>27</v>
      </c>
      <c r="D358" t="s">
        <v>28</v>
      </c>
      <c r="E358" t="s">
        <v>29</v>
      </c>
      <c r="F358" t="s">
        <v>61</v>
      </c>
      <c r="G358">
        <v>140344</v>
      </c>
      <c r="H358">
        <v>19</v>
      </c>
      <c r="I358">
        <v>29</v>
      </c>
      <c r="J358">
        <v>5</v>
      </c>
      <c r="K358">
        <v>4</v>
      </c>
      <c r="L358">
        <v>3</v>
      </c>
      <c r="M358">
        <v>1</v>
      </c>
      <c r="N358" t="s">
        <v>33</v>
      </c>
      <c r="O358" t="s">
        <v>42</v>
      </c>
      <c r="P358">
        <v>11</v>
      </c>
      <c r="Q358">
        <v>24</v>
      </c>
      <c r="R358">
        <v>4</v>
      </c>
      <c r="S358" t="s">
        <v>33</v>
      </c>
      <c r="T358">
        <v>4</v>
      </c>
      <c r="U358" t="s">
        <v>31</v>
      </c>
      <c r="V358" s="1">
        <v>42924</v>
      </c>
    </row>
    <row r="359" spans="1:23" x14ac:dyDescent="0.35">
      <c r="A359" t="s">
        <v>415</v>
      </c>
      <c r="B359">
        <v>27</v>
      </c>
      <c r="C359" t="s">
        <v>44</v>
      </c>
      <c r="D359" t="s">
        <v>39</v>
      </c>
      <c r="E359" t="s">
        <v>74</v>
      </c>
      <c r="F359" t="s">
        <v>78</v>
      </c>
      <c r="G359">
        <v>58786</v>
      </c>
      <c r="H359">
        <v>3</v>
      </c>
      <c r="I359">
        <v>4</v>
      </c>
      <c r="J359">
        <v>2</v>
      </c>
      <c r="K359">
        <v>1</v>
      </c>
      <c r="L359">
        <v>3</v>
      </c>
      <c r="M359">
        <v>2</v>
      </c>
      <c r="N359" t="s">
        <v>31</v>
      </c>
      <c r="O359" t="s">
        <v>47</v>
      </c>
      <c r="P359">
        <v>24</v>
      </c>
      <c r="Q359">
        <v>27</v>
      </c>
      <c r="R359">
        <v>2</v>
      </c>
      <c r="S359" t="s">
        <v>31</v>
      </c>
      <c r="T359">
        <v>5</v>
      </c>
      <c r="U359" t="s">
        <v>31</v>
      </c>
      <c r="V359" s="1">
        <v>44091</v>
      </c>
    </row>
    <row r="360" spans="1:23" x14ac:dyDescent="0.35">
      <c r="A360" t="s">
        <v>416</v>
      </c>
      <c r="B360">
        <v>23</v>
      </c>
      <c r="C360" t="s">
        <v>27</v>
      </c>
      <c r="D360" t="s">
        <v>35</v>
      </c>
      <c r="E360" t="s">
        <v>85</v>
      </c>
      <c r="F360" t="s">
        <v>30</v>
      </c>
      <c r="G360">
        <v>39648</v>
      </c>
      <c r="H360">
        <v>0</v>
      </c>
      <c r="I360">
        <v>1</v>
      </c>
      <c r="J360">
        <v>1</v>
      </c>
      <c r="K360">
        <v>2</v>
      </c>
      <c r="L360">
        <v>2</v>
      </c>
      <c r="M360">
        <v>1</v>
      </c>
      <c r="N360" t="s">
        <v>31</v>
      </c>
      <c r="O360" t="s">
        <v>32</v>
      </c>
      <c r="P360">
        <v>9</v>
      </c>
      <c r="Q360">
        <v>46</v>
      </c>
      <c r="R360">
        <v>3</v>
      </c>
      <c r="S360" t="s">
        <v>31</v>
      </c>
      <c r="T360">
        <v>6</v>
      </c>
      <c r="U360" t="s">
        <v>33</v>
      </c>
      <c r="V360" s="1">
        <v>42193</v>
      </c>
      <c r="W360" s="1">
        <v>43179</v>
      </c>
    </row>
    <row r="361" spans="1:23" x14ac:dyDescent="0.35">
      <c r="A361" t="s">
        <v>417</v>
      </c>
      <c r="B361">
        <v>52</v>
      </c>
      <c r="C361" t="s">
        <v>27</v>
      </c>
      <c r="D361" t="s">
        <v>52</v>
      </c>
      <c r="E361" t="s">
        <v>55</v>
      </c>
      <c r="F361" t="s">
        <v>30</v>
      </c>
      <c r="G361">
        <v>148276</v>
      </c>
      <c r="H361">
        <v>22</v>
      </c>
      <c r="I361">
        <v>31</v>
      </c>
      <c r="J361">
        <v>5</v>
      </c>
      <c r="K361">
        <v>4</v>
      </c>
      <c r="L361">
        <v>2</v>
      </c>
      <c r="M361">
        <v>2</v>
      </c>
      <c r="N361" t="s">
        <v>33</v>
      </c>
      <c r="O361" t="s">
        <v>32</v>
      </c>
      <c r="P361">
        <v>17</v>
      </c>
      <c r="Q361">
        <v>16</v>
      </c>
      <c r="R361">
        <v>3</v>
      </c>
      <c r="S361" t="s">
        <v>33</v>
      </c>
      <c r="T361">
        <v>7</v>
      </c>
      <c r="U361" t="s">
        <v>33</v>
      </c>
      <c r="V361" s="1">
        <v>45278</v>
      </c>
      <c r="W361" s="1">
        <v>45932</v>
      </c>
    </row>
    <row r="362" spans="1:23" x14ac:dyDescent="0.35">
      <c r="A362" t="s">
        <v>418</v>
      </c>
      <c r="B362">
        <v>37</v>
      </c>
      <c r="C362" t="s">
        <v>27</v>
      </c>
      <c r="D362" t="s">
        <v>52</v>
      </c>
      <c r="E362" t="s">
        <v>55</v>
      </c>
      <c r="F362" t="s">
        <v>61</v>
      </c>
      <c r="G362">
        <v>127107</v>
      </c>
      <c r="H362">
        <v>14</v>
      </c>
      <c r="I362">
        <v>14</v>
      </c>
      <c r="J362">
        <v>5</v>
      </c>
      <c r="K362">
        <v>1</v>
      </c>
      <c r="L362">
        <v>3</v>
      </c>
      <c r="M362">
        <v>2</v>
      </c>
      <c r="N362" t="s">
        <v>31</v>
      </c>
      <c r="O362" t="s">
        <v>32</v>
      </c>
      <c r="P362">
        <v>24</v>
      </c>
      <c r="Q362">
        <v>23</v>
      </c>
      <c r="R362">
        <v>4</v>
      </c>
      <c r="S362" t="s">
        <v>33</v>
      </c>
      <c r="T362">
        <v>3</v>
      </c>
      <c r="U362" t="s">
        <v>31</v>
      </c>
      <c r="V362" s="1">
        <v>43915</v>
      </c>
    </row>
    <row r="363" spans="1:23" x14ac:dyDescent="0.35">
      <c r="A363" t="s">
        <v>419</v>
      </c>
      <c r="B363">
        <v>36</v>
      </c>
      <c r="C363" t="s">
        <v>27</v>
      </c>
      <c r="D363" t="s">
        <v>52</v>
      </c>
      <c r="E363" t="s">
        <v>53</v>
      </c>
      <c r="F363" t="s">
        <v>61</v>
      </c>
      <c r="G363">
        <v>118901</v>
      </c>
      <c r="H363">
        <v>10</v>
      </c>
      <c r="I363">
        <v>15</v>
      </c>
      <c r="J363">
        <v>5</v>
      </c>
      <c r="K363">
        <v>2</v>
      </c>
      <c r="L363">
        <v>3</v>
      </c>
      <c r="M363">
        <v>2</v>
      </c>
      <c r="N363" t="s">
        <v>33</v>
      </c>
      <c r="O363" t="s">
        <v>47</v>
      </c>
      <c r="P363">
        <v>26</v>
      </c>
      <c r="Q363">
        <v>57</v>
      </c>
      <c r="R363">
        <v>3</v>
      </c>
      <c r="S363" t="s">
        <v>33</v>
      </c>
      <c r="T363">
        <v>6</v>
      </c>
      <c r="U363" t="s">
        <v>31</v>
      </c>
      <c r="V363" s="1">
        <v>41548</v>
      </c>
    </row>
    <row r="364" spans="1:23" x14ac:dyDescent="0.35">
      <c r="A364" t="s">
        <v>420</v>
      </c>
      <c r="B364">
        <v>26</v>
      </c>
      <c r="C364" t="s">
        <v>27</v>
      </c>
      <c r="D364" t="s">
        <v>39</v>
      </c>
      <c r="E364" t="s">
        <v>40</v>
      </c>
      <c r="F364" t="s">
        <v>30</v>
      </c>
      <c r="G364">
        <v>60992</v>
      </c>
      <c r="H364">
        <v>1</v>
      </c>
      <c r="I364">
        <v>2</v>
      </c>
      <c r="J364">
        <v>2</v>
      </c>
      <c r="K364">
        <v>2</v>
      </c>
      <c r="L364">
        <v>1</v>
      </c>
      <c r="M364">
        <v>4</v>
      </c>
      <c r="N364" t="s">
        <v>31</v>
      </c>
      <c r="O364" t="s">
        <v>32</v>
      </c>
      <c r="P364">
        <v>25</v>
      </c>
      <c r="Q364">
        <v>35</v>
      </c>
      <c r="R364">
        <v>3</v>
      </c>
      <c r="S364" t="s">
        <v>31</v>
      </c>
      <c r="T364">
        <v>8</v>
      </c>
      <c r="U364" t="s">
        <v>33</v>
      </c>
      <c r="V364" s="1">
        <v>43749</v>
      </c>
      <c r="W364" s="1">
        <v>44105</v>
      </c>
    </row>
    <row r="365" spans="1:23" x14ac:dyDescent="0.35">
      <c r="A365" t="s">
        <v>421</v>
      </c>
      <c r="B365">
        <v>53</v>
      </c>
      <c r="C365" t="s">
        <v>44</v>
      </c>
      <c r="D365" t="s">
        <v>49</v>
      </c>
      <c r="E365" t="s">
        <v>50</v>
      </c>
      <c r="F365" t="s">
        <v>37</v>
      </c>
      <c r="G365">
        <v>106529</v>
      </c>
      <c r="H365">
        <v>10</v>
      </c>
      <c r="I365">
        <v>29</v>
      </c>
      <c r="J365">
        <v>4</v>
      </c>
      <c r="K365">
        <v>2</v>
      </c>
      <c r="L365">
        <v>1</v>
      </c>
      <c r="M365">
        <v>4</v>
      </c>
      <c r="N365" t="s">
        <v>33</v>
      </c>
      <c r="O365" t="s">
        <v>32</v>
      </c>
      <c r="P365">
        <v>17</v>
      </c>
      <c r="Q365">
        <v>21</v>
      </c>
      <c r="R365">
        <v>3</v>
      </c>
      <c r="S365" t="s">
        <v>31</v>
      </c>
      <c r="T365">
        <v>4</v>
      </c>
      <c r="U365" t="s">
        <v>31</v>
      </c>
      <c r="V365" s="1">
        <v>41155</v>
      </c>
    </row>
    <row r="366" spans="1:23" x14ac:dyDescent="0.35">
      <c r="A366" t="s">
        <v>422</v>
      </c>
      <c r="B366">
        <v>41</v>
      </c>
      <c r="C366" t="s">
        <v>27</v>
      </c>
      <c r="D366" t="s">
        <v>28</v>
      </c>
      <c r="E366" t="s">
        <v>66</v>
      </c>
      <c r="F366" t="s">
        <v>56</v>
      </c>
      <c r="G366">
        <v>43183</v>
      </c>
      <c r="H366">
        <v>1</v>
      </c>
      <c r="I366">
        <v>17</v>
      </c>
      <c r="J366">
        <v>1</v>
      </c>
      <c r="K366">
        <v>4</v>
      </c>
      <c r="L366">
        <v>1</v>
      </c>
      <c r="M366">
        <v>2</v>
      </c>
      <c r="N366" t="s">
        <v>31</v>
      </c>
      <c r="O366" t="s">
        <v>32</v>
      </c>
      <c r="P366">
        <v>15</v>
      </c>
      <c r="Q366">
        <v>39</v>
      </c>
      <c r="R366">
        <v>3</v>
      </c>
      <c r="S366" t="s">
        <v>31</v>
      </c>
      <c r="T366">
        <v>5</v>
      </c>
      <c r="U366" t="s">
        <v>31</v>
      </c>
      <c r="V366" s="1">
        <v>45241</v>
      </c>
    </row>
    <row r="367" spans="1:23" x14ac:dyDescent="0.35">
      <c r="A367" t="s">
        <v>423</v>
      </c>
      <c r="B367">
        <v>56</v>
      </c>
      <c r="C367" t="s">
        <v>27</v>
      </c>
      <c r="D367" t="s">
        <v>45</v>
      </c>
      <c r="E367" t="s">
        <v>46</v>
      </c>
      <c r="F367" t="s">
        <v>30</v>
      </c>
      <c r="G367">
        <v>97034</v>
      </c>
      <c r="H367">
        <v>6</v>
      </c>
      <c r="I367">
        <v>32</v>
      </c>
      <c r="J367">
        <v>4</v>
      </c>
      <c r="K367">
        <v>4</v>
      </c>
      <c r="L367">
        <v>3</v>
      </c>
      <c r="M367">
        <v>1</v>
      </c>
      <c r="N367" t="s">
        <v>31</v>
      </c>
      <c r="O367" t="s">
        <v>32</v>
      </c>
      <c r="P367">
        <v>22</v>
      </c>
      <c r="Q367">
        <v>26</v>
      </c>
      <c r="R367">
        <v>3</v>
      </c>
      <c r="S367" t="s">
        <v>31</v>
      </c>
      <c r="T367">
        <v>6</v>
      </c>
      <c r="U367" t="s">
        <v>31</v>
      </c>
      <c r="V367" s="1">
        <v>43878</v>
      </c>
    </row>
    <row r="368" spans="1:23" x14ac:dyDescent="0.35">
      <c r="A368" t="s">
        <v>424</v>
      </c>
      <c r="B368">
        <v>57</v>
      </c>
      <c r="C368" t="s">
        <v>44</v>
      </c>
      <c r="D368" t="s">
        <v>35</v>
      </c>
      <c r="E368" t="s">
        <v>36</v>
      </c>
      <c r="F368" t="s">
        <v>30</v>
      </c>
      <c r="G368">
        <v>154499</v>
      </c>
      <c r="H368">
        <v>27</v>
      </c>
      <c r="I368">
        <v>35</v>
      </c>
      <c r="J368">
        <v>5</v>
      </c>
      <c r="K368">
        <v>4</v>
      </c>
      <c r="L368">
        <v>3</v>
      </c>
      <c r="M368">
        <v>1</v>
      </c>
      <c r="N368" t="s">
        <v>31</v>
      </c>
      <c r="O368" t="s">
        <v>32</v>
      </c>
      <c r="P368">
        <v>9</v>
      </c>
      <c r="Q368">
        <v>22</v>
      </c>
      <c r="R368">
        <v>3</v>
      </c>
      <c r="S368" t="s">
        <v>31</v>
      </c>
      <c r="T368">
        <v>4</v>
      </c>
      <c r="U368" t="s">
        <v>31</v>
      </c>
      <c r="V368" s="1">
        <v>43293</v>
      </c>
    </row>
    <row r="369" spans="1:23" x14ac:dyDescent="0.35">
      <c r="A369" t="s">
        <v>425</v>
      </c>
      <c r="B369">
        <v>45</v>
      </c>
      <c r="C369" t="s">
        <v>27</v>
      </c>
      <c r="D369" t="s">
        <v>52</v>
      </c>
      <c r="E369" t="s">
        <v>53</v>
      </c>
      <c r="F369" t="s">
        <v>37</v>
      </c>
      <c r="G369">
        <v>85028</v>
      </c>
      <c r="H369">
        <v>8</v>
      </c>
      <c r="I369">
        <v>22</v>
      </c>
      <c r="J369">
        <v>3</v>
      </c>
      <c r="K369">
        <v>2</v>
      </c>
      <c r="L369">
        <v>4</v>
      </c>
      <c r="M369">
        <v>2</v>
      </c>
      <c r="N369" t="s">
        <v>31</v>
      </c>
      <c r="O369" t="s">
        <v>32</v>
      </c>
      <c r="P369">
        <v>11</v>
      </c>
      <c r="Q369">
        <v>40</v>
      </c>
      <c r="R369">
        <v>4</v>
      </c>
      <c r="S369" t="s">
        <v>31</v>
      </c>
      <c r="T369">
        <v>4</v>
      </c>
      <c r="U369" t="s">
        <v>31</v>
      </c>
      <c r="V369" s="1">
        <v>45051</v>
      </c>
    </row>
    <row r="370" spans="1:23" x14ac:dyDescent="0.35">
      <c r="A370" t="s">
        <v>426</v>
      </c>
      <c r="B370">
        <v>35</v>
      </c>
      <c r="C370" t="s">
        <v>27</v>
      </c>
      <c r="D370" t="s">
        <v>49</v>
      </c>
      <c r="E370" t="s">
        <v>68</v>
      </c>
      <c r="F370" t="s">
        <v>37</v>
      </c>
      <c r="G370">
        <v>119181</v>
      </c>
      <c r="H370">
        <v>10</v>
      </c>
      <c r="I370">
        <v>14</v>
      </c>
      <c r="J370">
        <v>5</v>
      </c>
      <c r="K370">
        <v>3</v>
      </c>
      <c r="L370">
        <v>1</v>
      </c>
      <c r="M370">
        <v>1</v>
      </c>
      <c r="N370" t="s">
        <v>31</v>
      </c>
      <c r="O370" t="s">
        <v>32</v>
      </c>
      <c r="P370">
        <v>22</v>
      </c>
      <c r="Q370">
        <v>14</v>
      </c>
      <c r="R370">
        <v>2</v>
      </c>
      <c r="S370" t="s">
        <v>31</v>
      </c>
      <c r="T370">
        <v>3</v>
      </c>
      <c r="U370" t="s">
        <v>31</v>
      </c>
      <c r="V370" s="1">
        <v>41465</v>
      </c>
    </row>
    <row r="371" spans="1:23" x14ac:dyDescent="0.35">
      <c r="A371" t="s">
        <v>427</v>
      </c>
      <c r="B371">
        <v>33</v>
      </c>
      <c r="C371" t="s">
        <v>27</v>
      </c>
      <c r="D371" t="s">
        <v>49</v>
      </c>
      <c r="E371" t="s">
        <v>50</v>
      </c>
      <c r="F371" t="s">
        <v>41</v>
      </c>
      <c r="G371">
        <v>120138</v>
      </c>
      <c r="H371">
        <v>10</v>
      </c>
      <c r="I371">
        <v>11</v>
      </c>
      <c r="J371">
        <v>5</v>
      </c>
      <c r="K371">
        <v>1</v>
      </c>
      <c r="L371">
        <v>1</v>
      </c>
      <c r="M371">
        <v>4</v>
      </c>
      <c r="N371" t="s">
        <v>31</v>
      </c>
      <c r="O371" t="s">
        <v>32</v>
      </c>
      <c r="P371">
        <v>4</v>
      </c>
      <c r="Q371">
        <v>37</v>
      </c>
      <c r="R371">
        <v>2</v>
      </c>
      <c r="S371" t="s">
        <v>31</v>
      </c>
      <c r="T371">
        <v>3</v>
      </c>
      <c r="U371" t="s">
        <v>31</v>
      </c>
      <c r="V371" s="1">
        <v>41955</v>
      </c>
    </row>
    <row r="372" spans="1:23" x14ac:dyDescent="0.35">
      <c r="A372" t="s">
        <v>428</v>
      </c>
      <c r="B372">
        <v>39</v>
      </c>
      <c r="C372" t="s">
        <v>27</v>
      </c>
      <c r="D372" t="s">
        <v>28</v>
      </c>
      <c r="E372" t="s">
        <v>66</v>
      </c>
      <c r="F372" t="s">
        <v>37</v>
      </c>
      <c r="G372">
        <v>44234</v>
      </c>
      <c r="H372">
        <v>0</v>
      </c>
      <c r="I372">
        <v>15</v>
      </c>
      <c r="J372">
        <v>1</v>
      </c>
      <c r="K372">
        <v>1</v>
      </c>
      <c r="L372">
        <v>3</v>
      </c>
      <c r="M372">
        <v>1</v>
      </c>
      <c r="N372" t="s">
        <v>33</v>
      </c>
      <c r="O372" t="s">
        <v>47</v>
      </c>
      <c r="P372">
        <v>26</v>
      </c>
      <c r="Q372">
        <v>13</v>
      </c>
      <c r="R372">
        <v>2</v>
      </c>
      <c r="S372" t="s">
        <v>31</v>
      </c>
      <c r="T372">
        <v>8</v>
      </c>
      <c r="U372" t="s">
        <v>33</v>
      </c>
      <c r="V372" s="1">
        <v>44247</v>
      </c>
      <c r="W372" s="1">
        <v>44887</v>
      </c>
    </row>
    <row r="373" spans="1:23" x14ac:dyDescent="0.35">
      <c r="A373" t="s">
        <v>429</v>
      </c>
      <c r="B373">
        <v>24</v>
      </c>
      <c r="C373" t="s">
        <v>27</v>
      </c>
      <c r="D373" t="s">
        <v>28</v>
      </c>
      <c r="E373" t="s">
        <v>66</v>
      </c>
      <c r="F373" t="s">
        <v>37</v>
      </c>
      <c r="G373">
        <v>54381</v>
      </c>
      <c r="H373">
        <v>0</v>
      </c>
      <c r="I373">
        <v>2</v>
      </c>
      <c r="J373">
        <v>2</v>
      </c>
      <c r="K373">
        <v>1</v>
      </c>
      <c r="L373">
        <v>1</v>
      </c>
      <c r="M373">
        <v>3</v>
      </c>
      <c r="N373" t="s">
        <v>31</v>
      </c>
      <c r="O373" t="s">
        <v>32</v>
      </c>
      <c r="P373">
        <v>17</v>
      </c>
      <c r="Q373">
        <v>21</v>
      </c>
      <c r="R373">
        <v>3</v>
      </c>
      <c r="S373" t="s">
        <v>31</v>
      </c>
      <c r="T373">
        <v>4</v>
      </c>
      <c r="U373" t="s">
        <v>33</v>
      </c>
      <c r="V373" s="1">
        <v>41773</v>
      </c>
      <c r="W373" s="1">
        <v>42589</v>
      </c>
    </row>
    <row r="374" spans="1:23" x14ac:dyDescent="0.35">
      <c r="A374" t="s">
        <v>430</v>
      </c>
      <c r="B374">
        <v>31</v>
      </c>
      <c r="C374" t="s">
        <v>27</v>
      </c>
      <c r="D374" t="s">
        <v>35</v>
      </c>
      <c r="E374" t="s">
        <v>36</v>
      </c>
      <c r="F374" t="s">
        <v>78</v>
      </c>
      <c r="G374">
        <v>58001</v>
      </c>
      <c r="H374">
        <v>1</v>
      </c>
      <c r="I374">
        <v>8</v>
      </c>
      <c r="J374">
        <v>2</v>
      </c>
      <c r="K374">
        <v>1</v>
      </c>
      <c r="L374">
        <v>4</v>
      </c>
      <c r="M374">
        <v>3</v>
      </c>
      <c r="N374" t="s">
        <v>31</v>
      </c>
      <c r="O374" t="s">
        <v>32</v>
      </c>
      <c r="P374">
        <v>1</v>
      </c>
      <c r="Q374">
        <v>14</v>
      </c>
      <c r="R374">
        <v>3</v>
      </c>
      <c r="S374" t="s">
        <v>31</v>
      </c>
      <c r="T374">
        <v>7</v>
      </c>
      <c r="U374" t="s">
        <v>31</v>
      </c>
      <c r="V374" s="1">
        <v>43921</v>
      </c>
    </row>
    <row r="375" spans="1:23" x14ac:dyDescent="0.35">
      <c r="A375" t="s">
        <v>431</v>
      </c>
      <c r="B375">
        <v>49</v>
      </c>
      <c r="C375" t="s">
        <v>44</v>
      </c>
      <c r="D375" t="s">
        <v>52</v>
      </c>
      <c r="E375" t="s">
        <v>55</v>
      </c>
      <c r="F375" t="s">
        <v>30</v>
      </c>
      <c r="G375">
        <v>42316</v>
      </c>
      <c r="H375">
        <v>0</v>
      </c>
      <c r="I375">
        <v>28</v>
      </c>
      <c r="J375">
        <v>1</v>
      </c>
      <c r="K375">
        <v>2</v>
      </c>
      <c r="L375">
        <v>2</v>
      </c>
      <c r="M375">
        <v>2</v>
      </c>
      <c r="N375" t="s">
        <v>31</v>
      </c>
      <c r="O375" t="s">
        <v>32</v>
      </c>
      <c r="P375">
        <v>26</v>
      </c>
      <c r="Q375">
        <v>42</v>
      </c>
      <c r="R375">
        <v>4</v>
      </c>
      <c r="S375" t="s">
        <v>31</v>
      </c>
      <c r="T375">
        <v>4</v>
      </c>
      <c r="U375" t="s">
        <v>31</v>
      </c>
      <c r="V375" s="1">
        <v>44042</v>
      </c>
    </row>
    <row r="376" spans="1:23" x14ac:dyDescent="0.35">
      <c r="A376" t="s">
        <v>432</v>
      </c>
      <c r="B376">
        <v>52</v>
      </c>
      <c r="C376" t="s">
        <v>27</v>
      </c>
      <c r="D376" t="s">
        <v>52</v>
      </c>
      <c r="E376" t="s">
        <v>53</v>
      </c>
      <c r="F376" t="s">
        <v>30</v>
      </c>
      <c r="G376">
        <v>63282</v>
      </c>
      <c r="H376">
        <v>2</v>
      </c>
      <c r="I376">
        <v>31</v>
      </c>
      <c r="J376">
        <v>2</v>
      </c>
      <c r="K376">
        <v>2</v>
      </c>
      <c r="L376">
        <v>1</v>
      </c>
      <c r="M376">
        <v>2</v>
      </c>
      <c r="N376" t="s">
        <v>31</v>
      </c>
      <c r="O376" t="s">
        <v>32</v>
      </c>
      <c r="P376">
        <v>3</v>
      </c>
      <c r="Q376">
        <v>43</v>
      </c>
      <c r="R376">
        <v>3</v>
      </c>
      <c r="S376" t="s">
        <v>31</v>
      </c>
      <c r="T376">
        <v>4</v>
      </c>
      <c r="U376" t="s">
        <v>31</v>
      </c>
      <c r="V376" s="1">
        <v>41324</v>
      </c>
    </row>
    <row r="377" spans="1:23" x14ac:dyDescent="0.35">
      <c r="A377" t="s">
        <v>433</v>
      </c>
      <c r="B377">
        <v>42</v>
      </c>
      <c r="C377" t="s">
        <v>44</v>
      </c>
      <c r="D377" t="s">
        <v>52</v>
      </c>
      <c r="E377" t="s">
        <v>55</v>
      </c>
      <c r="F377" t="s">
        <v>30</v>
      </c>
      <c r="G377">
        <v>89616</v>
      </c>
      <c r="H377">
        <v>8</v>
      </c>
      <c r="I377">
        <v>21</v>
      </c>
      <c r="J377">
        <v>3</v>
      </c>
      <c r="K377">
        <v>1</v>
      </c>
      <c r="L377">
        <v>2</v>
      </c>
      <c r="M377">
        <v>3</v>
      </c>
      <c r="N377" t="s">
        <v>31</v>
      </c>
      <c r="O377" t="s">
        <v>32</v>
      </c>
      <c r="P377">
        <v>6</v>
      </c>
      <c r="Q377">
        <v>26</v>
      </c>
      <c r="R377">
        <v>3</v>
      </c>
      <c r="S377" t="s">
        <v>33</v>
      </c>
      <c r="T377">
        <v>8</v>
      </c>
      <c r="U377" t="s">
        <v>31</v>
      </c>
      <c r="V377" s="1">
        <v>45177</v>
      </c>
    </row>
    <row r="378" spans="1:23" x14ac:dyDescent="0.35">
      <c r="A378" t="s">
        <v>434</v>
      </c>
      <c r="B378">
        <v>25</v>
      </c>
      <c r="C378" t="s">
        <v>27</v>
      </c>
      <c r="D378" t="s">
        <v>39</v>
      </c>
      <c r="E378" t="s">
        <v>59</v>
      </c>
      <c r="F378" t="s">
        <v>37</v>
      </c>
      <c r="G378">
        <v>37380</v>
      </c>
      <c r="H378">
        <v>0</v>
      </c>
      <c r="I378">
        <v>4</v>
      </c>
      <c r="J378">
        <v>1</v>
      </c>
      <c r="K378">
        <v>4</v>
      </c>
      <c r="L378">
        <v>3</v>
      </c>
      <c r="M378">
        <v>4</v>
      </c>
      <c r="N378" t="s">
        <v>33</v>
      </c>
      <c r="O378" t="s">
        <v>42</v>
      </c>
      <c r="P378">
        <v>2</v>
      </c>
      <c r="Q378">
        <v>28</v>
      </c>
      <c r="R378">
        <v>3</v>
      </c>
      <c r="S378" t="s">
        <v>31</v>
      </c>
      <c r="T378">
        <v>7</v>
      </c>
      <c r="U378" t="s">
        <v>31</v>
      </c>
      <c r="V378" s="1">
        <v>41005</v>
      </c>
    </row>
    <row r="379" spans="1:23" x14ac:dyDescent="0.35">
      <c r="A379" t="s">
        <v>435</v>
      </c>
      <c r="B379">
        <v>40</v>
      </c>
      <c r="C379" t="s">
        <v>27</v>
      </c>
      <c r="D379" t="s">
        <v>35</v>
      </c>
      <c r="E379" t="s">
        <v>36</v>
      </c>
      <c r="F379" t="s">
        <v>61</v>
      </c>
      <c r="G379">
        <v>133088</v>
      </c>
      <c r="H379">
        <v>16</v>
      </c>
      <c r="I379">
        <v>17</v>
      </c>
      <c r="J379">
        <v>5</v>
      </c>
      <c r="K379">
        <v>1</v>
      </c>
      <c r="L379">
        <v>4</v>
      </c>
      <c r="M379">
        <v>4</v>
      </c>
      <c r="N379" t="s">
        <v>31</v>
      </c>
      <c r="O379" t="s">
        <v>32</v>
      </c>
      <c r="P379">
        <v>6</v>
      </c>
      <c r="Q379">
        <v>50</v>
      </c>
      <c r="R379">
        <v>3</v>
      </c>
      <c r="S379" t="s">
        <v>33</v>
      </c>
      <c r="T379">
        <v>5</v>
      </c>
      <c r="U379" t="s">
        <v>33</v>
      </c>
      <c r="V379" s="1">
        <v>42627</v>
      </c>
      <c r="W379" s="1">
        <v>43406</v>
      </c>
    </row>
    <row r="380" spans="1:23" x14ac:dyDescent="0.35">
      <c r="A380" t="s">
        <v>436</v>
      </c>
      <c r="B380">
        <v>40</v>
      </c>
      <c r="C380" t="s">
        <v>27</v>
      </c>
      <c r="D380" t="s">
        <v>28</v>
      </c>
      <c r="E380" t="s">
        <v>29</v>
      </c>
      <c r="F380" t="s">
        <v>61</v>
      </c>
      <c r="G380">
        <v>131952</v>
      </c>
      <c r="H380">
        <v>17</v>
      </c>
      <c r="I380">
        <v>17</v>
      </c>
      <c r="J380">
        <v>5</v>
      </c>
      <c r="K380">
        <v>3</v>
      </c>
      <c r="L380">
        <v>4</v>
      </c>
      <c r="M380">
        <v>3</v>
      </c>
      <c r="N380" t="s">
        <v>31</v>
      </c>
      <c r="O380" t="s">
        <v>32</v>
      </c>
      <c r="P380">
        <v>11</v>
      </c>
      <c r="Q380">
        <v>57</v>
      </c>
      <c r="R380">
        <v>3</v>
      </c>
      <c r="S380" t="s">
        <v>33</v>
      </c>
      <c r="T380">
        <v>6</v>
      </c>
      <c r="U380" t="s">
        <v>33</v>
      </c>
      <c r="V380" s="1">
        <v>42705</v>
      </c>
      <c r="W380" s="1">
        <v>43072</v>
      </c>
    </row>
    <row r="381" spans="1:23" x14ac:dyDescent="0.35">
      <c r="A381" t="s">
        <v>437</v>
      </c>
      <c r="B381">
        <v>24</v>
      </c>
      <c r="C381" t="s">
        <v>44</v>
      </c>
      <c r="D381" t="s">
        <v>35</v>
      </c>
      <c r="E381" t="s">
        <v>85</v>
      </c>
      <c r="F381" t="s">
        <v>30</v>
      </c>
      <c r="G381">
        <v>43584</v>
      </c>
      <c r="H381">
        <v>1</v>
      </c>
      <c r="I381">
        <v>1</v>
      </c>
      <c r="J381">
        <v>1</v>
      </c>
      <c r="K381">
        <v>2</v>
      </c>
      <c r="L381">
        <v>2</v>
      </c>
      <c r="M381">
        <v>1</v>
      </c>
      <c r="N381" t="s">
        <v>31</v>
      </c>
      <c r="O381" t="s">
        <v>32</v>
      </c>
      <c r="P381">
        <v>2</v>
      </c>
      <c r="Q381">
        <v>55</v>
      </c>
      <c r="R381">
        <v>3</v>
      </c>
      <c r="S381" t="s">
        <v>31</v>
      </c>
      <c r="T381">
        <v>4</v>
      </c>
      <c r="U381" t="s">
        <v>31</v>
      </c>
      <c r="V381" s="1">
        <v>42498</v>
      </c>
    </row>
    <row r="382" spans="1:23" x14ac:dyDescent="0.35">
      <c r="A382" t="s">
        <v>438</v>
      </c>
      <c r="B382">
        <v>31</v>
      </c>
      <c r="C382" t="s">
        <v>27</v>
      </c>
      <c r="D382" t="s">
        <v>35</v>
      </c>
      <c r="E382" t="s">
        <v>85</v>
      </c>
      <c r="F382" t="s">
        <v>78</v>
      </c>
      <c r="G382">
        <v>84888</v>
      </c>
      <c r="H382">
        <v>5</v>
      </c>
      <c r="I382">
        <v>10</v>
      </c>
      <c r="J382">
        <v>3</v>
      </c>
      <c r="K382">
        <v>3</v>
      </c>
      <c r="L382">
        <v>2</v>
      </c>
      <c r="M382">
        <v>4</v>
      </c>
      <c r="N382" t="s">
        <v>31</v>
      </c>
      <c r="O382" t="s">
        <v>42</v>
      </c>
      <c r="P382">
        <v>18</v>
      </c>
      <c r="Q382">
        <v>31</v>
      </c>
      <c r="R382">
        <v>3</v>
      </c>
      <c r="S382" t="s">
        <v>31</v>
      </c>
      <c r="T382">
        <v>5</v>
      </c>
      <c r="U382" t="s">
        <v>33</v>
      </c>
      <c r="V382" s="1">
        <v>44451</v>
      </c>
      <c r="W382" s="1">
        <v>45278</v>
      </c>
    </row>
    <row r="383" spans="1:23" x14ac:dyDescent="0.35">
      <c r="A383" t="s">
        <v>439</v>
      </c>
      <c r="B383">
        <v>26</v>
      </c>
      <c r="C383" t="s">
        <v>27</v>
      </c>
      <c r="D383" t="s">
        <v>45</v>
      </c>
      <c r="E383" t="s">
        <v>46</v>
      </c>
      <c r="F383" t="s">
        <v>56</v>
      </c>
      <c r="G383">
        <v>60308</v>
      </c>
      <c r="H383">
        <v>2</v>
      </c>
      <c r="I383">
        <v>5</v>
      </c>
      <c r="J383">
        <v>2</v>
      </c>
      <c r="K383">
        <v>2</v>
      </c>
      <c r="L383">
        <v>2</v>
      </c>
      <c r="M383">
        <v>4</v>
      </c>
      <c r="N383" t="s">
        <v>31</v>
      </c>
      <c r="O383" t="s">
        <v>32</v>
      </c>
      <c r="P383">
        <v>15</v>
      </c>
      <c r="Q383">
        <v>55</v>
      </c>
      <c r="R383">
        <v>3</v>
      </c>
      <c r="S383" t="s">
        <v>31</v>
      </c>
      <c r="T383">
        <v>8</v>
      </c>
      <c r="U383" t="s">
        <v>31</v>
      </c>
      <c r="V383" s="1">
        <v>41947</v>
      </c>
    </row>
    <row r="384" spans="1:23" x14ac:dyDescent="0.35">
      <c r="A384" t="s">
        <v>440</v>
      </c>
      <c r="B384">
        <v>24</v>
      </c>
      <c r="C384" t="s">
        <v>27</v>
      </c>
      <c r="D384" t="s">
        <v>39</v>
      </c>
      <c r="E384" t="s">
        <v>40</v>
      </c>
      <c r="F384" t="s">
        <v>37</v>
      </c>
      <c r="G384">
        <v>74831</v>
      </c>
      <c r="H384">
        <v>3</v>
      </c>
      <c r="I384">
        <v>3</v>
      </c>
      <c r="J384">
        <v>3</v>
      </c>
      <c r="K384">
        <v>1</v>
      </c>
      <c r="L384">
        <v>1</v>
      </c>
      <c r="M384">
        <v>2</v>
      </c>
      <c r="N384" t="s">
        <v>33</v>
      </c>
      <c r="O384" t="s">
        <v>42</v>
      </c>
      <c r="P384">
        <v>11</v>
      </c>
      <c r="Q384">
        <v>24</v>
      </c>
      <c r="R384">
        <v>3</v>
      </c>
      <c r="S384" t="s">
        <v>31</v>
      </c>
      <c r="T384">
        <v>6</v>
      </c>
      <c r="U384" t="s">
        <v>31</v>
      </c>
      <c r="V384" s="1">
        <v>44579</v>
      </c>
    </row>
    <row r="385" spans="1:23" x14ac:dyDescent="0.35">
      <c r="A385" t="s">
        <v>441</v>
      </c>
      <c r="B385">
        <v>35</v>
      </c>
      <c r="C385" t="s">
        <v>44</v>
      </c>
      <c r="D385" t="s">
        <v>52</v>
      </c>
      <c r="E385" t="s">
        <v>53</v>
      </c>
      <c r="F385" t="s">
        <v>56</v>
      </c>
      <c r="G385">
        <v>45318</v>
      </c>
      <c r="H385">
        <v>2</v>
      </c>
      <c r="I385">
        <v>11</v>
      </c>
      <c r="J385">
        <v>1</v>
      </c>
      <c r="K385">
        <v>1</v>
      </c>
      <c r="L385">
        <v>1</v>
      </c>
      <c r="M385">
        <v>1</v>
      </c>
      <c r="N385" t="s">
        <v>33</v>
      </c>
      <c r="O385" t="s">
        <v>32</v>
      </c>
      <c r="P385">
        <v>16</v>
      </c>
      <c r="Q385">
        <v>40</v>
      </c>
      <c r="R385">
        <v>3</v>
      </c>
      <c r="S385" t="s">
        <v>31</v>
      </c>
      <c r="T385">
        <v>7</v>
      </c>
      <c r="U385" t="s">
        <v>31</v>
      </c>
      <c r="V385" s="1">
        <v>43406</v>
      </c>
    </row>
    <row r="386" spans="1:23" x14ac:dyDescent="0.35">
      <c r="A386" t="s">
        <v>442</v>
      </c>
      <c r="B386">
        <v>59</v>
      </c>
      <c r="C386" t="s">
        <v>27</v>
      </c>
      <c r="D386" t="s">
        <v>49</v>
      </c>
      <c r="E386" t="s">
        <v>50</v>
      </c>
      <c r="F386" t="s">
        <v>37</v>
      </c>
      <c r="G386">
        <v>101955</v>
      </c>
      <c r="H386">
        <v>7</v>
      </c>
      <c r="I386">
        <v>36</v>
      </c>
      <c r="J386">
        <v>4</v>
      </c>
      <c r="K386">
        <v>3</v>
      </c>
      <c r="L386">
        <v>4</v>
      </c>
      <c r="M386">
        <v>1</v>
      </c>
      <c r="N386" t="s">
        <v>33</v>
      </c>
      <c r="O386" t="s">
        <v>32</v>
      </c>
      <c r="P386">
        <v>21</v>
      </c>
      <c r="Q386">
        <v>35</v>
      </c>
      <c r="R386">
        <v>3</v>
      </c>
      <c r="S386" t="s">
        <v>31</v>
      </c>
      <c r="T386">
        <v>3</v>
      </c>
      <c r="U386" t="s">
        <v>31</v>
      </c>
      <c r="V386" s="1">
        <v>41087</v>
      </c>
    </row>
    <row r="387" spans="1:23" x14ac:dyDescent="0.35">
      <c r="A387" t="s">
        <v>443</v>
      </c>
      <c r="B387">
        <v>53</v>
      </c>
      <c r="C387" t="s">
        <v>27</v>
      </c>
      <c r="D387" t="s">
        <v>39</v>
      </c>
      <c r="E387" t="s">
        <v>74</v>
      </c>
      <c r="F387" t="s">
        <v>41</v>
      </c>
      <c r="G387">
        <v>153809</v>
      </c>
      <c r="H387">
        <v>28</v>
      </c>
      <c r="I387">
        <v>29</v>
      </c>
      <c r="J387">
        <v>5</v>
      </c>
      <c r="K387">
        <v>1</v>
      </c>
      <c r="L387">
        <v>4</v>
      </c>
      <c r="M387">
        <v>1</v>
      </c>
      <c r="N387" t="s">
        <v>31</v>
      </c>
      <c r="O387" t="s">
        <v>42</v>
      </c>
      <c r="P387">
        <v>6</v>
      </c>
      <c r="Q387">
        <v>42</v>
      </c>
      <c r="R387">
        <v>3</v>
      </c>
      <c r="S387" t="s">
        <v>31</v>
      </c>
      <c r="T387">
        <v>4</v>
      </c>
      <c r="U387" t="s">
        <v>31</v>
      </c>
      <c r="V387" s="1">
        <v>42201</v>
      </c>
    </row>
    <row r="388" spans="1:23" x14ac:dyDescent="0.35">
      <c r="A388" t="s">
        <v>444</v>
      </c>
      <c r="B388">
        <v>28</v>
      </c>
      <c r="C388" t="s">
        <v>44</v>
      </c>
      <c r="D388" t="s">
        <v>45</v>
      </c>
      <c r="E388" t="s">
        <v>46</v>
      </c>
      <c r="F388" t="s">
        <v>37</v>
      </c>
      <c r="G388">
        <v>64182</v>
      </c>
      <c r="H388">
        <v>4</v>
      </c>
      <c r="I388">
        <v>7</v>
      </c>
      <c r="J388">
        <v>2</v>
      </c>
      <c r="K388">
        <v>2</v>
      </c>
      <c r="L388">
        <v>2</v>
      </c>
      <c r="M388">
        <v>1</v>
      </c>
      <c r="N388" t="s">
        <v>33</v>
      </c>
      <c r="O388" t="s">
        <v>47</v>
      </c>
      <c r="P388">
        <v>3</v>
      </c>
      <c r="Q388">
        <v>19</v>
      </c>
      <c r="R388">
        <v>4</v>
      </c>
      <c r="S388" t="s">
        <v>31</v>
      </c>
      <c r="T388">
        <v>5</v>
      </c>
      <c r="U388" t="s">
        <v>33</v>
      </c>
      <c r="V388" s="1">
        <v>41736</v>
      </c>
      <c r="W388" s="1">
        <v>42266</v>
      </c>
    </row>
    <row r="389" spans="1:23" x14ac:dyDescent="0.35">
      <c r="A389" t="s">
        <v>445</v>
      </c>
      <c r="B389">
        <v>28</v>
      </c>
      <c r="C389" t="s">
        <v>27</v>
      </c>
      <c r="D389" t="s">
        <v>49</v>
      </c>
      <c r="E389" t="s">
        <v>68</v>
      </c>
      <c r="F389" t="s">
        <v>56</v>
      </c>
      <c r="G389">
        <v>60768</v>
      </c>
      <c r="H389">
        <v>4</v>
      </c>
      <c r="I389">
        <v>7</v>
      </c>
      <c r="J389">
        <v>2</v>
      </c>
      <c r="K389">
        <v>3</v>
      </c>
      <c r="L389">
        <v>3</v>
      </c>
      <c r="M389">
        <v>1</v>
      </c>
      <c r="N389" t="s">
        <v>31</v>
      </c>
      <c r="O389" t="s">
        <v>32</v>
      </c>
      <c r="P389">
        <v>20</v>
      </c>
      <c r="Q389">
        <v>50</v>
      </c>
      <c r="R389">
        <v>3</v>
      </c>
      <c r="S389" t="s">
        <v>31</v>
      </c>
      <c r="T389">
        <v>0</v>
      </c>
      <c r="U389" t="s">
        <v>33</v>
      </c>
      <c r="V389" s="1">
        <v>44344</v>
      </c>
      <c r="W389" s="1">
        <v>45209</v>
      </c>
    </row>
    <row r="390" spans="1:23" x14ac:dyDescent="0.35">
      <c r="A390" t="s">
        <v>446</v>
      </c>
      <c r="B390">
        <v>54</v>
      </c>
      <c r="C390" t="s">
        <v>27</v>
      </c>
      <c r="D390" t="s">
        <v>28</v>
      </c>
      <c r="E390" t="s">
        <v>29</v>
      </c>
      <c r="F390" t="s">
        <v>30</v>
      </c>
      <c r="G390">
        <v>105892</v>
      </c>
      <c r="H390">
        <v>11</v>
      </c>
      <c r="I390">
        <v>33</v>
      </c>
      <c r="J390">
        <v>4</v>
      </c>
      <c r="K390">
        <v>3</v>
      </c>
      <c r="L390">
        <v>4</v>
      </c>
      <c r="M390">
        <v>4</v>
      </c>
      <c r="N390" t="s">
        <v>33</v>
      </c>
      <c r="O390" t="s">
        <v>32</v>
      </c>
      <c r="P390">
        <v>25</v>
      </c>
      <c r="Q390">
        <v>48</v>
      </c>
      <c r="R390">
        <v>4</v>
      </c>
      <c r="S390" t="s">
        <v>31</v>
      </c>
      <c r="T390">
        <v>3</v>
      </c>
      <c r="U390" t="s">
        <v>31</v>
      </c>
      <c r="V390" s="1">
        <v>44333</v>
      </c>
    </row>
    <row r="391" spans="1:23" x14ac:dyDescent="0.35">
      <c r="A391" t="s">
        <v>447</v>
      </c>
      <c r="B391">
        <v>53</v>
      </c>
      <c r="C391" t="s">
        <v>44</v>
      </c>
      <c r="D391" t="s">
        <v>39</v>
      </c>
      <c r="E391" t="s">
        <v>40</v>
      </c>
      <c r="F391" t="s">
        <v>30</v>
      </c>
      <c r="G391">
        <v>138885</v>
      </c>
      <c r="H391">
        <v>20</v>
      </c>
      <c r="I391">
        <v>31</v>
      </c>
      <c r="J391">
        <v>5</v>
      </c>
      <c r="K391">
        <v>4</v>
      </c>
      <c r="L391">
        <v>3</v>
      </c>
      <c r="M391">
        <v>3</v>
      </c>
      <c r="N391" t="s">
        <v>31</v>
      </c>
      <c r="O391" t="s">
        <v>32</v>
      </c>
      <c r="P391">
        <v>20</v>
      </c>
      <c r="Q391">
        <v>59</v>
      </c>
      <c r="R391">
        <v>3</v>
      </c>
      <c r="S391" t="s">
        <v>33</v>
      </c>
      <c r="T391">
        <v>3</v>
      </c>
      <c r="U391" t="s">
        <v>33</v>
      </c>
      <c r="V391" s="1">
        <v>43276</v>
      </c>
      <c r="W391" s="1">
        <v>43776</v>
      </c>
    </row>
    <row r="392" spans="1:23" x14ac:dyDescent="0.35">
      <c r="A392" t="s">
        <v>448</v>
      </c>
      <c r="B392">
        <v>35</v>
      </c>
      <c r="C392" t="s">
        <v>27</v>
      </c>
      <c r="D392" t="s">
        <v>49</v>
      </c>
      <c r="E392" t="s">
        <v>68</v>
      </c>
      <c r="F392" t="s">
        <v>78</v>
      </c>
      <c r="G392">
        <v>121023</v>
      </c>
      <c r="H392">
        <v>10</v>
      </c>
      <c r="I392">
        <v>12</v>
      </c>
      <c r="J392">
        <v>5</v>
      </c>
      <c r="K392">
        <v>3</v>
      </c>
      <c r="L392">
        <v>1</v>
      </c>
      <c r="M392">
        <v>4</v>
      </c>
      <c r="N392" t="s">
        <v>31</v>
      </c>
      <c r="O392" t="s">
        <v>32</v>
      </c>
      <c r="P392">
        <v>13</v>
      </c>
      <c r="Q392">
        <v>45</v>
      </c>
      <c r="R392">
        <v>3</v>
      </c>
      <c r="S392" t="s">
        <v>31</v>
      </c>
      <c r="T392">
        <v>5</v>
      </c>
      <c r="U392" t="s">
        <v>31</v>
      </c>
      <c r="V392" s="1">
        <v>42164</v>
      </c>
    </row>
    <row r="393" spans="1:23" x14ac:dyDescent="0.35">
      <c r="A393" t="s">
        <v>449</v>
      </c>
      <c r="B393">
        <v>52</v>
      </c>
      <c r="C393" t="s">
        <v>27</v>
      </c>
      <c r="D393" t="s">
        <v>28</v>
      </c>
      <c r="E393" t="s">
        <v>66</v>
      </c>
      <c r="F393" t="s">
        <v>41</v>
      </c>
      <c r="G393">
        <v>77799</v>
      </c>
      <c r="H393">
        <v>5</v>
      </c>
      <c r="I393">
        <v>31</v>
      </c>
      <c r="J393">
        <v>3</v>
      </c>
      <c r="K393">
        <v>4</v>
      </c>
      <c r="L393">
        <v>2</v>
      </c>
      <c r="M393">
        <v>2</v>
      </c>
      <c r="N393" t="s">
        <v>31</v>
      </c>
      <c r="O393" t="s">
        <v>32</v>
      </c>
      <c r="P393">
        <v>8</v>
      </c>
      <c r="Q393">
        <v>52</v>
      </c>
      <c r="R393">
        <v>3</v>
      </c>
      <c r="S393" t="s">
        <v>33</v>
      </c>
      <c r="T393">
        <v>3</v>
      </c>
      <c r="U393" t="s">
        <v>31</v>
      </c>
      <c r="V393" s="1">
        <v>42949</v>
      </c>
    </row>
    <row r="394" spans="1:23" x14ac:dyDescent="0.35">
      <c r="A394" t="s">
        <v>450</v>
      </c>
      <c r="B394">
        <v>27</v>
      </c>
      <c r="C394" t="s">
        <v>27</v>
      </c>
      <c r="D394" t="s">
        <v>49</v>
      </c>
      <c r="E394" t="s">
        <v>68</v>
      </c>
      <c r="F394" t="s">
        <v>61</v>
      </c>
      <c r="G394">
        <v>60590</v>
      </c>
      <c r="H394">
        <v>3</v>
      </c>
      <c r="I394">
        <v>3</v>
      </c>
      <c r="J394">
        <v>2</v>
      </c>
      <c r="K394">
        <v>1</v>
      </c>
      <c r="L394">
        <v>2</v>
      </c>
      <c r="M394">
        <v>3</v>
      </c>
      <c r="N394" t="s">
        <v>31</v>
      </c>
      <c r="O394" t="s">
        <v>32</v>
      </c>
      <c r="P394">
        <v>16</v>
      </c>
      <c r="Q394">
        <v>57</v>
      </c>
      <c r="R394">
        <v>3</v>
      </c>
      <c r="S394" t="s">
        <v>31</v>
      </c>
      <c r="T394">
        <v>4</v>
      </c>
      <c r="U394" t="s">
        <v>33</v>
      </c>
      <c r="V394" s="1">
        <v>43826</v>
      </c>
      <c r="W394" s="1">
        <v>44458</v>
      </c>
    </row>
    <row r="395" spans="1:23" x14ac:dyDescent="0.35">
      <c r="A395" t="s">
        <v>451</v>
      </c>
      <c r="B395">
        <v>56</v>
      </c>
      <c r="C395" t="s">
        <v>44</v>
      </c>
      <c r="D395" t="s">
        <v>49</v>
      </c>
      <c r="E395" t="s">
        <v>50</v>
      </c>
      <c r="F395" t="s">
        <v>78</v>
      </c>
      <c r="G395">
        <v>38884</v>
      </c>
      <c r="H395">
        <v>0</v>
      </c>
      <c r="I395">
        <v>33</v>
      </c>
      <c r="J395">
        <v>1</v>
      </c>
      <c r="K395">
        <v>4</v>
      </c>
      <c r="L395">
        <v>4</v>
      </c>
      <c r="M395">
        <v>1</v>
      </c>
      <c r="N395" t="s">
        <v>33</v>
      </c>
      <c r="O395" t="s">
        <v>42</v>
      </c>
      <c r="P395">
        <v>24</v>
      </c>
      <c r="Q395">
        <v>47</v>
      </c>
      <c r="R395">
        <v>3</v>
      </c>
      <c r="S395" t="s">
        <v>31</v>
      </c>
      <c r="T395">
        <v>8</v>
      </c>
      <c r="U395" t="s">
        <v>31</v>
      </c>
      <c r="V395" s="1">
        <v>42283</v>
      </c>
    </row>
    <row r="396" spans="1:23" x14ac:dyDescent="0.35">
      <c r="A396" t="s">
        <v>452</v>
      </c>
      <c r="B396">
        <v>53</v>
      </c>
      <c r="C396" t="s">
        <v>27</v>
      </c>
      <c r="D396" t="s">
        <v>49</v>
      </c>
      <c r="E396" t="s">
        <v>50</v>
      </c>
      <c r="F396" t="s">
        <v>41</v>
      </c>
      <c r="G396">
        <v>53690</v>
      </c>
      <c r="H396">
        <v>0</v>
      </c>
      <c r="I396">
        <v>30</v>
      </c>
      <c r="J396">
        <v>2</v>
      </c>
      <c r="K396">
        <v>1</v>
      </c>
      <c r="L396">
        <v>3</v>
      </c>
      <c r="M396">
        <v>4</v>
      </c>
      <c r="N396" t="s">
        <v>31</v>
      </c>
      <c r="O396" t="s">
        <v>42</v>
      </c>
      <c r="P396">
        <v>13</v>
      </c>
      <c r="Q396">
        <v>24</v>
      </c>
      <c r="R396">
        <v>3</v>
      </c>
      <c r="S396" t="s">
        <v>31</v>
      </c>
      <c r="T396">
        <v>4</v>
      </c>
      <c r="U396" t="s">
        <v>31</v>
      </c>
      <c r="V396" s="1">
        <v>43107</v>
      </c>
    </row>
    <row r="397" spans="1:23" x14ac:dyDescent="0.35">
      <c r="A397" t="s">
        <v>453</v>
      </c>
      <c r="B397">
        <v>31</v>
      </c>
      <c r="C397" t="s">
        <v>44</v>
      </c>
      <c r="D397" t="s">
        <v>35</v>
      </c>
      <c r="E397" t="s">
        <v>36</v>
      </c>
      <c r="F397" t="s">
        <v>61</v>
      </c>
      <c r="G397">
        <v>102828</v>
      </c>
      <c r="H397">
        <v>7</v>
      </c>
      <c r="I397">
        <v>10</v>
      </c>
      <c r="J397">
        <v>4</v>
      </c>
      <c r="K397">
        <v>2</v>
      </c>
      <c r="L397">
        <v>4</v>
      </c>
      <c r="M397">
        <v>2</v>
      </c>
      <c r="N397" t="s">
        <v>31</v>
      </c>
      <c r="O397" t="s">
        <v>32</v>
      </c>
      <c r="P397">
        <v>19</v>
      </c>
      <c r="Q397">
        <v>16</v>
      </c>
      <c r="R397">
        <v>3</v>
      </c>
      <c r="S397" t="s">
        <v>31</v>
      </c>
      <c r="T397">
        <v>12</v>
      </c>
      <c r="U397" t="s">
        <v>31</v>
      </c>
      <c r="V397" s="1">
        <v>44521</v>
      </c>
    </row>
    <row r="398" spans="1:23" x14ac:dyDescent="0.35">
      <c r="A398" t="s">
        <v>454</v>
      </c>
      <c r="B398">
        <v>47</v>
      </c>
      <c r="C398" t="s">
        <v>44</v>
      </c>
      <c r="D398" t="s">
        <v>28</v>
      </c>
      <c r="E398" t="s">
        <v>29</v>
      </c>
      <c r="F398" t="s">
        <v>56</v>
      </c>
      <c r="G398">
        <v>141354</v>
      </c>
      <c r="H398">
        <v>20</v>
      </c>
      <c r="I398">
        <v>24</v>
      </c>
      <c r="J398">
        <v>5</v>
      </c>
      <c r="K398">
        <v>3</v>
      </c>
      <c r="L398">
        <v>2</v>
      </c>
      <c r="M398">
        <v>3</v>
      </c>
      <c r="N398" t="s">
        <v>31</v>
      </c>
      <c r="O398" t="s">
        <v>32</v>
      </c>
      <c r="P398">
        <v>9</v>
      </c>
      <c r="Q398">
        <v>51</v>
      </c>
      <c r="R398">
        <v>4</v>
      </c>
      <c r="S398" t="s">
        <v>31</v>
      </c>
      <c r="T398">
        <v>8</v>
      </c>
      <c r="U398" t="s">
        <v>31</v>
      </c>
      <c r="V398" s="1">
        <v>42027</v>
      </c>
    </row>
    <row r="399" spans="1:23" x14ac:dyDescent="0.35">
      <c r="A399" t="s">
        <v>455</v>
      </c>
      <c r="B399">
        <v>51</v>
      </c>
      <c r="C399" t="s">
        <v>27</v>
      </c>
      <c r="D399" t="s">
        <v>52</v>
      </c>
      <c r="E399" t="s">
        <v>53</v>
      </c>
      <c r="F399" t="s">
        <v>30</v>
      </c>
      <c r="G399">
        <v>100529</v>
      </c>
      <c r="H399">
        <v>8</v>
      </c>
      <c r="I399">
        <v>29</v>
      </c>
      <c r="J399">
        <v>4</v>
      </c>
      <c r="K399">
        <v>3</v>
      </c>
      <c r="L399">
        <v>4</v>
      </c>
      <c r="M399">
        <v>3</v>
      </c>
      <c r="N399" t="s">
        <v>31</v>
      </c>
      <c r="O399" t="s">
        <v>32</v>
      </c>
      <c r="P399">
        <v>18</v>
      </c>
      <c r="Q399">
        <v>51</v>
      </c>
      <c r="R399">
        <v>3</v>
      </c>
      <c r="S399" t="s">
        <v>31</v>
      </c>
      <c r="T399">
        <v>3</v>
      </c>
      <c r="U399" t="s">
        <v>31</v>
      </c>
      <c r="V399" s="1">
        <v>41831</v>
      </c>
    </row>
    <row r="400" spans="1:23" x14ac:dyDescent="0.35">
      <c r="A400" t="s">
        <v>456</v>
      </c>
      <c r="B400">
        <v>23</v>
      </c>
      <c r="C400" t="s">
        <v>44</v>
      </c>
      <c r="D400" t="s">
        <v>52</v>
      </c>
      <c r="E400" t="s">
        <v>53</v>
      </c>
      <c r="F400" t="s">
        <v>78</v>
      </c>
      <c r="G400">
        <v>57109</v>
      </c>
      <c r="H400">
        <v>0</v>
      </c>
      <c r="I400">
        <v>1</v>
      </c>
      <c r="J400">
        <v>2</v>
      </c>
      <c r="K400">
        <v>4</v>
      </c>
      <c r="L400">
        <v>3</v>
      </c>
      <c r="M400">
        <v>4</v>
      </c>
      <c r="N400" t="s">
        <v>31</v>
      </c>
      <c r="O400" t="s">
        <v>32</v>
      </c>
      <c r="P400">
        <v>21</v>
      </c>
      <c r="Q400">
        <v>51</v>
      </c>
      <c r="R400">
        <v>3</v>
      </c>
      <c r="S400" t="s">
        <v>31</v>
      </c>
      <c r="T400">
        <v>7</v>
      </c>
      <c r="U400" t="s">
        <v>31</v>
      </c>
      <c r="V400" s="1">
        <v>44856</v>
      </c>
    </row>
    <row r="401" spans="1:23" x14ac:dyDescent="0.35">
      <c r="A401" t="s">
        <v>457</v>
      </c>
      <c r="B401">
        <v>39</v>
      </c>
      <c r="C401" t="s">
        <v>27</v>
      </c>
      <c r="D401" t="s">
        <v>35</v>
      </c>
      <c r="E401" t="s">
        <v>36</v>
      </c>
      <c r="F401" t="s">
        <v>61</v>
      </c>
      <c r="G401">
        <v>123081</v>
      </c>
      <c r="H401">
        <v>13</v>
      </c>
      <c r="I401">
        <v>16</v>
      </c>
      <c r="J401">
        <v>5</v>
      </c>
      <c r="K401">
        <v>4</v>
      </c>
      <c r="L401">
        <v>3</v>
      </c>
      <c r="M401">
        <v>2</v>
      </c>
      <c r="N401" t="s">
        <v>31</v>
      </c>
      <c r="O401" t="s">
        <v>47</v>
      </c>
      <c r="P401">
        <v>26</v>
      </c>
      <c r="Q401">
        <v>59</v>
      </c>
      <c r="R401">
        <v>3</v>
      </c>
      <c r="S401" t="s">
        <v>33</v>
      </c>
      <c r="T401">
        <v>5</v>
      </c>
      <c r="U401" t="s">
        <v>31</v>
      </c>
      <c r="V401" s="1">
        <v>41503</v>
      </c>
    </row>
    <row r="402" spans="1:23" x14ac:dyDescent="0.35">
      <c r="A402" t="s">
        <v>458</v>
      </c>
      <c r="B402">
        <v>46</v>
      </c>
      <c r="C402" t="s">
        <v>44</v>
      </c>
      <c r="D402" t="s">
        <v>52</v>
      </c>
      <c r="E402" t="s">
        <v>53</v>
      </c>
      <c r="F402" t="s">
        <v>78</v>
      </c>
      <c r="G402">
        <v>42957</v>
      </c>
      <c r="H402">
        <v>0</v>
      </c>
      <c r="I402">
        <v>22</v>
      </c>
      <c r="J402">
        <v>1</v>
      </c>
      <c r="K402">
        <v>4</v>
      </c>
      <c r="L402">
        <v>4</v>
      </c>
      <c r="M402">
        <v>1</v>
      </c>
      <c r="N402" t="s">
        <v>31</v>
      </c>
      <c r="O402" t="s">
        <v>32</v>
      </c>
      <c r="P402">
        <v>20</v>
      </c>
      <c r="Q402">
        <v>13</v>
      </c>
      <c r="R402">
        <v>3</v>
      </c>
      <c r="S402" t="s">
        <v>31</v>
      </c>
      <c r="T402">
        <v>3</v>
      </c>
      <c r="U402" t="s">
        <v>31</v>
      </c>
      <c r="V402" s="1">
        <v>43484</v>
      </c>
    </row>
    <row r="403" spans="1:23" x14ac:dyDescent="0.35">
      <c r="A403" t="s">
        <v>459</v>
      </c>
      <c r="B403">
        <v>38</v>
      </c>
      <c r="C403" t="s">
        <v>27</v>
      </c>
      <c r="D403" t="s">
        <v>39</v>
      </c>
      <c r="E403" t="s">
        <v>40</v>
      </c>
      <c r="F403" t="s">
        <v>30</v>
      </c>
      <c r="G403">
        <v>43414</v>
      </c>
      <c r="H403">
        <v>1</v>
      </c>
      <c r="I403">
        <v>17</v>
      </c>
      <c r="J403">
        <v>1</v>
      </c>
      <c r="K403">
        <v>3</v>
      </c>
      <c r="L403">
        <v>1</v>
      </c>
      <c r="M403">
        <v>2</v>
      </c>
      <c r="N403" t="s">
        <v>31</v>
      </c>
      <c r="O403" t="s">
        <v>32</v>
      </c>
      <c r="P403">
        <v>10</v>
      </c>
      <c r="Q403">
        <v>38</v>
      </c>
      <c r="R403">
        <v>3</v>
      </c>
      <c r="S403" t="s">
        <v>31</v>
      </c>
      <c r="T403">
        <v>9</v>
      </c>
      <c r="U403" t="s">
        <v>31</v>
      </c>
      <c r="V403" s="1">
        <v>44057</v>
      </c>
    </row>
    <row r="404" spans="1:23" x14ac:dyDescent="0.35">
      <c r="A404" t="s">
        <v>460</v>
      </c>
      <c r="B404">
        <v>37</v>
      </c>
      <c r="C404" t="s">
        <v>27</v>
      </c>
      <c r="D404" t="s">
        <v>28</v>
      </c>
      <c r="E404" t="s">
        <v>66</v>
      </c>
      <c r="F404" t="s">
        <v>30</v>
      </c>
      <c r="G404">
        <v>81770</v>
      </c>
      <c r="H404">
        <v>7</v>
      </c>
      <c r="I404">
        <v>14</v>
      </c>
      <c r="J404">
        <v>3</v>
      </c>
      <c r="K404">
        <v>4</v>
      </c>
      <c r="L404">
        <v>2</v>
      </c>
      <c r="M404">
        <v>1</v>
      </c>
      <c r="N404" t="s">
        <v>33</v>
      </c>
      <c r="O404" t="s">
        <v>32</v>
      </c>
      <c r="P404">
        <v>26</v>
      </c>
      <c r="Q404">
        <v>21</v>
      </c>
      <c r="R404">
        <v>3</v>
      </c>
      <c r="S404" t="s">
        <v>31</v>
      </c>
      <c r="T404">
        <v>3</v>
      </c>
      <c r="U404" t="s">
        <v>31</v>
      </c>
      <c r="V404" s="1">
        <v>43790</v>
      </c>
    </row>
    <row r="405" spans="1:23" x14ac:dyDescent="0.35">
      <c r="A405" t="s">
        <v>461</v>
      </c>
      <c r="B405">
        <v>47</v>
      </c>
      <c r="C405" t="s">
        <v>44</v>
      </c>
      <c r="D405" t="s">
        <v>45</v>
      </c>
      <c r="E405" t="s">
        <v>63</v>
      </c>
      <c r="F405" t="s">
        <v>56</v>
      </c>
      <c r="G405">
        <v>105741</v>
      </c>
      <c r="H405">
        <v>9</v>
      </c>
      <c r="I405">
        <v>24</v>
      </c>
      <c r="J405">
        <v>4</v>
      </c>
      <c r="K405">
        <v>2</v>
      </c>
      <c r="L405">
        <v>4</v>
      </c>
      <c r="M405">
        <v>3</v>
      </c>
      <c r="N405" t="s">
        <v>31</v>
      </c>
      <c r="O405" t="s">
        <v>42</v>
      </c>
      <c r="P405">
        <v>22</v>
      </c>
      <c r="Q405">
        <v>34</v>
      </c>
      <c r="R405">
        <v>3</v>
      </c>
      <c r="S405" t="s">
        <v>33</v>
      </c>
      <c r="T405">
        <v>4</v>
      </c>
      <c r="U405" t="s">
        <v>31</v>
      </c>
      <c r="V405" s="1">
        <v>43591</v>
      </c>
    </row>
    <row r="406" spans="1:23" x14ac:dyDescent="0.35">
      <c r="A406" t="s">
        <v>462</v>
      </c>
      <c r="B406">
        <v>47</v>
      </c>
      <c r="C406" t="s">
        <v>44</v>
      </c>
      <c r="D406" t="s">
        <v>52</v>
      </c>
      <c r="E406" t="s">
        <v>53</v>
      </c>
      <c r="F406" t="s">
        <v>30</v>
      </c>
      <c r="G406">
        <v>125629</v>
      </c>
      <c r="H406">
        <v>11</v>
      </c>
      <c r="I406">
        <v>26</v>
      </c>
      <c r="J406">
        <v>5</v>
      </c>
      <c r="K406">
        <v>1</v>
      </c>
      <c r="L406">
        <v>2</v>
      </c>
      <c r="M406">
        <v>1</v>
      </c>
      <c r="N406" t="s">
        <v>33</v>
      </c>
      <c r="O406" t="s">
        <v>32</v>
      </c>
      <c r="P406">
        <v>29</v>
      </c>
      <c r="Q406">
        <v>18</v>
      </c>
      <c r="R406">
        <v>3</v>
      </c>
      <c r="S406" t="s">
        <v>33</v>
      </c>
      <c r="T406">
        <v>4</v>
      </c>
      <c r="U406" t="s">
        <v>31</v>
      </c>
      <c r="V406" s="1">
        <v>42299</v>
      </c>
    </row>
    <row r="407" spans="1:23" x14ac:dyDescent="0.35">
      <c r="A407" t="s">
        <v>463</v>
      </c>
      <c r="B407">
        <v>46</v>
      </c>
      <c r="C407" t="s">
        <v>27</v>
      </c>
      <c r="D407" t="s">
        <v>39</v>
      </c>
      <c r="E407" t="s">
        <v>74</v>
      </c>
      <c r="F407" t="s">
        <v>41</v>
      </c>
      <c r="G407">
        <v>128399</v>
      </c>
      <c r="H407">
        <v>15</v>
      </c>
      <c r="I407">
        <v>22</v>
      </c>
      <c r="J407">
        <v>5</v>
      </c>
      <c r="K407">
        <v>3</v>
      </c>
      <c r="L407">
        <v>4</v>
      </c>
      <c r="M407">
        <v>3</v>
      </c>
      <c r="N407" t="s">
        <v>31</v>
      </c>
      <c r="O407" t="s">
        <v>32</v>
      </c>
      <c r="P407">
        <v>16</v>
      </c>
      <c r="Q407">
        <v>28</v>
      </c>
      <c r="R407">
        <v>3</v>
      </c>
      <c r="S407" t="s">
        <v>31</v>
      </c>
      <c r="T407">
        <v>4</v>
      </c>
      <c r="U407" t="s">
        <v>31</v>
      </c>
      <c r="V407" s="1">
        <v>43305</v>
      </c>
    </row>
    <row r="408" spans="1:23" x14ac:dyDescent="0.35">
      <c r="A408" t="s">
        <v>464</v>
      </c>
      <c r="B408">
        <v>22</v>
      </c>
      <c r="C408" t="s">
        <v>44</v>
      </c>
      <c r="D408" t="s">
        <v>39</v>
      </c>
      <c r="E408" t="s">
        <v>59</v>
      </c>
      <c r="F408" t="s">
        <v>37</v>
      </c>
      <c r="G408">
        <v>59096</v>
      </c>
      <c r="H408">
        <v>0</v>
      </c>
      <c r="I408">
        <v>1</v>
      </c>
      <c r="J408">
        <v>2</v>
      </c>
      <c r="K408">
        <v>2</v>
      </c>
      <c r="L408">
        <v>1</v>
      </c>
      <c r="M408">
        <v>4</v>
      </c>
      <c r="N408" t="s">
        <v>33</v>
      </c>
      <c r="O408" t="s">
        <v>32</v>
      </c>
      <c r="P408">
        <v>15</v>
      </c>
      <c r="Q408">
        <v>52</v>
      </c>
      <c r="R408">
        <v>3</v>
      </c>
      <c r="S408" t="s">
        <v>31</v>
      </c>
      <c r="T408">
        <v>3</v>
      </c>
      <c r="U408" t="s">
        <v>31</v>
      </c>
      <c r="V408" s="1">
        <v>44233</v>
      </c>
    </row>
    <row r="409" spans="1:23" x14ac:dyDescent="0.35">
      <c r="A409" t="s">
        <v>465</v>
      </c>
      <c r="B409">
        <v>31</v>
      </c>
      <c r="C409" t="s">
        <v>27</v>
      </c>
      <c r="D409" t="s">
        <v>45</v>
      </c>
      <c r="E409" t="s">
        <v>46</v>
      </c>
      <c r="F409" t="s">
        <v>30</v>
      </c>
      <c r="G409">
        <v>55753</v>
      </c>
      <c r="H409">
        <v>1</v>
      </c>
      <c r="I409">
        <v>10</v>
      </c>
      <c r="J409">
        <v>2</v>
      </c>
      <c r="K409">
        <v>1</v>
      </c>
      <c r="L409">
        <v>2</v>
      </c>
      <c r="M409">
        <v>4</v>
      </c>
      <c r="N409" t="s">
        <v>31</v>
      </c>
      <c r="O409" t="s">
        <v>32</v>
      </c>
      <c r="P409">
        <v>16</v>
      </c>
      <c r="Q409">
        <v>20</v>
      </c>
      <c r="R409">
        <v>3</v>
      </c>
      <c r="S409" t="s">
        <v>31</v>
      </c>
      <c r="T409">
        <v>1</v>
      </c>
      <c r="U409" t="s">
        <v>33</v>
      </c>
      <c r="V409" s="1">
        <v>42097</v>
      </c>
      <c r="W409" s="1">
        <v>42721</v>
      </c>
    </row>
    <row r="410" spans="1:23" x14ac:dyDescent="0.35">
      <c r="A410" t="s">
        <v>466</v>
      </c>
      <c r="B410">
        <v>31</v>
      </c>
      <c r="C410" t="s">
        <v>44</v>
      </c>
      <c r="D410" t="s">
        <v>45</v>
      </c>
      <c r="E410" t="s">
        <v>46</v>
      </c>
      <c r="F410" t="s">
        <v>61</v>
      </c>
      <c r="G410">
        <v>99894</v>
      </c>
      <c r="H410">
        <v>8</v>
      </c>
      <c r="I410">
        <v>8</v>
      </c>
      <c r="J410">
        <v>4</v>
      </c>
      <c r="K410">
        <v>2</v>
      </c>
      <c r="L410">
        <v>4</v>
      </c>
      <c r="M410">
        <v>4</v>
      </c>
      <c r="N410" t="s">
        <v>31</v>
      </c>
      <c r="O410" t="s">
        <v>42</v>
      </c>
      <c r="P410">
        <v>12</v>
      </c>
      <c r="Q410">
        <v>26</v>
      </c>
      <c r="R410">
        <v>4</v>
      </c>
      <c r="S410" t="s">
        <v>31</v>
      </c>
      <c r="T410">
        <v>6</v>
      </c>
      <c r="U410" t="s">
        <v>31</v>
      </c>
      <c r="V410" s="1">
        <v>41179</v>
      </c>
    </row>
    <row r="411" spans="1:23" x14ac:dyDescent="0.35">
      <c r="A411" t="s">
        <v>467</v>
      </c>
      <c r="B411">
        <v>22</v>
      </c>
      <c r="C411" t="s">
        <v>27</v>
      </c>
      <c r="D411" t="s">
        <v>35</v>
      </c>
      <c r="E411" t="s">
        <v>85</v>
      </c>
      <c r="F411" t="s">
        <v>37</v>
      </c>
      <c r="G411">
        <v>56858</v>
      </c>
      <c r="H411">
        <v>0</v>
      </c>
      <c r="I411">
        <v>1</v>
      </c>
      <c r="J411">
        <v>2</v>
      </c>
      <c r="K411">
        <v>2</v>
      </c>
      <c r="L411">
        <v>4</v>
      </c>
      <c r="M411">
        <v>3</v>
      </c>
      <c r="N411" t="s">
        <v>31</v>
      </c>
      <c r="O411" t="s">
        <v>32</v>
      </c>
      <c r="P411">
        <v>21</v>
      </c>
      <c r="Q411">
        <v>14</v>
      </c>
      <c r="R411">
        <v>3</v>
      </c>
      <c r="S411" t="s">
        <v>31</v>
      </c>
      <c r="T411">
        <v>1</v>
      </c>
      <c r="U411" t="s">
        <v>31</v>
      </c>
      <c r="V411" s="1">
        <v>42558</v>
      </c>
    </row>
    <row r="412" spans="1:23" x14ac:dyDescent="0.35">
      <c r="A412" t="s">
        <v>468</v>
      </c>
      <c r="B412">
        <v>45</v>
      </c>
      <c r="C412" t="s">
        <v>44</v>
      </c>
      <c r="D412" t="s">
        <v>45</v>
      </c>
      <c r="E412" t="s">
        <v>63</v>
      </c>
      <c r="F412" t="s">
        <v>78</v>
      </c>
      <c r="G412">
        <v>60484</v>
      </c>
      <c r="H412">
        <v>4</v>
      </c>
      <c r="I412">
        <v>22</v>
      </c>
      <c r="J412">
        <v>2</v>
      </c>
      <c r="K412">
        <v>3</v>
      </c>
      <c r="L412">
        <v>3</v>
      </c>
      <c r="M412">
        <v>3</v>
      </c>
      <c r="N412" t="s">
        <v>31</v>
      </c>
      <c r="O412" t="s">
        <v>47</v>
      </c>
      <c r="P412">
        <v>18</v>
      </c>
      <c r="Q412">
        <v>45</v>
      </c>
      <c r="R412">
        <v>3</v>
      </c>
      <c r="S412" t="s">
        <v>31</v>
      </c>
      <c r="T412">
        <v>6</v>
      </c>
      <c r="U412" t="s">
        <v>31</v>
      </c>
      <c r="V412" s="1">
        <v>43132</v>
      </c>
    </row>
    <row r="413" spans="1:23" x14ac:dyDescent="0.35">
      <c r="A413" t="s">
        <v>469</v>
      </c>
      <c r="B413">
        <v>52</v>
      </c>
      <c r="C413" t="s">
        <v>44</v>
      </c>
      <c r="D413" t="s">
        <v>39</v>
      </c>
      <c r="E413" t="s">
        <v>40</v>
      </c>
      <c r="F413" t="s">
        <v>41</v>
      </c>
      <c r="G413">
        <v>80352</v>
      </c>
      <c r="H413">
        <v>4</v>
      </c>
      <c r="I413">
        <v>28</v>
      </c>
      <c r="J413">
        <v>3</v>
      </c>
      <c r="K413">
        <v>3</v>
      </c>
      <c r="L413">
        <v>4</v>
      </c>
      <c r="M413">
        <v>2</v>
      </c>
      <c r="N413" t="s">
        <v>31</v>
      </c>
      <c r="O413" t="s">
        <v>32</v>
      </c>
      <c r="P413">
        <v>29</v>
      </c>
      <c r="Q413">
        <v>18</v>
      </c>
      <c r="R413">
        <v>3</v>
      </c>
      <c r="S413" t="s">
        <v>31</v>
      </c>
      <c r="T413">
        <v>2</v>
      </c>
      <c r="U413" t="s">
        <v>31</v>
      </c>
      <c r="V413" s="1">
        <v>44729</v>
      </c>
    </row>
    <row r="414" spans="1:23" x14ac:dyDescent="0.35">
      <c r="A414" t="s">
        <v>470</v>
      </c>
      <c r="B414">
        <v>54</v>
      </c>
      <c r="C414" t="s">
        <v>27</v>
      </c>
      <c r="D414" t="s">
        <v>35</v>
      </c>
      <c r="E414" t="s">
        <v>36</v>
      </c>
      <c r="F414" t="s">
        <v>37</v>
      </c>
      <c r="G414">
        <v>84666</v>
      </c>
      <c r="H414">
        <v>5</v>
      </c>
      <c r="I414">
        <v>31</v>
      </c>
      <c r="J414">
        <v>3</v>
      </c>
      <c r="K414">
        <v>3</v>
      </c>
      <c r="L414">
        <v>1</v>
      </c>
      <c r="M414">
        <v>4</v>
      </c>
      <c r="N414" t="s">
        <v>31</v>
      </c>
      <c r="O414" t="s">
        <v>42</v>
      </c>
      <c r="P414">
        <v>21</v>
      </c>
      <c r="Q414">
        <v>19</v>
      </c>
      <c r="R414">
        <v>4</v>
      </c>
      <c r="S414" t="s">
        <v>31</v>
      </c>
      <c r="T414">
        <v>7</v>
      </c>
      <c r="U414" t="s">
        <v>31</v>
      </c>
      <c r="V414" s="1">
        <v>41045</v>
      </c>
    </row>
    <row r="415" spans="1:23" x14ac:dyDescent="0.35">
      <c r="A415" t="s">
        <v>471</v>
      </c>
      <c r="B415">
        <v>43</v>
      </c>
      <c r="C415" t="s">
        <v>27</v>
      </c>
      <c r="D415" t="s">
        <v>52</v>
      </c>
      <c r="E415" t="s">
        <v>53</v>
      </c>
      <c r="F415" t="s">
        <v>41</v>
      </c>
      <c r="G415">
        <v>63810</v>
      </c>
      <c r="H415">
        <v>5</v>
      </c>
      <c r="I415">
        <v>21</v>
      </c>
      <c r="J415">
        <v>2</v>
      </c>
      <c r="K415">
        <v>4</v>
      </c>
      <c r="L415">
        <v>3</v>
      </c>
      <c r="M415">
        <v>3</v>
      </c>
      <c r="N415" t="s">
        <v>31</v>
      </c>
      <c r="O415" t="s">
        <v>32</v>
      </c>
      <c r="P415">
        <v>13</v>
      </c>
      <c r="Q415">
        <v>27</v>
      </c>
      <c r="R415">
        <v>3</v>
      </c>
      <c r="S415" t="s">
        <v>33</v>
      </c>
      <c r="T415">
        <v>3</v>
      </c>
      <c r="U415" t="s">
        <v>31</v>
      </c>
      <c r="V415" s="1">
        <v>43776</v>
      </c>
    </row>
    <row r="416" spans="1:23" x14ac:dyDescent="0.35">
      <c r="A416" t="s">
        <v>472</v>
      </c>
      <c r="B416">
        <v>46</v>
      </c>
      <c r="C416" t="s">
        <v>44</v>
      </c>
      <c r="D416" t="s">
        <v>35</v>
      </c>
      <c r="E416" t="s">
        <v>85</v>
      </c>
      <c r="F416" t="s">
        <v>78</v>
      </c>
      <c r="G416">
        <v>140508</v>
      </c>
      <c r="H416">
        <v>20</v>
      </c>
      <c r="I416">
        <v>24</v>
      </c>
      <c r="J416">
        <v>5</v>
      </c>
      <c r="K416">
        <v>4</v>
      </c>
      <c r="L416">
        <v>4</v>
      </c>
      <c r="M416">
        <v>4</v>
      </c>
      <c r="N416" t="s">
        <v>31</v>
      </c>
      <c r="O416" t="s">
        <v>32</v>
      </c>
      <c r="P416">
        <v>6</v>
      </c>
      <c r="Q416">
        <v>14</v>
      </c>
      <c r="R416">
        <v>3</v>
      </c>
      <c r="S416" t="s">
        <v>33</v>
      </c>
      <c r="T416">
        <v>9</v>
      </c>
      <c r="U416" t="s">
        <v>31</v>
      </c>
      <c r="V416" s="1">
        <v>41325</v>
      </c>
    </row>
    <row r="417" spans="1:23" x14ac:dyDescent="0.35">
      <c r="A417" t="s">
        <v>473</v>
      </c>
      <c r="B417">
        <v>52</v>
      </c>
      <c r="C417" t="s">
        <v>27</v>
      </c>
      <c r="D417" t="s">
        <v>45</v>
      </c>
      <c r="E417" t="s">
        <v>63</v>
      </c>
      <c r="F417" t="s">
        <v>30</v>
      </c>
      <c r="G417">
        <v>144439</v>
      </c>
      <c r="H417">
        <v>20</v>
      </c>
      <c r="I417">
        <v>28</v>
      </c>
      <c r="J417">
        <v>5</v>
      </c>
      <c r="K417">
        <v>3</v>
      </c>
      <c r="L417">
        <v>4</v>
      </c>
      <c r="M417">
        <v>1</v>
      </c>
      <c r="N417" t="s">
        <v>31</v>
      </c>
      <c r="O417" t="s">
        <v>42</v>
      </c>
      <c r="P417">
        <v>19</v>
      </c>
      <c r="Q417">
        <v>52</v>
      </c>
      <c r="R417">
        <v>3</v>
      </c>
      <c r="S417" t="s">
        <v>33</v>
      </c>
      <c r="T417">
        <v>5</v>
      </c>
      <c r="U417" t="s">
        <v>31</v>
      </c>
      <c r="V417" s="1">
        <v>43856</v>
      </c>
    </row>
    <row r="418" spans="1:23" x14ac:dyDescent="0.35">
      <c r="A418" t="s">
        <v>474</v>
      </c>
      <c r="B418">
        <v>55</v>
      </c>
      <c r="C418" t="s">
        <v>44</v>
      </c>
      <c r="D418" t="s">
        <v>35</v>
      </c>
      <c r="E418" t="s">
        <v>85</v>
      </c>
      <c r="F418" t="s">
        <v>61</v>
      </c>
      <c r="G418">
        <v>97506</v>
      </c>
      <c r="H418">
        <v>6</v>
      </c>
      <c r="I418">
        <v>33</v>
      </c>
      <c r="J418">
        <v>4</v>
      </c>
      <c r="K418">
        <v>1</v>
      </c>
      <c r="L418">
        <v>1</v>
      </c>
      <c r="M418">
        <v>4</v>
      </c>
      <c r="N418" t="s">
        <v>31</v>
      </c>
      <c r="O418" t="s">
        <v>32</v>
      </c>
      <c r="P418">
        <v>18</v>
      </c>
      <c r="Q418">
        <v>39</v>
      </c>
      <c r="R418">
        <v>3</v>
      </c>
      <c r="S418" t="s">
        <v>31</v>
      </c>
      <c r="T418">
        <v>4</v>
      </c>
      <c r="U418" t="s">
        <v>31</v>
      </c>
      <c r="V418" s="1">
        <v>43645</v>
      </c>
    </row>
    <row r="419" spans="1:23" x14ac:dyDescent="0.35">
      <c r="A419" t="s">
        <v>475</v>
      </c>
      <c r="B419">
        <v>51</v>
      </c>
      <c r="C419" t="s">
        <v>44</v>
      </c>
      <c r="D419" t="s">
        <v>45</v>
      </c>
      <c r="E419" t="s">
        <v>63</v>
      </c>
      <c r="F419" t="s">
        <v>41</v>
      </c>
      <c r="G419">
        <v>122387</v>
      </c>
      <c r="H419">
        <v>12</v>
      </c>
      <c r="I419">
        <v>27</v>
      </c>
      <c r="J419">
        <v>5</v>
      </c>
      <c r="K419">
        <v>3</v>
      </c>
      <c r="L419">
        <v>2</v>
      </c>
      <c r="M419">
        <v>3</v>
      </c>
      <c r="N419" t="s">
        <v>31</v>
      </c>
      <c r="O419" t="s">
        <v>42</v>
      </c>
      <c r="P419">
        <v>19</v>
      </c>
      <c r="Q419">
        <v>18</v>
      </c>
      <c r="R419">
        <v>3</v>
      </c>
      <c r="S419" t="s">
        <v>31</v>
      </c>
      <c r="T419">
        <v>5</v>
      </c>
      <c r="U419" t="s">
        <v>33</v>
      </c>
      <c r="V419" s="1">
        <v>43337</v>
      </c>
      <c r="W419" s="1">
        <v>43450</v>
      </c>
    </row>
    <row r="420" spans="1:23" x14ac:dyDescent="0.35">
      <c r="A420" t="s">
        <v>476</v>
      </c>
      <c r="B420">
        <v>50</v>
      </c>
      <c r="C420" t="s">
        <v>27</v>
      </c>
      <c r="D420" t="s">
        <v>28</v>
      </c>
      <c r="E420" t="s">
        <v>29</v>
      </c>
      <c r="F420" t="s">
        <v>30</v>
      </c>
      <c r="G420">
        <v>126866</v>
      </c>
      <c r="H420">
        <v>11</v>
      </c>
      <c r="I420">
        <v>27</v>
      </c>
      <c r="J420">
        <v>5</v>
      </c>
      <c r="K420">
        <v>1</v>
      </c>
      <c r="L420">
        <v>4</v>
      </c>
      <c r="M420">
        <v>3</v>
      </c>
      <c r="N420" t="s">
        <v>31</v>
      </c>
      <c r="O420" t="s">
        <v>42</v>
      </c>
      <c r="P420">
        <v>26</v>
      </c>
      <c r="Q420">
        <v>17</v>
      </c>
      <c r="R420">
        <v>4</v>
      </c>
      <c r="S420" t="s">
        <v>31</v>
      </c>
      <c r="T420">
        <v>4</v>
      </c>
      <c r="U420" t="s">
        <v>31</v>
      </c>
      <c r="V420" s="1">
        <v>41543</v>
      </c>
    </row>
    <row r="421" spans="1:23" x14ac:dyDescent="0.35">
      <c r="A421" t="s">
        <v>477</v>
      </c>
      <c r="B421">
        <v>57</v>
      </c>
      <c r="C421" t="s">
        <v>27</v>
      </c>
      <c r="D421" t="s">
        <v>49</v>
      </c>
      <c r="E421" t="s">
        <v>50</v>
      </c>
      <c r="F421" t="s">
        <v>78</v>
      </c>
      <c r="G421">
        <v>132324</v>
      </c>
      <c r="H421">
        <v>15</v>
      </c>
      <c r="I421">
        <v>33</v>
      </c>
      <c r="J421">
        <v>5</v>
      </c>
      <c r="K421">
        <v>3</v>
      </c>
      <c r="L421">
        <v>2</v>
      </c>
      <c r="M421">
        <v>3</v>
      </c>
      <c r="N421" t="s">
        <v>33</v>
      </c>
      <c r="O421" t="s">
        <v>32</v>
      </c>
      <c r="P421">
        <v>28</v>
      </c>
      <c r="Q421">
        <v>23</v>
      </c>
      <c r="R421">
        <v>2</v>
      </c>
      <c r="S421" t="s">
        <v>31</v>
      </c>
      <c r="T421">
        <v>5</v>
      </c>
      <c r="U421" t="s">
        <v>31</v>
      </c>
      <c r="V421" s="1">
        <v>42633</v>
      </c>
    </row>
    <row r="422" spans="1:23" x14ac:dyDescent="0.35">
      <c r="A422" t="s">
        <v>478</v>
      </c>
      <c r="B422">
        <v>54</v>
      </c>
      <c r="C422" t="s">
        <v>44</v>
      </c>
      <c r="D422" t="s">
        <v>45</v>
      </c>
      <c r="E422" t="s">
        <v>46</v>
      </c>
      <c r="F422" t="s">
        <v>30</v>
      </c>
      <c r="G422">
        <v>132344</v>
      </c>
      <c r="H422">
        <v>14</v>
      </c>
      <c r="I422">
        <v>31</v>
      </c>
      <c r="J422">
        <v>5</v>
      </c>
      <c r="K422">
        <v>3</v>
      </c>
      <c r="L422">
        <v>3</v>
      </c>
      <c r="M422">
        <v>3</v>
      </c>
      <c r="N422" t="s">
        <v>31</v>
      </c>
      <c r="O422" t="s">
        <v>42</v>
      </c>
      <c r="P422">
        <v>26</v>
      </c>
      <c r="Q422">
        <v>44</v>
      </c>
      <c r="R422">
        <v>4</v>
      </c>
      <c r="S422" t="s">
        <v>33</v>
      </c>
      <c r="T422">
        <v>7</v>
      </c>
      <c r="U422" t="s">
        <v>31</v>
      </c>
      <c r="V422" s="1">
        <v>42107</v>
      </c>
    </row>
    <row r="423" spans="1:23" x14ac:dyDescent="0.35">
      <c r="A423" t="s">
        <v>479</v>
      </c>
      <c r="B423">
        <v>37</v>
      </c>
      <c r="C423" t="s">
        <v>44</v>
      </c>
      <c r="D423" t="s">
        <v>35</v>
      </c>
      <c r="E423" t="s">
        <v>85</v>
      </c>
      <c r="F423" t="s">
        <v>30</v>
      </c>
      <c r="G423">
        <v>126980</v>
      </c>
      <c r="H423">
        <v>11</v>
      </c>
      <c r="I423">
        <v>13</v>
      </c>
      <c r="J423">
        <v>5</v>
      </c>
      <c r="K423">
        <v>4</v>
      </c>
      <c r="L423">
        <v>4</v>
      </c>
      <c r="M423">
        <v>3</v>
      </c>
      <c r="N423" t="s">
        <v>33</v>
      </c>
      <c r="O423" t="s">
        <v>32</v>
      </c>
      <c r="P423">
        <v>21</v>
      </c>
      <c r="Q423">
        <v>48</v>
      </c>
      <c r="R423">
        <v>3</v>
      </c>
      <c r="S423" t="s">
        <v>33</v>
      </c>
      <c r="T423">
        <v>0</v>
      </c>
      <c r="U423" t="s">
        <v>31</v>
      </c>
      <c r="V423" s="1">
        <v>40932</v>
      </c>
    </row>
    <row r="424" spans="1:23" x14ac:dyDescent="0.35">
      <c r="A424" t="s">
        <v>480</v>
      </c>
      <c r="B424">
        <v>36</v>
      </c>
      <c r="C424" t="s">
        <v>27</v>
      </c>
      <c r="D424" t="s">
        <v>49</v>
      </c>
      <c r="E424" t="s">
        <v>68</v>
      </c>
      <c r="F424" t="s">
        <v>78</v>
      </c>
      <c r="G424">
        <v>81488</v>
      </c>
      <c r="H424">
        <v>7</v>
      </c>
      <c r="I424">
        <v>13</v>
      </c>
      <c r="J424">
        <v>3</v>
      </c>
      <c r="K424">
        <v>2</v>
      </c>
      <c r="L424">
        <v>2</v>
      </c>
      <c r="M424">
        <v>4</v>
      </c>
      <c r="N424" t="s">
        <v>31</v>
      </c>
      <c r="O424" t="s">
        <v>42</v>
      </c>
      <c r="P424">
        <v>21</v>
      </c>
      <c r="Q424">
        <v>38</v>
      </c>
      <c r="R424">
        <v>2</v>
      </c>
      <c r="S424" t="s">
        <v>33</v>
      </c>
      <c r="T424">
        <v>3</v>
      </c>
      <c r="U424" t="s">
        <v>31</v>
      </c>
      <c r="V424" s="1">
        <v>41167</v>
      </c>
    </row>
    <row r="425" spans="1:23" x14ac:dyDescent="0.35">
      <c r="A425" t="s">
        <v>481</v>
      </c>
      <c r="B425">
        <v>36</v>
      </c>
      <c r="C425" t="s">
        <v>44</v>
      </c>
      <c r="D425" t="s">
        <v>39</v>
      </c>
      <c r="E425" t="s">
        <v>59</v>
      </c>
      <c r="F425" t="s">
        <v>78</v>
      </c>
      <c r="G425">
        <v>117924</v>
      </c>
      <c r="H425">
        <v>10</v>
      </c>
      <c r="I425">
        <v>13</v>
      </c>
      <c r="J425">
        <v>5</v>
      </c>
      <c r="K425">
        <v>1</v>
      </c>
      <c r="L425">
        <v>1</v>
      </c>
      <c r="M425">
        <v>4</v>
      </c>
      <c r="N425" t="s">
        <v>33</v>
      </c>
      <c r="O425" t="s">
        <v>32</v>
      </c>
      <c r="P425">
        <v>18</v>
      </c>
      <c r="Q425">
        <v>20</v>
      </c>
      <c r="R425">
        <v>4</v>
      </c>
      <c r="S425" t="s">
        <v>33</v>
      </c>
      <c r="T425">
        <v>8</v>
      </c>
      <c r="U425" t="s">
        <v>31</v>
      </c>
      <c r="V425" s="1">
        <v>42387</v>
      </c>
    </row>
    <row r="426" spans="1:23" x14ac:dyDescent="0.35">
      <c r="A426" t="s">
        <v>482</v>
      </c>
      <c r="B426">
        <v>47</v>
      </c>
      <c r="C426" t="s">
        <v>27</v>
      </c>
      <c r="D426" t="s">
        <v>35</v>
      </c>
      <c r="E426" t="s">
        <v>36</v>
      </c>
      <c r="F426" t="s">
        <v>41</v>
      </c>
      <c r="G426">
        <v>142144</v>
      </c>
      <c r="H426">
        <v>20</v>
      </c>
      <c r="I426">
        <v>26</v>
      </c>
      <c r="J426">
        <v>5</v>
      </c>
      <c r="K426">
        <v>3</v>
      </c>
      <c r="L426">
        <v>3</v>
      </c>
      <c r="M426">
        <v>1</v>
      </c>
      <c r="N426" t="s">
        <v>31</v>
      </c>
      <c r="O426" t="s">
        <v>32</v>
      </c>
      <c r="P426">
        <v>10</v>
      </c>
      <c r="Q426">
        <v>56</v>
      </c>
      <c r="R426">
        <v>3</v>
      </c>
      <c r="S426" t="s">
        <v>31</v>
      </c>
      <c r="T426">
        <v>8</v>
      </c>
      <c r="U426" t="s">
        <v>31</v>
      </c>
      <c r="V426" s="1">
        <v>43898</v>
      </c>
    </row>
    <row r="427" spans="1:23" x14ac:dyDescent="0.35">
      <c r="A427" t="s">
        <v>483</v>
      </c>
      <c r="B427">
        <v>44</v>
      </c>
      <c r="C427" t="s">
        <v>27</v>
      </c>
      <c r="D427" t="s">
        <v>52</v>
      </c>
      <c r="E427" t="s">
        <v>55</v>
      </c>
      <c r="F427" t="s">
        <v>78</v>
      </c>
      <c r="G427">
        <v>120632</v>
      </c>
      <c r="H427">
        <v>10</v>
      </c>
      <c r="I427">
        <v>23</v>
      </c>
      <c r="J427">
        <v>5</v>
      </c>
      <c r="K427">
        <v>1</v>
      </c>
      <c r="L427">
        <v>3</v>
      </c>
      <c r="M427">
        <v>2</v>
      </c>
      <c r="N427" t="s">
        <v>31</v>
      </c>
      <c r="O427" t="s">
        <v>32</v>
      </c>
      <c r="P427">
        <v>4</v>
      </c>
      <c r="Q427">
        <v>36</v>
      </c>
      <c r="R427">
        <v>4</v>
      </c>
      <c r="S427" t="s">
        <v>31</v>
      </c>
      <c r="T427">
        <v>6</v>
      </c>
      <c r="U427" t="s">
        <v>31</v>
      </c>
      <c r="V427" s="1">
        <v>43601</v>
      </c>
    </row>
    <row r="428" spans="1:23" x14ac:dyDescent="0.35">
      <c r="A428" t="s">
        <v>484</v>
      </c>
      <c r="B428">
        <v>32</v>
      </c>
      <c r="C428" t="s">
        <v>27</v>
      </c>
      <c r="D428" t="s">
        <v>52</v>
      </c>
      <c r="E428" t="s">
        <v>55</v>
      </c>
      <c r="F428" t="s">
        <v>61</v>
      </c>
      <c r="G428">
        <v>58513</v>
      </c>
      <c r="H428">
        <v>3</v>
      </c>
      <c r="I428">
        <v>10</v>
      </c>
      <c r="J428">
        <v>2</v>
      </c>
      <c r="K428">
        <v>2</v>
      </c>
      <c r="L428">
        <v>3</v>
      </c>
      <c r="M428">
        <v>2</v>
      </c>
      <c r="N428" t="s">
        <v>31</v>
      </c>
      <c r="O428" t="s">
        <v>32</v>
      </c>
      <c r="P428">
        <v>5</v>
      </c>
      <c r="Q428">
        <v>18</v>
      </c>
      <c r="R428">
        <v>2</v>
      </c>
      <c r="S428" t="s">
        <v>31</v>
      </c>
      <c r="T428">
        <v>4</v>
      </c>
      <c r="U428" t="s">
        <v>31</v>
      </c>
      <c r="V428" s="1">
        <v>43019</v>
      </c>
    </row>
    <row r="429" spans="1:23" x14ac:dyDescent="0.35">
      <c r="A429" t="s">
        <v>485</v>
      </c>
      <c r="B429">
        <v>44</v>
      </c>
      <c r="C429" t="s">
        <v>44</v>
      </c>
      <c r="D429" t="s">
        <v>35</v>
      </c>
      <c r="E429" t="s">
        <v>36</v>
      </c>
      <c r="F429" t="s">
        <v>37</v>
      </c>
      <c r="G429">
        <v>59331</v>
      </c>
      <c r="H429">
        <v>2</v>
      </c>
      <c r="I429">
        <v>21</v>
      </c>
      <c r="J429">
        <v>2</v>
      </c>
      <c r="K429">
        <v>4</v>
      </c>
      <c r="L429">
        <v>3</v>
      </c>
      <c r="M429">
        <v>1</v>
      </c>
      <c r="N429" t="s">
        <v>31</v>
      </c>
      <c r="O429" t="s">
        <v>32</v>
      </c>
      <c r="P429">
        <v>9</v>
      </c>
      <c r="Q429">
        <v>26</v>
      </c>
      <c r="R429">
        <v>3</v>
      </c>
      <c r="S429" t="s">
        <v>31</v>
      </c>
      <c r="T429">
        <v>6</v>
      </c>
      <c r="U429" t="s">
        <v>31</v>
      </c>
      <c r="V429" s="1">
        <v>42823</v>
      </c>
    </row>
    <row r="430" spans="1:23" x14ac:dyDescent="0.35">
      <c r="A430" t="s">
        <v>486</v>
      </c>
      <c r="B430">
        <v>31</v>
      </c>
      <c r="C430" t="s">
        <v>44</v>
      </c>
      <c r="D430" t="s">
        <v>28</v>
      </c>
      <c r="E430" t="s">
        <v>29</v>
      </c>
      <c r="F430" t="s">
        <v>61</v>
      </c>
      <c r="G430">
        <v>104557</v>
      </c>
      <c r="H430">
        <v>9</v>
      </c>
      <c r="I430">
        <v>9</v>
      </c>
      <c r="J430">
        <v>4</v>
      </c>
      <c r="K430">
        <v>4</v>
      </c>
      <c r="L430">
        <v>2</v>
      </c>
      <c r="M430">
        <v>4</v>
      </c>
      <c r="N430" t="s">
        <v>31</v>
      </c>
      <c r="O430" t="s">
        <v>32</v>
      </c>
      <c r="P430">
        <v>29</v>
      </c>
      <c r="Q430">
        <v>10</v>
      </c>
      <c r="R430">
        <v>3</v>
      </c>
      <c r="S430" t="s">
        <v>33</v>
      </c>
      <c r="T430">
        <v>8</v>
      </c>
      <c r="U430" t="s">
        <v>31</v>
      </c>
      <c r="V430" s="1">
        <v>43634</v>
      </c>
    </row>
    <row r="431" spans="1:23" x14ac:dyDescent="0.35">
      <c r="A431" t="s">
        <v>487</v>
      </c>
      <c r="B431">
        <v>56</v>
      </c>
      <c r="C431" t="s">
        <v>44</v>
      </c>
      <c r="D431" t="s">
        <v>49</v>
      </c>
      <c r="E431" t="s">
        <v>50</v>
      </c>
      <c r="F431" t="s">
        <v>30</v>
      </c>
      <c r="G431">
        <v>125110</v>
      </c>
      <c r="H431">
        <v>14</v>
      </c>
      <c r="I431">
        <v>33</v>
      </c>
      <c r="J431">
        <v>5</v>
      </c>
      <c r="K431">
        <v>2</v>
      </c>
      <c r="L431">
        <v>3</v>
      </c>
      <c r="M431">
        <v>4</v>
      </c>
      <c r="N431" t="s">
        <v>33</v>
      </c>
      <c r="O431" t="s">
        <v>32</v>
      </c>
      <c r="P431">
        <v>25</v>
      </c>
      <c r="Q431">
        <v>58</v>
      </c>
      <c r="R431">
        <v>3</v>
      </c>
      <c r="S431" t="s">
        <v>31</v>
      </c>
      <c r="T431">
        <v>3</v>
      </c>
      <c r="U431" t="s">
        <v>31</v>
      </c>
      <c r="V431" s="1">
        <v>42815</v>
      </c>
    </row>
    <row r="432" spans="1:23" x14ac:dyDescent="0.35">
      <c r="A432" t="s">
        <v>488</v>
      </c>
      <c r="B432">
        <v>35</v>
      </c>
      <c r="C432" t="s">
        <v>27</v>
      </c>
      <c r="D432" t="s">
        <v>35</v>
      </c>
      <c r="E432" t="s">
        <v>36</v>
      </c>
      <c r="F432" t="s">
        <v>41</v>
      </c>
      <c r="G432">
        <v>60521</v>
      </c>
      <c r="H432">
        <v>3</v>
      </c>
      <c r="I432">
        <v>11</v>
      </c>
      <c r="J432">
        <v>2</v>
      </c>
      <c r="K432">
        <v>4</v>
      </c>
      <c r="L432">
        <v>2</v>
      </c>
      <c r="M432">
        <v>1</v>
      </c>
      <c r="N432" t="s">
        <v>31</v>
      </c>
      <c r="O432" t="s">
        <v>32</v>
      </c>
      <c r="P432">
        <v>21</v>
      </c>
      <c r="Q432">
        <v>17</v>
      </c>
      <c r="R432">
        <v>3</v>
      </c>
      <c r="S432" t="s">
        <v>31</v>
      </c>
      <c r="T432">
        <v>2</v>
      </c>
      <c r="U432" t="s">
        <v>31</v>
      </c>
      <c r="V432" s="1">
        <v>41118</v>
      </c>
    </row>
    <row r="433" spans="1:23" x14ac:dyDescent="0.35">
      <c r="A433" t="s">
        <v>489</v>
      </c>
      <c r="B433">
        <v>40</v>
      </c>
      <c r="C433" t="s">
        <v>44</v>
      </c>
      <c r="D433" t="s">
        <v>39</v>
      </c>
      <c r="E433" t="s">
        <v>40</v>
      </c>
      <c r="F433" t="s">
        <v>41</v>
      </c>
      <c r="G433">
        <v>44254</v>
      </c>
      <c r="H433">
        <v>1</v>
      </c>
      <c r="I433">
        <v>17</v>
      </c>
      <c r="J433">
        <v>1</v>
      </c>
      <c r="K433">
        <v>3</v>
      </c>
      <c r="L433">
        <v>4</v>
      </c>
      <c r="M433">
        <v>3</v>
      </c>
      <c r="N433" t="s">
        <v>31</v>
      </c>
      <c r="O433" t="s">
        <v>32</v>
      </c>
      <c r="P433">
        <v>5</v>
      </c>
      <c r="Q433">
        <v>32</v>
      </c>
      <c r="R433">
        <v>2</v>
      </c>
      <c r="S433" t="s">
        <v>31</v>
      </c>
      <c r="T433">
        <v>2</v>
      </c>
      <c r="U433" t="s">
        <v>31</v>
      </c>
      <c r="V433" s="1">
        <v>41858</v>
      </c>
    </row>
    <row r="434" spans="1:23" x14ac:dyDescent="0.35">
      <c r="A434" t="s">
        <v>490</v>
      </c>
      <c r="B434">
        <v>49</v>
      </c>
      <c r="C434" t="s">
        <v>27</v>
      </c>
      <c r="D434" t="s">
        <v>45</v>
      </c>
      <c r="E434" t="s">
        <v>63</v>
      </c>
      <c r="F434" t="s">
        <v>78</v>
      </c>
      <c r="G434">
        <v>42371</v>
      </c>
      <c r="H434">
        <v>1</v>
      </c>
      <c r="I434">
        <v>26</v>
      </c>
      <c r="J434">
        <v>1</v>
      </c>
      <c r="K434">
        <v>2</v>
      </c>
      <c r="L434">
        <v>4</v>
      </c>
      <c r="M434">
        <v>1</v>
      </c>
      <c r="N434" t="s">
        <v>33</v>
      </c>
      <c r="O434" t="s">
        <v>32</v>
      </c>
      <c r="P434">
        <v>17</v>
      </c>
      <c r="Q434">
        <v>35</v>
      </c>
      <c r="R434">
        <v>3</v>
      </c>
      <c r="S434" t="s">
        <v>31</v>
      </c>
      <c r="T434">
        <v>8</v>
      </c>
      <c r="U434" t="s">
        <v>31</v>
      </c>
      <c r="V434" s="1">
        <v>42535</v>
      </c>
    </row>
    <row r="435" spans="1:23" x14ac:dyDescent="0.35">
      <c r="A435" t="s">
        <v>491</v>
      </c>
      <c r="B435">
        <v>36</v>
      </c>
      <c r="C435" t="s">
        <v>44</v>
      </c>
      <c r="D435" t="s">
        <v>49</v>
      </c>
      <c r="E435" t="s">
        <v>68</v>
      </c>
      <c r="F435" t="s">
        <v>78</v>
      </c>
      <c r="G435">
        <v>122553</v>
      </c>
      <c r="H435">
        <v>11</v>
      </c>
      <c r="I435">
        <v>14</v>
      </c>
      <c r="J435">
        <v>5</v>
      </c>
      <c r="K435">
        <v>2</v>
      </c>
      <c r="L435">
        <v>4</v>
      </c>
      <c r="M435">
        <v>1</v>
      </c>
      <c r="N435" t="s">
        <v>31</v>
      </c>
      <c r="O435" t="s">
        <v>32</v>
      </c>
      <c r="P435">
        <v>12</v>
      </c>
      <c r="Q435">
        <v>37</v>
      </c>
      <c r="R435">
        <v>3</v>
      </c>
      <c r="S435" t="s">
        <v>33</v>
      </c>
      <c r="T435">
        <v>6</v>
      </c>
      <c r="U435" t="s">
        <v>31</v>
      </c>
      <c r="V435" s="1">
        <v>44644</v>
      </c>
    </row>
    <row r="436" spans="1:23" x14ac:dyDescent="0.35">
      <c r="A436" t="s">
        <v>492</v>
      </c>
      <c r="B436">
        <v>45</v>
      </c>
      <c r="C436" t="s">
        <v>44</v>
      </c>
      <c r="D436" t="s">
        <v>49</v>
      </c>
      <c r="E436" t="s">
        <v>50</v>
      </c>
      <c r="F436" t="s">
        <v>37</v>
      </c>
      <c r="G436">
        <v>118527</v>
      </c>
      <c r="H436">
        <v>9</v>
      </c>
      <c r="I436">
        <v>21</v>
      </c>
      <c r="J436">
        <v>5</v>
      </c>
      <c r="K436">
        <v>4</v>
      </c>
      <c r="L436">
        <v>4</v>
      </c>
      <c r="M436">
        <v>4</v>
      </c>
      <c r="N436" t="s">
        <v>31</v>
      </c>
      <c r="O436" t="s">
        <v>32</v>
      </c>
      <c r="P436">
        <v>11</v>
      </c>
      <c r="Q436">
        <v>17</v>
      </c>
      <c r="R436">
        <v>3</v>
      </c>
      <c r="S436" t="s">
        <v>31</v>
      </c>
      <c r="T436">
        <v>3</v>
      </c>
      <c r="U436" t="s">
        <v>31</v>
      </c>
      <c r="V436" s="1">
        <v>41368</v>
      </c>
    </row>
    <row r="437" spans="1:23" x14ac:dyDescent="0.35">
      <c r="A437" t="s">
        <v>493</v>
      </c>
      <c r="B437">
        <v>57</v>
      </c>
      <c r="C437" t="s">
        <v>27</v>
      </c>
      <c r="D437" t="s">
        <v>49</v>
      </c>
      <c r="E437" t="s">
        <v>50</v>
      </c>
      <c r="F437" t="s">
        <v>37</v>
      </c>
      <c r="G437">
        <v>131331</v>
      </c>
      <c r="H437">
        <v>16</v>
      </c>
      <c r="I437">
        <v>35</v>
      </c>
      <c r="J437">
        <v>5</v>
      </c>
      <c r="K437">
        <v>3</v>
      </c>
      <c r="L437">
        <v>2</v>
      </c>
      <c r="M437">
        <v>2</v>
      </c>
      <c r="N437" t="s">
        <v>31</v>
      </c>
      <c r="O437" t="s">
        <v>42</v>
      </c>
      <c r="P437">
        <v>22</v>
      </c>
      <c r="Q437">
        <v>57</v>
      </c>
      <c r="R437">
        <v>3</v>
      </c>
      <c r="S437" t="s">
        <v>33</v>
      </c>
      <c r="T437">
        <v>3</v>
      </c>
      <c r="U437" t="s">
        <v>31</v>
      </c>
      <c r="V437" s="1">
        <v>41313</v>
      </c>
    </row>
    <row r="438" spans="1:23" x14ac:dyDescent="0.35">
      <c r="A438" t="s">
        <v>494</v>
      </c>
      <c r="B438">
        <v>22</v>
      </c>
      <c r="C438" t="s">
        <v>27</v>
      </c>
      <c r="D438" t="s">
        <v>28</v>
      </c>
      <c r="E438" t="s">
        <v>66</v>
      </c>
      <c r="F438" t="s">
        <v>61</v>
      </c>
      <c r="G438">
        <v>43622</v>
      </c>
      <c r="H438">
        <v>0</v>
      </c>
      <c r="I438">
        <v>1</v>
      </c>
      <c r="J438">
        <v>1</v>
      </c>
      <c r="K438">
        <v>3</v>
      </c>
      <c r="L438">
        <v>3</v>
      </c>
      <c r="M438">
        <v>2</v>
      </c>
      <c r="N438" t="s">
        <v>31</v>
      </c>
      <c r="O438" t="s">
        <v>42</v>
      </c>
      <c r="P438">
        <v>16</v>
      </c>
      <c r="Q438">
        <v>35</v>
      </c>
      <c r="R438">
        <v>2</v>
      </c>
      <c r="S438" t="s">
        <v>31</v>
      </c>
      <c r="T438">
        <v>5</v>
      </c>
      <c r="U438" t="s">
        <v>31</v>
      </c>
      <c r="V438" s="1">
        <v>41449</v>
      </c>
    </row>
    <row r="439" spans="1:23" x14ac:dyDescent="0.35">
      <c r="A439" t="s">
        <v>495</v>
      </c>
      <c r="B439">
        <v>40</v>
      </c>
      <c r="C439" t="s">
        <v>27</v>
      </c>
      <c r="D439" t="s">
        <v>28</v>
      </c>
      <c r="E439" t="s">
        <v>66</v>
      </c>
      <c r="F439" t="s">
        <v>37</v>
      </c>
      <c r="G439">
        <v>56185</v>
      </c>
      <c r="H439">
        <v>2</v>
      </c>
      <c r="I439">
        <v>17</v>
      </c>
      <c r="J439">
        <v>2</v>
      </c>
      <c r="K439">
        <v>1</v>
      </c>
      <c r="L439">
        <v>4</v>
      </c>
      <c r="M439">
        <v>1</v>
      </c>
      <c r="N439" t="s">
        <v>31</v>
      </c>
      <c r="O439" t="s">
        <v>32</v>
      </c>
      <c r="P439">
        <v>20</v>
      </c>
      <c r="Q439">
        <v>57</v>
      </c>
      <c r="R439">
        <v>3</v>
      </c>
      <c r="S439" t="s">
        <v>31</v>
      </c>
      <c r="T439">
        <v>2</v>
      </c>
      <c r="U439" t="s">
        <v>31</v>
      </c>
      <c r="V439" s="1">
        <v>43679</v>
      </c>
    </row>
    <row r="440" spans="1:23" x14ac:dyDescent="0.35">
      <c r="A440" t="s">
        <v>496</v>
      </c>
      <c r="B440">
        <v>27</v>
      </c>
      <c r="C440" t="s">
        <v>27</v>
      </c>
      <c r="D440" t="s">
        <v>39</v>
      </c>
      <c r="E440" t="s">
        <v>59</v>
      </c>
      <c r="F440" t="s">
        <v>56</v>
      </c>
      <c r="G440">
        <v>78109</v>
      </c>
      <c r="H440">
        <v>3</v>
      </c>
      <c r="I440">
        <v>3</v>
      </c>
      <c r="J440">
        <v>3</v>
      </c>
      <c r="K440">
        <v>2</v>
      </c>
      <c r="L440">
        <v>1</v>
      </c>
      <c r="M440">
        <v>1</v>
      </c>
      <c r="N440" t="s">
        <v>33</v>
      </c>
      <c r="O440" t="s">
        <v>32</v>
      </c>
      <c r="P440">
        <v>16</v>
      </c>
      <c r="Q440">
        <v>16</v>
      </c>
      <c r="R440">
        <v>2</v>
      </c>
      <c r="S440" t="s">
        <v>31</v>
      </c>
      <c r="T440">
        <v>7</v>
      </c>
      <c r="U440" t="s">
        <v>31</v>
      </c>
      <c r="V440" s="1">
        <v>42658</v>
      </c>
    </row>
    <row r="441" spans="1:23" x14ac:dyDescent="0.35">
      <c r="A441" t="s">
        <v>497</v>
      </c>
      <c r="B441">
        <v>27</v>
      </c>
      <c r="C441" t="s">
        <v>27</v>
      </c>
      <c r="D441" t="s">
        <v>45</v>
      </c>
      <c r="E441" t="s">
        <v>63</v>
      </c>
      <c r="F441" t="s">
        <v>30</v>
      </c>
      <c r="G441">
        <v>62188</v>
      </c>
      <c r="H441">
        <v>2</v>
      </c>
      <c r="I441">
        <v>3</v>
      </c>
      <c r="J441">
        <v>2</v>
      </c>
      <c r="K441">
        <v>1</v>
      </c>
      <c r="L441">
        <v>2</v>
      </c>
      <c r="M441">
        <v>4</v>
      </c>
      <c r="N441" t="s">
        <v>31</v>
      </c>
      <c r="O441" t="s">
        <v>32</v>
      </c>
      <c r="P441">
        <v>27</v>
      </c>
      <c r="Q441">
        <v>47</v>
      </c>
      <c r="R441">
        <v>3</v>
      </c>
      <c r="S441" t="s">
        <v>31</v>
      </c>
      <c r="T441">
        <v>4</v>
      </c>
      <c r="U441" t="s">
        <v>33</v>
      </c>
      <c r="V441" s="1">
        <v>42749</v>
      </c>
      <c r="W441" s="1">
        <v>43017</v>
      </c>
    </row>
    <row r="442" spans="1:23" x14ac:dyDescent="0.35">
      <c r="A442" t="s">
        <v>498</v>
      </c>
      <c r="B442">
        <v>34</v>
      </c>
      <c r="C442" t="s">
        <v>44</v>
      </c>
      <c r="D442" t="s">
        <v>45</v>
      </c>
      <c r="E442" t="s">
        <v>46</v>
      </c>
      <c r="F442" t="s">
        <v>61</v>
      </c>
      <c r="G442">
        <v>74540</v>
      </c>
      <c r="H442">
        <v>3</v>
      </c>
      <c r="I442">
        <v>12</v>
      </c>
      <c r="J442">
        <v>3</v>
      </c>
      <c r="K442">
        <v>3</v>
      </c>
      <c r="L442">
        <v>2</v>
      </c>
      <c r="M442">
        <v>2</v>
      </c>
      <c r="N442" t="s">
        <v>31</v>
      </c>
      <c r="O442" t="s">
        <v>32</v>
      </c>
      <c r="P442">
        <v>17</v>
      </c>
      <c r="Q442">
        <v>31</v>
      </c>
      <c r="R442">
        <v>4</v>
      </c>
      <c r="S442" t="s">
        <v>31</v>
      </c>
      <c r="T442">
        <v>7</v>
      </c>
      <c r="U442" t="s">
        <v>31</v>
      </c>
      <c r="V442" s="1">
        <v>41671</v>
      </c>
    </row>
    <row r="443" spans="1:23" x14ac:dyDescent="0.35">
      <c r="A443" t="s">
        <v>499</v>
      </c>
      <c r="B443">
        <v>47</v>
      </c>
      <c r="C443" t="s">
        <v>44</v>
      </c>
      <c r="D443" t="s">
        <v>45</v>
      </c>
      <c r="E443" t="s">
        <v>63</v>
      </c>
      <c r="F443" t="s">
        <v>56</v>
      </c>
      <c r="G443">
        <v>130998</v>
      </c>
      <c r="H443">
        <v>13</v>
      </c>
      <c r="I443">
        <v>24</v>
      </c>
      <c r="J443">
        <v>5</v>
      </c>
      <c r="K443">
        <v>4</v>
      </c>
      <c r="L443">
        <v>3</v>
      </c>
      <c r="M443">
        <v>4</v>
      </c>
      <c r="N443" t="s">
        <v>31</v>
      </c>
      <c r="O443" t="s">
        <v>47</v>
      </c>
      <c r="P443">
        <v>13</v>
      </c>
      <c r="Q443">
        <v>21</v>
      </c>
      <c r="R443">
        <v>3</v>
      </c>
      <c r="S443" t="s">
        <v>33</v>
      </c>
      <c r="T443">
        <v>0</v>
      </c>
      <c r="U443" t="s">
        <v>33</v>
      </c>
      <c r="V443" s="1">
        <v>41623</v>
      </c>
      <c r="W443" s="1">
        <v>42037</v>
      </c>
    </row>
    <row r="444" spans="1:23" x14ac:dyDescent="0.35">
      <c r="A444" t="s">
        <v>500</v>
      </c>
      <c r="B444">
        <v>52</v>
      </c>
      <c r="C444" t="s">
        <v>27</v>
      </c>
      <c r="D444" t="s">
        <v>45</v>
      </c>
      <c r="E444" t="s">
        <v>46</v>
      </c>
      <c r="F444" t="s">
        <v>78</v>
      </c>
      <c r="G444">
        <v>147144</v>
      </c>
      <c r="H444">
        <v>24</v>
      </c>
      <c r="I444">
        <v>30</v>
      </c>
      <c r="J444">
        <v>5</v>
      </c>
      <c r="K444">
        <v>2</v>
      </c>
      <c r="L444">
        <v>3</v>
      </c>
      <c r="M444">
        <v>4</v>
      </c>
      <c r="N444" t="s">
        <v>33</v>
      </c>
      <c r="O444" t="s">
        <v>32</v>
      </c>
      <c r="P444">
        <v>25</v>
      </c>
      <c r="Q444">
        <v>24</v>
      </c>
      <c r="R444">
        <v>3</v>
      </c>
      <c r="S444" t="s">
        <v>31</v>
      </c>
      <c r="T444">
        <v>4</v>
      </c>
      <c r="U444" t="s">
        <v>31</v>
      </c>
      <c r="V444" s="1">
        <v>42132</v>
      </c>
    </row>
    <row r="445" spans="1:23" x14ac:dyDescent="0.35">
      <c r="A445" t="s">
        <v>501</v>
      </c>
      <c r="B445">
        <v>35</v>
      </c>
      <c r="C445" t="s">
        <v>44</v>
      </c>
      <c r="D445" t="s">
        <v>28</v>
      </c>
      <c r="E445" t="s">
        <v>29</v>
      </c>
      <c r="F445" t="s">
        <v>41</v>
      </c>
      <c r="G445">
        <v>42709</v>
      </c>
      <c r="H445">
        <v>1</v>
      </c>
      <c r="I445">
        <v>14</v>
      </c>
      <c r="J445">
        <v>1</v>
      </c>
      <c r="K445">
        <v>3</v>
      </c>
      <c r="L445">
        <v>4</v>
      </c>
      <c r="M445">
        <v>4</v>
      </c>
      <c r="N445" t="s">
        <v>31</v>
      </c>
      <c r="O445" t="s">
        <v>42</v>
      </c>
      <c r="P445">
        <v>29</v>
      </c>
      <c r="Q445">
        <v>17</v>
      </c>
      <c r="R445">
        <v>3</v>
      </c>
      <c r="S445" t="s">
        <v>31</v>
      </c>
      <c r="T445">
        <v>3</v>
      </c>
      <c r="U445" t="s">
        <v>31</v>
      </c>
      <c r="V445" s="1">
        <v>43702</v>
      </c>
    </row>
    <row r="446" spans="1:23" x14ac:dyDescent="0.35">
      <c r="A446" t="s">
        <v>502</v>
      </c>
      <c r="B446">
        <v>52</v>
      </c>
      <c r="C446" t="s">
        <v>27</v>
      </c>
      <c r="D446" t="s">
        <v>28</v>
      </c>
      <c r="E446" t="s">
        <v>66</v>
      </c>
      <c r="F446" t="s">
        <v>41</v>
      </c>
      <c r="G446">
        <v>122963</v>
      </c>
      <c r="H446">
        <v>12</v>
      </c>
      <c r="I446">
        <v>31</v>
      </c>
      <c r="J446">
        <v>5</v>
      </c>
      <c r="K446">
        <v>4</v>
      </c>
      <c r="L446">
        <v>1</v>
      </c>
      <c r="M446">
        <v>3</v>
      </c>
      <c r="N446" t="s">
        <v>31</v>
      </c>
      <c r="O446" t="s">
        <v>32</v>
      </c>
      <c r="P446">
        <v>11</v>
      </c>
      <c r="Q446">
        <v>58</v>
      </c>
      <c r="R446">
        <v>3</v>
      </c>
      <c r="S446" t="s">
        <v>31</v>
      </c>
      <c r="T446">
        <v>5</v>
      </c>
      <c r="U446" t="s">
        <v>31</v>
      </c>
      <c r="V446" s="1">
        <v>42112</v>
      </c>
    </row>
    <row r="447" spans="1:23" x14ac:dyDescent="0.35">
      <c r="A447" t="s">
        <v>503</v>
      </c>
      <c r="B447">
        <v>29</v>
      </c>
      <c r="C447" t="s">
        <v>44</v>
      </c>
      <c r="D447" t="s">
        <v>35</v>
      </c>
      <c r="E447" t="s">
        <v>85</v>
      </c>
      <c r="F447" t="s">
        <v>41</v>
      </c>
      <c r="G447">
        <v>78944</v>
      </c>
      <c r="H447">
        <v>3</v>
      </c>
      <c r="I447">
        <v>6</v>
      </c>
      <c r="J447">
        <v>3</v>
      </c>
      <c r="K447">
        <v>3</v>
      </c>
      <c r="L447">
        <v>2</v>
      </c>
      <c r="M447">
        <v>2</v>
      </c>
      <c r="N447" t="s">
        <v>33</v>
      </c>
      <c r="O447" t="s">
        <v>32</v>
      </c>
      <c r="P447">
        <v>5</v>
      </c>
      <c r="Q447">
        <v>40</v>
      </c>
      <c r="R447">
        <v>3</v>
      </c>
      <c r="S447" t="s">
        <v>31</v>
      </c>
      <c r="T447">
        <v>6</v>
      </c>
      <c r="U447" t="s">
        <v>33</v>
      </c>
      <c r="V447" s="1">
        <v>44206</v>
      </c>
      <c r="W447" s="1">
        <v>44475</v>
      </c>
    </row>
    <row r="448" spans="1:23" x14ac:dyDescent="0.35">
      <c r="A448" t="s">
        <v>504</v>
      </c>
      <c r="B448">
        <v>43</v>
      </c>
      <c r="C448" t="s">
        <v>44</v>
      </c>
      <c r="D448" t="s">
        <v>39</v>
      </c>
      <c r="E448" t="s">
        <v>59</v>
      </c>
      <c r="F448" t="s">
        <v>56</v>
      </c>
      <c r="G448">
        <v>132546</v>
      </c>
      <c r="H448">
        <v>14</v>
      </c>
      <c r="I448">
        <v>19</v>
      </c>
      <c r="J448">
        <v>5</v>
      </c>
      <c r="K448">
        <v>1</v>
      </c>
      <c r="L448">
        <v>3</v>
      </c>
      <c r="M448">
        <v>2</v>
      </c>
      <c r="N448" t="s">
        <v>31</v>
      </c>
      <c r="O448" t="s">
        <v>42</v>
      </c>
      <c r="P448">
        <v>9</v>
      </c>
      <c r="Q448">
        <v>57</v>
      </c>
      <c r="R448">
        <v>4</v>
      </c>
      <c r="S448" t="s">
        <v>31</v>
      </c>
      <c r="T448">
        <v>2</v>
      </c>
      <c r="U448" t="s">
        <v>31</v>
      </c>
      <c r="V448" s="1">
        <v>44841</v>
      </c>
    </row>
    <row r="449" spans="1:23" x14ac:dyDescent="0.35">
      <c r="A449" t="s">
        <v>505</v>
      </c>
      <c r="B449">
        <v>41</v>
      </c>
      <c r="C449" t="s">
        <v>27</v>
      </c>
      <c r="D449" t="s">
        <v>52</v>
      </c>
      <c r="E449" t="s">
        <v>55</v>
      </c>
      <c r="F449" t="s">
        <v>41</v>
      </c>
      <c r="G449">
        <v>126511</v>
      </c>
      <c r="H449">
        <v>12</v>
      </c>
      <c r="I449">
        <v>19</v>
      </c>
      <c r="J449">
        <v>5</v>
      </c>
      <c r="K449">
        <v>4</v>
      </c>
      <c r="L449">
        <v>1</v>
      </c>
      <c r="M449">
        <v>3</v>
      </c>
      <c r="N449" t="s">
        <v>31</v>
      </c>
      <c r="O449" t="s">
        <v>32</v>
      </c>
      <c r="P449">
        <v>12</v>
      </c>
      <c r="Q449">
        <v>40</v>
      </c>
      <c r="R449">
        <v>3</v>
      </c>
      <c r="S449" t="s">
        <v>31</v>
      </c>
      <c r="T449">
        <v>6</v>
      </c>
      <c r="U449" t="s">
        <v>31</v>
      </c>
      <c r="V449" s="1">
        <v>43800</v>
      </c>
    </row>
    <row r="450" spans="1:23" x14ac:dyDescent="0.35">
      <c r="A450" t="s">
        <v>506</v>
      </c>
      <c r="B450">
        <v>42</v>
      </c>
      <c r="C450" t="s">
        <v>44</v>
      </c>
      <c r="D450" t="s">
        <v>28</v>
      </c>
      <c r="E450" t="s">
        <v>66</v>
      </c>
      <c r="F450" t="s">
        <v>30</v>
      </c>
      <c r="G450">
        <v>76614</v>
      </c>
      <c r="H450">
        <v>4</v>
      </c>
      <c r="I450">
        <v>18</v>
      </c>
      <c r="J450">
        <v>3</v>
      </c>
      <c r="K450">
        <v>4</v>
      </c>
      <c r="L450">
        <v>1</v>
      </c>
      <c r="M450">
        <v>1</v>
      </c>
      <c r="N450" t="s">
        <v>31</v>
      </c>
      <c r="O450" t="s">
        <v>32</v>
      </c>
      <c r="P450">
        <v>17</v>
      </c>
      <c r="Q450">
        <v>29</v>
      </c>
      <c r="R450">
        <v>3</v>
      </c>
      <c r="S450" t="s">
        <v>31</v>
      </c>
      <c r="T450">
        <v>4</v>
      </c>
      <c r="U450" t="s">
        <v>31</v>
      </c>
      <c r="V450" s="1">
        <v>42317</v>
      </c>
    </row>
    <row r="451" spans="1:23" x14ac:dyDescent="0.35">
      <c r="A451" t="s">
        <v>507</v>
      </c>
      <c r="B451">
        <v>34</v>
      </c>
      <c r="C451" t="s">
        <v>27</v>
      </c>
      <c r="D451" t="s">
        <v>45</v>
      </c>
      <c r="E451" t="s">
        <v>46</v>
      </c>
      <c r="F451" t="s">
        <v>56</v>
      </c>
      <c r="G451">
        <v>126554</v>
      </c>
      <c r="H451">
        <v>13</v>
      </c>
      <c r="I451">
        <v>13</v>
      </c>
      <c r="J451">
        <v>5</v>
      </c>
      <c r="K451">
        <v>3</v>
      </c>
      <c r="L451">
        <v>2</v>
      </c>
      <c r="M451">
        <v>3</v>
      </c>
      <c r="N451" t="s">
        <v>33</v>
      </c>
      <c r="O451" t="s">
        <v>32</v>
      </c>
      <c r="P451">
        <v>19</v>
      </c>
      <c r="Q451">
        <v>51</v>
      </c>
      <c r="R451">
        <v>3</v>
      </c>
      <c r="S451" t="s">
        <v>33</v>
      </c>
      <c r="T451">
        <v>4</v>
      </c>
      <c r="U451" t="s">
        <v>31</v>
      </c>
      <c r="V451" s="1">
        <v>41666</v>
      </c>
    </row>
    <row r="452" spans="1:23" x14ac:dyDescent="0.35">
      <c r="A452" t="s">
        <v>508</v>
      </c>
      <c r="B452">
        <v>40</v>
      </c>
      <c r="C452" t="s">
        <v>44</v>
      </c>
      <c r="D452" t="s">
        <v>52</v>
      </c>
      <c r="E452" t="s">
        <v>55</v>
      </c>
      <c r="F452" t="s">
        <v>78</v>
      </c>
      <c r="G452">
        <v>128104</v>
      </c>
      <c r="H452">
        <v>15</v>
      </c>
      <c r="I452">
        <v>18</v>
      </c>
      <c r="J452">
        <v>5</v>
      </c>
      <c r="K452">
        <v>2</v>
      </c>
      <c r="L452">
        <v>1</v>
      </c>
      <c r="M452">
        <v>4</v>
      </c>
      <c r="N452" t="s">
        <v>33</v>
      </c>
      <c r="O452" t="s">
        <v>32</v>
      </c>
      <c r="P452">
        <v>22</v>
      </c>
      <c r="Q452">
        <v>27</v>
      </c>
      <c r="R452">
        <v>3</v>
      </c>
      <c r="S452" t="s">
        <v>31</v>
      </c>
      <c r="T452">
        <v>2</v>
      </c>
      <c r="U452" t="s">
        <v>31</v>
      </c>
      <c r="V452" s="1">
        <v>41958</v>
      </c>
    </row>
    <row r="453" spans="1:23" x14ac:dyDescent="0.35">
      <c r="A453" t="s">
        <v>509</v>
      </c>
      <c r="B453">
        <v>55</v>
      </c>
      <c r="C453" t="s">
        <v>44</v>
      </c>
      <c r="D453" t="s">
        <v>49</v>
      </c>
      <c r="E453" t="s">
        <v>68</v>
      </c>
      <c r="F453" t="s">
        <v>56</v>
      </c>
      <c r="G453">
        <v>127804</v>
      </c>
      <c r="H453">
        <v>14</v>
      </c>
      <c r="I453">
        <v>33</v>
      </c>
      <c r="J453">
        <v>5</v>
      </c>
      <c r="K453">
        <v>2</v>
      </c>
      <c r="L453">
        <v>4</v>
      </c>
      <c r="M453">
        <v>2</v>
      </c>
      <c r="N453" t="s">
        <v>33</v>
      </c>
      <c r="O453" t="s">
        <v>32</v>
      </c>
      <c r="P453">
        <v>15</v>
      </c>
      <c r="Q453">
        <v>33</v>
      </c>
      <c r="R453">
        <v>3</v>
      </c>
      <c r="S453" t="s">
        <v>33</v>
      </c>
      <c r="T453">
        <v>5</v>
      </c>
      <c r="U453" t="s">
        <v>31</v>
      </c>
      <c r="V453" s="1">
        <v>43246</v>
      </c>
    </row>
    <row r="454" spans="1:23" x14ac:dyDescent="0.35">
      <c r="A454" t="s">
        <v>510</v>
      </c>
      <c r="B454">
        <v>38</v>
      </c>
      <c r="C454" t="s">
        <v>44</v>
      </c>
      <c r="D454" t="s">
        <v>28</v>
      </c>
      <c r="E454" t="s">
        <v>29</v>
      </c>
      <c r="F454" t="s">
        <v>56</v>
      </c>
      <c r="G454">
        <v>129337</v>
      </c>
      <c r="H454">
        <v>15</v>
      </c>
      <c r="I454">
        <v>15</v>
      </c>
      <c r="J454">
        <v>5</v>
      </c>
      <c r="K454">
        <v>4</v>
      </c>
      <c r="L454">
        <v>4</v>
      </c>
      <c r="M454">
        <v>3</v>
      </c>
      <c r="N454" t="s">
        <v>31</v>
      </c>
      <c r="O454" t="s">
        <v>42</v>
      </c>
      <c r="P454">
        <v>6</v>
      </c>
      <c r="Q454">
        <v>41</v>
      </c>
      <c r="R454">
        <v>2</v>
      </c>
      <c r="S454" t="s">
        <v>33</v>
      </c>
      <c r="T454">
        <v>6</v>
      </c>
      <c r="U454" t="s">
        <v>31</v>
      </c>
      <c r="V454" s="1">
        <v>43080</v>
      </c>
    </row>
    <row r="455" spans="1:23" x14ac:dyDescent="0.35">
      <c r="A455" t="s">
        <v>511</v>
      </c>
      <c r="B455">
        <v>39</v>
      </c>
      <c r="C455" t="s">
        <v>27</v>
      </c>
      <c r="D455" t="s">
        <v>39</v>
      </c>
      <c r="E455" t="s">
        <v>40</v>
      </c>
      <c r="F455" t="s">
        <v>78</v>
      </c>
      <c r="G455">
        <v>77215</v>
      </c>
      <c r="H455">
        <v>3</v>
      </c>
      <c r="I455">
        <v>18</v>
      </c>
      <c r="J455">
        <v>3</v>
      </c>
      <c r="K455">
        <v>2</v>
      </c>
      <c r="L455">
        <v>4</v>
      </c>
      <c r="M455">
        <v>3</v>
      </c>
      <c r="N455" t="s">
        <v>31</v>
      </c>
      <c r="O455" t="s">
        <v>32</v>
      </c>
      <c r="P455">
        <v>2</v>
      </c>
      <c r="Q455">
        <v>33</v>
      </c>
      <c r="R455">
        <v>3</v>
      </c>
      <c r="S455" t="s">
        <v>31</v>
      </c>
      <c r="T455">
        <v>6</v>
      </c>
      <c r="U455" t="s">
        <v>31</v>
      </c>
      <c r="V455" s="1">
        <v>43277</v>
      </c>
    </row>
    <row r="456" spans="1:23" x14ac:dyDescent="0.35">
      <c r="A456" t="s">
        <v>512</v>
      </c>
      <c r="B456">
        <v>48</v>
      </c>
      <c r="C456" t="s">
        <v>27</v>
      </c>
      <c r="D456" t="s">
        <v>45</v>
      </c>
      <c r="E456" t="s">
        <v>63</v>
      </c>
      <c r="F456" t="s">
        <v>37</v>
      </c>
      <c r="G456">
        <v>84691</v>
      </c>
      <c r="H456">
        <v>7</v>
      </c>
      <c r="I456">
        <v>25</v>
      </c>
      <c r="J456">
        <v>3</v>
      </c>
      <c r="K456">
        <v>3</v>
      </c>
      <c r="L456">
        <v>2</v>
      </c>
      <c r="M456">
        <v>1</v>
      </c>
      <c r="N456" t="s">
        <v>31</v>
      </c>
      <c r="O456" t="s">
        <v>42</v>
      </c>
      <c r="P456">
        <v>1</v>
      </c>
      <c r="Q456">
        <v>47</v>
      </c>
      <c r="R456">
        <v>3</v>
      </c>
      <c r="S456" t="s">
        <v>33</v>
      </c>
      <c r="T456">
        <v>7</v>
      </c>
      <c r="U456" t="s">
        <v>31</v>
      </c>
      <c r="V456" s="1">
        <v>45101</v>
      </c>
    </row>
    <row r="457" spans="1:23" x14ac:dyDescent="0.35">
      <c r="A457" t="s">
        <v>513</v>
      </c>
      <c r="B457">
        <v>47</v>
      </c>
      <c r="C457" t="s">
        <v>27</v>
      </c>
      <c r="D457" t="s">
        <v>28</v>
      </c>
      <c r="E457" t="s">
        <v>29</v>
      </c>
      <c r="F457" t="s">
        <v>30</v>
      </c>
      <c r="G457">
        <v>117921</v>
      </c>
      <c r="H457">
        <v>9</v>
      </c>
      <c r="I457">
        <v>23</v>
      </c>
      <c r="J457">
        <v>5</v>
      </c>
      <c r="K457">
        <v>1</v>
      </c>
      <c r="L457">
        <v>2</v>
      </c>
      <c r="M457">
        <v>2</v>
      </c>
      <c r="N457" t="s">
        <v>31</v>
      </c>
      <c r="O457" t="s">
        <v>32</v>
      </c>
      <c r="P457">
        <v>9</v>
      </c>
      <c r="Q457">
        <v>46</v>
      </c>
      <c r="R457">
        <v>3</v>
      </c>
      <c r="S457" t="s">
        <v>31</v>
      </c>
      <c r="T457">
        <v>5</v>
      </c>
      <c r="U457" t="s">
        <v>31</v>
      </c>
      <c r="V457" s="1">
        <v>41169</v>
      </c>
    </row>
    <row r="458" spans="1:23" x14ac:dyDescent="0.35">
      <c r="A458" t="s">
        <v>514</v>
      </c>
      <c r="B458">
        <v>46</v>
      </c>
      <c r="C458" t="s">
        <v>44</v>
      </c>
      <c r="D458" t="s">
        <v>28</v>
      </c>
      <c r="E458" t="s">
        <v>66</v>
      </c>
      <c r="F458" t="s">
        <v>61</v>
      </c>
      <c r="G458">
        <v>135370</v>
      </c>
      <c r="H458">
        <v>17</v>
      </c>
      <c r="I458">
        <v>24</v>
      </c>
      <c r="J458">
        <v>5</v>
      </c>
      <c r="K458">
        <v>2</v>
      </c>
      <c r="L458">
        <v>4</v>
      </c>
      <c r="M458">
        <v>1</v>
      </c>
      <c r="N458" t="s">
        <v>31</v>
      </c>
      <c r="O458" t="s">
        <v>42</v>
      </c>
      <c r="P458">
        <v>11</v>
      </c>
      <c r="Q458">
        <v>17</v>
      </c>
      <c r="R458">
        <v>4</v>
      </c>
      <c r="S458" t="s">
        <v>31</v>
      </c>
      <c r="T458">
        <v>3</v>
      </c>
      <c r="U458" t="s">
        <v>31</v>
      </c>
      <c r="V458" s="1">
        <v>43185</v>
      </c>
    </row>
    <row r="459" spans="1:23" x14ac:dyDescent="0.35">
      <c r="A459" t="s">
        <v>515</v>
      </c>
      <c r="B459">
        <v>41</v>
      </c>
      <c r="C459" t="s">
        <v>27</v>
      </c>
      <c r="D459" t="s">
        <v>39</v>
      </c>
      <c r="E459" t="s">
        <v>40</v>
      </c>
      <c r="F459" t="s">
        <v>37</v>
      </c>
      <c r="G459">
        <v>85015</v>
      </c>
      <c r="H459">
        <v>7</v>
      </c>
      <c r="I459">
        <v>17</v>
      </c>
      <c r="J459">
        <v>3</v>
      </c>
      <c r="K459">
        <v>3</v>
      </c>
      <c r="L459">
        <v>1</v>
      </c>
      <c r="M459">
        <v>1</v>
      </c>
      <c r="N459" t="s">
        <v>33</v>
      </c>
      <c r="O459" t="s">
        <v>32</v>
      </c>
      <c r="P459">
        <v>2</v>
      </c>
      <c r="Q459">
        <v>18</v>
      </c>
      <c r="R459">
        <v>3</v>
      </c>
      <c r="S459" t="s">
        <v>33</v>
      </c>
      <c r="T459">
        <v>1</v>
      </c>
      <c r="U459" t="s">
        <v>33</v>
      </c>
      <c r="V459" s="1">
        <v>41680</v>
      </c>
      <c r="W459" s="1">
        <v>42519</v>
      </c>
    </row>
    <row r="460" spans="1:23" x14ac:dyDescent="0.35">
      <c r="A460" t="s">
        <v>516</v>
      </c>
      <c r="B460">
        <v>31</v>
      </c>
      <c r="C460" t="s">
        <v>44</v>
      </c>
      <c r="D460" t="s">
        <v>45</v>
      </c>
      <c r="E460" t="s">
        <v>63</v>
      </c>
      <c r="F460" t="s">
        <v>37</v>
      </c>
      <c r="G460">
        <v>79579</v>
      </c>
      <c r="H460">
        <v>3</v>
      </c>
      <c r="I460">
        <v>7</v>
      </c>
      <c r="J460">
        <v>3</v>
      </c>
      <c r="K460">
        <v>4</v>
      </c>
      <c r="L460">
        <v>3</v>
      </c>
      <c r="M460">
        <v>2</v>
      </c>
      <c r="N460" t="s">
        <v>31</v>
      </c>
      <c r="O460" t="s">
        <v>32</v>
      </c>
      <c r="P460">
        <v>14</v>
      </c>
      <c r="Q460">
        <v>57</v>
      </c>
      <c r="R460">
        <v>3</v>
      </c>
      <c r="S460" t="s">
        <v>31</v>
      </c>
      <c r="T460">
        <v>6</v>
      </c>
      <c r="U460" t="s">
        <v>31</v>
      </c>
      <c r="V460" s="1">
        <v>43852</v>
      </c>
    </row>
    <row r="461" spans="1:23" x14ac:dyDescent="0.35">
      <c r="A461" t="s">
        <v>517</v>
      </c>
      <c r="B461">
        <v>56</v>
      </c>
      <c r="C461" t="s">
        <v>44</v>
      </c>
      <c r="D461" t="s">
        <v>49</v>
      </c>
      <c r="E461" t="s">
        <v>68</v>
      </c>
      <c r="F461" t="s">
        <v>56</v>
      </c>
      <c r="G461">
        <v>135215</v>
      </c>
      <c r="H461">
        <v>18</v>
      </c>
      <c r="I461">
        <v>32</v>
      </c>
      <c r="J461">
        <v>5</v>
      </c>
      <c r="K461">
        <v>2</v>
      </c>
      <c r="L461">
        <v>1</v>
      </c>
      <c r="M461">
        <v>4</v>
      </c>
      <c r="N461" t="s">
        <v>31</v>
      </c>
      <c r="O461" t="s">
        <v>32</v>
      </c>
      <c r="P461">
        <v>24</v>
      </c>
      <c r="Q461">
        <v>45</v>
      </c>
      <c r="R461">
        <v>2</v>
      </c>
      <c r="S461" t="s">
        <v>33</v>
      </c>
      <c r="T461">
        <v>6</v>
      </c>
      <c r="U461" t="s">
        <v>33</v>
      </c>
      <c r="V461" s="1">
        <v>44156</v>
      </c>
      <c r="W461" s="1">
        <v>44962</v>
      </c>
    </row>
    <row r="462" spans="1:23" x14ac:dyDescent="0.35">
      <c r="A462" t="s">
        <v>518</v>
      </c>
      <c r="B462">
        <v>45</v>
      </c>
      <c r="C462" t="s">
        <v>27</v>
      </c>
      <c r="D462" t="s">
        <v>45</v>
      </c>
      <c r="E462" t="s">
        <v>63</v>
      </c>
      <c r="F462" t="s">
        <v>37</v>
      </c>
      <c r="G462">
        <v>142871</v>
      </c>
      <c r="H462">
        <v>20</v>
      </c>
      <c r="I462">
        <v>21</v>
      </c>
      <c r="J462">
        <v>5</v>
      </c>
      <c r="K462">
        <v>2</v>
      </c>
      <c r="L462">
        <v>1</v>
      </c>
      <c r="M462">
        <v>2</v>
      </c>
      <c r="N462" t="s">
        <v>31</v>
      </c>
      <c r="O462" t="s">
        <v>32</v>
      </c>
      <c r="P462">
        <v>18</v>
      </c>
      <c r="Q462">
        <v>40</v>
      </c>
      <c r="R462">
        <v>3</v>
      </c>
      <c r="S462" t="s">
        <v>31</v>
      </c>
      <c r="T462">
        <v>3</v>
      </c>
      <c r="U462" t="s">
        <v>31</v>
      </c>
      <c r="V462" s="1">
        <v>43435</v>
      </c>
    </row>
    <row r="463" spans="1:23" x14ac:dyDescent="0.35">
      <c r="A463" t="s">
        <v>519</v>
      </c>
      <c r="B463">
        <v>50</v>
      </c>
      <c r="C463" t="s">
        <v>44</v>
      </c>
      <c r="D463" t="s">
        <v>49</v>
      </c>
      <c r="E463" t="s">
        <v>68</v>
      </c>
      <c r="F463" t="s">
        <v>41</v>
      </c>
      <c r="G463">
        <v>140896</v>
      </c>
      <c r="H463">
        <v>18</v>
      </c>
      <c r="I463">
        <v>28</v>
      </c>
      <c r="J463">
        <v>5</v>
      </c>
      <c r="K463">
        <v>4</v>
      </c>
      <c r="L463">
        <v>2</v>
      </c>
      <c r="M463">
        <v>4</v>
      </c>
      <c r="N463" t="s">
        <v>31</v>
      </c>
      <c r="O463" t="s">
        <v>32</v>
      </c>
      <c r="P463">
        <v>15</v>
      </c>
      <c r="Q463">
        <v>25</v>
      </c>
      <c r="R463">
        <v>3</v>
      </c>
      <c r="S463" t="s">
        <v>33</v>
      </c>
      <c r="T463">
        <v>7</v>
      </c>
      <c r="U463" t="s">
        <v>31</v>
      </c>
      <c r="V463" s="1">
        <v>41476</v>
      </c>
    </row>
    <row r="464" spans="1:23" x14ac:dyDescent="0.35">
      <c r="A464" t="s">
        <v>520</v>
      </c>
      <c r="B464">
        <v>25</v>
      </c>
      <c r="C464" t="s">
        <v>27</v>
      </c>
      <c r="D464" t="s">
        <v>35</v>
      </c>
      <c r="E464" t="s">
        <v>36</v>
      </c>
      <c r="F464" t="s">
        <v>41</v>
      </c>
      <c r="G464">
        <v>60531</v>
      </c>
      <c r="H464">
        <v>3</v>
      </c>
      <c r="I464">
        <v>3</v>
      </c>
      <c r="J464">
        <v>2</v>
      </c>
      <c r="K464">
        <v>2</v>
      </c>
      <c r="L464">
        <v>1</v>
      </c>
      <c r="M464">
        <v>4</v>
      </c>
      <c r="N464" t="s">
        <v>31</v>
      </c>
      <c r="O464" t="s">
        <v>42</v>
      </c>
      <c r="P464">
        <v>29</v>
      </c>
      <c r="Q464">
        <v>23</v>
      </c>
      <c r="R464">
        <v>3</v>
      </c>
      <c r="S464" t="s">
        <v>31</v>
      </c>
      <c r="T464">
        <v>10</v>
      </c>
      <c r="U464" t="s">
        <v>31</v>
      </c>
      <c r="V464" s="1">
        <v>42349</v>
      </c>
    </row>
    <row r="465" spans="1:23" x14ac:dyDescent="0.35">
      <c r="A465" t="s">
        <v>521</v>
      </c>
      <c r="B465">
        <v>52</v>
      </c>
      <c r="C465" t="s">
        <v>27</v>
      </c>
      <c r="D465" t="s">
        <v>49</v>
      </c>
      <c r="E465" t="s">
        <v>68</v>
      </c>
      <c r="F465" t="s">
        <v>78</v>
      </c>
      <c r="G465">
        <v>150467</v>
      </c>
      <c r="H465">
        <v>25</v>
      </c>
      <c r="I465">
        <v>30</v>
      </c>
      <c r="J465">
        <v>5</v>
      </c>
      <c r="K465">
        <v>2</v>
      </c>
      <c r="L465">
        <v>1</v>
      </c>
      <c r="M465">
        <v>3</v>
      </c>
      <c r="N465" t="s">
        <v>33</v>
      </c>
      <c r="O465" t="s">
        <v>32</v>
      </c>
      <c r="P465">
        <v>11</v>
      </c>
      <c r="Q465">
        <v>10</v>
      </c>
      <c r="R465">
        <v>3</v>
      </c>
      <c r="S465" t="s">
        <v>31</v>
      </c>
      <c r="T465">
        <v>6</v>
      </c>
      <c r="U465" t="s">
        <v>33</v>
      </c>
      <c r="V465" s="1">
        <v>41937</v>
      </c>
      <c r="W465" s="1">
        <v>42630</v>
      </c>
    </row>
    <row r="466" spans="1:23" x14ac:dyDescent="0.35">
      <c r="A466" t="s">
        <v>522</v>
      </c>
      <c r="B466">
        <v>24</v>
      </c>
      <c r="C466" t="s">
        <v>27</v>
      </c>
      <c r="D466" t="s">
        <v>35</v>
      </c>
      <c r="E466" t="s">
        <v>85</v>
      </c>
      <c r="F466" t="s">
        <v>56</v>
      </c>
      <c r="G466">
        <v>57773</v>
      </c>
      <c r="H466">
        <v>0</v>
      </c>
      <c r="I466">
        <v>1</v>
      </c>
      <c r="J466">
        <v>2</v>
      </c>
      <c r="K466">
        <v>2</v>
      </c>
      <c r="L466">
        <v>4</v>
      </c>
      <c r="M466">
        <v>3</v>
      </c>
      <c r="N466" t="s">
        <v>31</v>
      </c>
      <c r="O466" t="s">
        <v>32</v>
      </c>
      <c r="P466">
        <v>29</v>
      </c>
      <c r="Q466">
        <v>46</v>
      </c>
      <c r="R466">
        <v>3</v>
      </c>
      <c r="S466" t="s">
        <v>31</v>
      </c>
      <c r="T466">
        <v>7</v>
      </c>
      <c r="U466" t="s">
        <v>31</v>
      </c>
      <c r="V466" s="1">
        <v>45222</v>
      </c>
    </row>
    <row r="467" spans="1:23" x14ac:dyDescent="0.35">
      <c r="A467" t="s">
        <v>523</v>
      </c>
      <c r="B467">
        <v>48</v>
      </c>
      <c r="C467" t="s">
        <v>44</v>
      </c>
      <c r="D467" t="s">
        <v>35</v>
      </c>
      <c r="E467" t="s">
        <v>36</v>
      </c>
      <c r="F467" t="s">
        <v>78</v>
      </c>
      <c r="G467">
        <v>127367</v>
      </c>
      <c r="H467">
        <v>15</v>
      </c>
      <c r="I467">
        <v>26</v>
      </c>
      <c r="J467">
        <v>5</v>
      </c>
      <c r="K467">
        <v>3</v>
      </c>
      <c r="L467">
        <v>2</v>
      </c>
      <c r="M467">
        <v>4</v>
      </c>
      <c r="N467" t="s">
        <v>33</v>
      </c>
      <c r="O467" t="s">
        <v>32</v>
      </c>
      <c r="P467">
        <v>26</v>
      </c>
      <c r="Q467">
        <v>18</v>
      </c>
      <c r="R467">
        <v>4</v>
      </c>
      <c r="S467" t="s">
        <v>33</v>
      </c>
      <c r="T467">
        <v>6</v>
      </c>
      <c r="U467" t="s">
        <v>31</v>
      </c>
      <c r="V467" s="1">
        <v>44447</v>
      </c>
    </row>
    <row r="468" spans="1:23" x14ac:dyDescent="0.35">
      <c r="A468" t="s">
        <v>524</v>
      </c>
      <c r="B468">
        <v>23</v>
      </c>
      <c r="C468" t="s">
        <v>44</v>
      </c>
      <c r="D468" t="s">
        <v>39</v>
      </c>
      <c r="E468" t="s">
        <v>40</v>
      </c>
      <c r="F468" t="s">
        <v>30</v>
      </c>
      <c r="G468">
        <v>46371</v>
      </c>
      <c r="H468">
        <v>1</v>
      </c>
      <c r="I468">
        <v>1</v>
      </c>
      <c r="J468">
        <v>1</v>
      </c>
      <c r="K468">
        <v>4</v>
      </c>
      <c r="L468">
        <v>3</v>
      </c>
      <c r="M468">
        <v>2</v>
      </c>
      <c r="N468" t="s">
        <v>31</v>
      </c>
      <c r="O468" t="s">
        <v>47</v>
      </c>
      <c r="P468">
        <v>13</v>
      </c>
      <c r="Q468">
        <v>45</v>
      </c>
      <c r="R468">
        <v>3</v>
      </c>
      <c r="S468" t="s">
        <v>31</v>
      </c>
      <c r="T468">
        <v>1</v>
      </c>
      <c r="U468" t="s">
        <v>33</v>
      </c>
      <c r="V468" s="1">
        <v>43942</v>
      </c>
      <c r="W468" s="1">
        <v>44112</v>
      </c>
    </row>
    <row r="469" spans="1:23" x14ac:dyDescent="0.35">
      <c r="A469" t="s">
        <v>525</v>
      </c>
      <c r="B469">
        <v>28</v>
      </c>
      <c r="C469" t="s">
        <v>44</v>
      </c>
      <c r="D469" t="s">
        <v>49</v>
      </c>
      <c r="E469" t="s">
        <v>50</v>
      </c>
      <c r="F469" t="s">
        <v>30</v>
      </c>
      <c r="G469">
        <v>81228</v>
      </c>
      <c r="H469">
        <v>6</v>
      </c>
      <c r="I469">
        <v>6</v>
      </c>
      <c r="J469">
        <v>3</v>
      </c>
      <c r="K469">
        <v>2</v>
      </c>
      <c r="L469">
        <v>1</v>
      </c>
      <c r="M469">
        <v>3</v>
      </c>
      <c r="N469" t="s">
        <v>31</v>
      </c>
      <c r="O469" t="s">
        <v>32</v>
      </c>
      <c r="P469">
        <v>25</v>
      </c>
      <c r="Q469">
        <v>36</v>
      </c>
      <c r="R469">
        <v>3</v>
      </c>
      <c r="S469" t="s">
        <v>31</v>
      </c>
      <c r="T469">
        <v>3</v>
      </c>
      <c r="U469" t="s">
        <v>33</v>
      </c>
      <c r="V469" s="1">
        <v>41611</v>
      </c>
      <c r="W469" s="1">
        <v>41791</v>
      </c>
    </row>
    <row r="470" spans="1:23" x14ac:dyDescent="0.35">
      <c r="A470" t="s">
        <v>526</v>
      </c>
      <c r="B470">
        <v>52</v>
      </c>
      <c r="C470" t="s">
        <v>27</v>
      </c>
      <c r="D470" t="s">
        <v>45</v>
      </c>
      <c r="E470" t="s">
        <v>63</v>
      </c>
      <c r="F470" t="s">
        <v>56</v>
      </c>
      <c r="G470">
        <v>140380</v>
      </c>
      <c r="H470">
        <v>20</v>
      </c>
      <c r="I470">
        <v>31</v>
      </c>
      <c r="J470">
        <v>5</v>
      </c>
      <c r="K470">
        <v>3</v>
      </c>
      <c r="L470">
        <v>2</v>
      </c>
      <c r="M470">
        <v>4</v>
      </c>
      <c r="N470" t="s">
        <v>31</v>
      </c>
      <c r="O470" t="s">
        <v>42</v>
      </c>
      <c r="P470">
        <v>10</v>
      </c>
      <c r="Q470">
        <v>16</v>
      </c>
      <c r="R470">
        <v>3</v>
      </c>
      <c r="S470" t="s">
        <v>31</v>
      </c>
      <c r="T470">
        <v>3</v>
      </c>
      <c r="U470" t="s">
        <v>31</v>
      </c>
      <c r="V470" s="1">
        <v>44292</v>
      </c>
    </row>
    <row r="471" spans="1:23" x14ac:dyDescent="0.35">
      <c r="A471" t="s">
        <v>527</v>
      </c>
      <c r="B471">
        <v>28</v>
      </c>
      <c r="C471" t="s">
        <v>44</v>
      </c>
      <c r="D471" t="s">
        <v>35</v>
      </c>
      <c r="E471" t="s">
        <v>36</v>
      </c>
      <c r="F471" t="s">
        <v>56</v>
      </c>
      <c r="G471">
        <v>79666</v>
      </c>
      <c r="H471">
        <v>4</v>
      </c>
      <c r="I471">
        <v>7</v>
      </c>
      <c r="J471">
        <v>3</v>
      </c>
      <c r="K471">
        <v>1</v>
      </c>
      <c r="L471">
        <v>4</v>
      </c>
      <c r="M471">
        <v>4</v>
      </c>
      <c r="N471" t="s">
        <v>31</v>
      </c>
      <c r="O471" t="s">
        <v>42</v>
      </c>
      <c r="P471">
        <v>7</v>
      </c>
      <c r="Q471">
        <v>52</v>
      </c>
      <c r="R471">
        <v>3</v>
      </c>
      <c r="S471" t="s">
        <v>31</v>
      </c>
      <c r="T471">
        <v>5</v>
      </c>
      <c r="U471" t="s">
        <v>31</v>
      </c>
      <c r="V471" s="1">
        <v>41724</v>
      </c>
    </row>
    <row r="472" spans="1:23" x14ac:dyDescent="0.35">
      <c r="A472" t="s">
        <v>528</v>
      </c>
      <c r="B472">
        <v>27</v>
      </c>
      <c r="C472" t="s">
        <v>27</v>
      </c>
      <c r="D472" t="s">
        <v>45</v>
      </c>
      <c r="E472" t="s">
        <v>63</v>
      </c>
      <c r="F472" t="s">
        <v>56</v>
      </c>
      <c r="G472">
        <v>38579</v>
      </c>
      <c r="H472">
        <v>0</v>
      </c>
      <c r="I472">
        <v>3</v>
      </c>
      <c r="J472">
        <v>1</v>
      </c>
      <c r="K472">
        <v>1</v>
      </c>
      <c r="L472">
        <v>4</v>
      </c>
      <c r="M472">
        <v>2</v>
      </c>
      <c r="N472" t="s">
        <v>33</v>
      </c>
      <c r="O472" t="s">
        <v>42</v>
      </c>
      <c r="P472">
        <v>8</v>
      </c>
      <c r="Q472">
        <v>49</v>
      </c>
      <c r="R472">
        <v>2</v>
      </c>
      <c r="S472" t="s">
        <v>31</v>
      </c>
      <c r="T472">
        <v>3</v>
      </c>
      <c r="U472" t="s">
        <v>31</v>
      </c>
      <c r="V472" s="1">
        <v>44001</v>
      </c>
    </row>
    <row r="473" spans="1:23" x14ac:dyDescent="0.35">
      <c r="A473" t="s">
        <v>529</v>
      </c>
      <c r="B473">
        <v>48</v>
      </c>
      <c r="C473" t="s">
        <v>44</v>
      </c>
      <c r="D473" t="s">
        <v>39</v>
      </c>
      <c r="E473" t="s">
        <v>59</v>
      </c>
      <c r="F473" t="s">
        <v>30</v>
      </c>
      <c r="G473">
        <v>58131</v>
      </c>
      <c r="H473">
        <v>3</v>
      </c>
      <c r="I473">
        <v>27</v>
      </c>
      <c r="J473">
        <v>2</v>
      </c>
      <c r="K473">
        <v>4</v>
      </c>
      <c r="L473">
        <v>2</v>
      </c>
      <c r="M473">
        <v>4</v>
      </c>
      <c r="N473" t="s">
        <v>31</v>
      </c>
      <c r="O473" t="s">
        <v>42</v>
      </c>
      <c r="P473">
        <v>5</v>
      </c>
      <c r="Q473">
        <v>54</v>
      </c>
      <c r="R473">
        <v>3</v>
      </c>
      <c r="S473" t="s">
        <v>31</v>
      </c>
      <c r="T473">
        <v>9</v>
      </c>
      <c r="U473" t="s">
        <v>31</v>
      </c>
      <c r="V473" s="1">
        <v>41384</v>
      </c>
    </row>
    <row r="474" spans="1:23" x14ac:dyDescent="0.35">
      <c r="A474" t="s">
        <v>530</v>
      </c>
      <c r="B474">
        <v>31</v>
      </c>
      <c r="C474" t="s">
        <v>27</v>
      </c>
      <c r="D474" t="s">
        <v>49</v>
      </c>
      <c r="E474" t="s">
        <v>68</v>
      </c>
      <c r="F474" t="s">
        <v>61</v>
      </c>
      <c r="G474">
        <v>96063</v>
      </c>
      <c r="H474">
        <v>6</v>
      </c>
      <c r="I474">
        <v>9</v>
      </c>
      <c r="J474">
        <v>4</v>
      </c>
      <c r="K474">
        <v>1</v>
      </c>
      <c r="L474">
        <v>4</v>
      </c>
      <c r="M474">
        <v>4</v>
      </c>
      <c r="N474" t="s">
        <v>33</v>
      </c>
      <c r="O474" t="s">
        <v>32</v>
      </c>
      <c r="P474">
        <v>6</v>
      </c>
      <c r="Q474">
        <v>37</v>
      </c>
      <c r="R474">
        <v>3</v>
      </c>
      <c r="S474" t="s">
        <v>33</v>
      </c>
      <c r="T474">
        <v>7</v>
      </c>
      <c r="U474" t="s">
        <v>33</v>
      </c>
      <c r="V474" s="1">
        <v>43121</v>
      </c>
      <c r="W474" s="1">
        <v>44098</v>
      </c>
    </row>
    <row r="475" spans="1:23" x14ac:dyDescent="0.35">
      <c r="A475" t="s">
        <v>531</v>
      </c>
      <c r="B475">
        <v>59</v>
      </c>
      <c r="C475" t="s">
        <v>27</v>
      </c>
      <c r="D475" t="s">
        <v>45</v>
      </c>
      <c r="E475" t="s">
        <v>63</v>
      </c>
      <c r="F475" t="s">
        <v>61</v>
      </c>
      <c r="G475">
        <v>41811</v>
      </c>
      <c r="H475">
        <v>2</v>
      </c>
      <c r="I475">
        <v>37</v>
      </c>
      <c r="J475">
        <v>1</v>
      </c>
      <c r="K475">
        <v>3</v>
      </c>
      <c r="L475">
        <v>3</v>
      </c>
      <c r="M475">
        <v>1</v>
      </c>
      <c r="N475" t="s">
        <v>31</v>
      </c>
      <c r="O475" t="s">
        <v>42</v>
      </c>
      <c r="P475">
        <v>29</v>
      </c>
      <c r="Q475">
        <v>20</v>
      </c>
      <c r="R475">
        <v>2</v>
      </c>
      <c r="S475" t="s">
        <v>31</v>
      </c>
      <c r="T475">
        <v>4</v>
      </c>
      <c r="U475" t="s">
        <v>31</v>
      </c>
      <c r="V475" s="1">
        <v>44339</v>
      </c>
    </row>
    <row r="476" spans="1:23" x14ac:dyDescent="0.35">
      <c r="A476" t="s">
        <v>532</v>
      </c>
      <c r="B476">
        <v>48</v>
      </c>
      <c r="C476" t="s">
        <v>27</v>
      </c>
      <c r="D476" t="s">
        <v>39</v>
      </c>
      <c r="E476" t="s">
        <v>74</v>
      </c>
      <c r="F476" t="s">
        <v>41</v>
      </c>
      <c r="G476">
        <v>39824</v>
      </c>
      <c r="H476">
        <v>1</v>
      </c>
      <c r="I476">
        <v>24</v>
      </c>
      <c r="J476">
        <v>1</v>
      </c>
      <c r="K476">
        <v>1</v>
      </c>
      <c r="L476">
        <v>2</v>
      </c>
      <c r="M476">
        <v>3</v>
      </c>
      <c r="N476" t="s">
        <v>33</v>
      </c>
      <c r="O476" t="s">
        <v>32</v>
      </c>
      <c r="P476">
        <v>11</v>
      </c>
      <c r="Q476">
        <v>57</v>
      </c>
      <c r="R476">
        <v>4</v>
      </c>
      <c r="S476" t="s">
        <v>31</v>
      </c>
      <c r="T476">
        <v>3</v>
      </c>
      <c r="U476" t="s">
        <v>31</v>
      </c>
      <c r="V476" s="1">
        <v>45225</v>
      </c>
    </row>
    <row r="477" spans="1:23" x14ac:dyDescent="0.35">
      <c r="A477" t="s">
        <v>533</v>
      </c>
      <c r="B477">
        <v>40</v>
      </c>
      <c r="C477" t="s">
        <v>27</v>
      </c>
      <c r="D477" t="s">
        <v>52</v>
      </c>
      <c r="E477" t="s">
        <v>55</v>
      </c>
      <c r="F477" t="s">
        <v>56</v>
      </c>
      <c r="G477">
        <v>63446</v>
      </c>
      <c r="H477">
        <v>4</v>
      </c>
      <c r="I477">
        <v>18</v>
      </c>
      <c r="J477">
        <v>2</v>
      </c>
      <c r="K477">
        <v>2</v>
      </c>
      <c r="L477">
        <v>2</v>
      </c>
      <c r="M477">
        <v>2</v>
      </c>
      <c r="N477" t="s">
        <v>33</v>
      </c>
      <c r="O477" t="s">
        <v>42</v>
      </c>
      <c r="P477">
        <v>27</v>
      </c>
      <c r="Q477">
        <v>27</v>
      </c>
      <c r="R477">
        <v>3</v>
      </c>
      <c r="S477" t="s">
        <v>31</v>
      </c>
      <c r="T477">
        <v>5</v>
      </c>
      <c r="U477" t="s">
        <v>31</v>
      </c>
      <c r="V477" s="1">
        <v>41499</v>
      </c>
    </row>
    <row r="478" spans="1:23" x14ac:dyDescent="0.35">
      <c r="A478" t="s">
        <v>534</v>
      </c>
      <c r="B478">
        <v>41</v>
      </c>
      <c r="C478" t="s">
        <v>27</v>
      </c>
      <c r="D478" t="s">
        <v>52</v>
      </c>
      <c r="E478" t="s">
        <v>53</v>
      </c>
      <c r="F478" t="s">
        <v>56</v>
      </c>
      <c r="G478">
        <v>119800</v>
      </c>
      <c r="H478">
        <v>11</v>
      </c>
      <c r="I478">
        <v>19</v>
      </c>
      <c r="J478">
        <v>5</v>
      </c>
      <c r="K478">
        <v>2</v>
      </c>
      <c r="L478">
        <v>2</v>
      </c>
      <c r="M478">
        <v>4</v>
      </c>
      <c r="N478" t="s">
        <v>31</v>
      </c>
      <c r="O478" t="s">
        <v>32</v>
      </c>
      <c r="P478">
        <v>11</v>
      </c>
      <c r="Q478">
        <v>11</v>
      </c>
      <c r="R478">
        <v>3</v>
      </c>
      <c r="S478" t="s">
        <v>31</v>
      </c>
      <c r="T478">
        <v>5</v>
      </c>
      <c r="U478" t="s">
        <v>33</v>
      </c>
      <c r="V478" s="1">
        <v>44444</v>
      </c>
      <c r="W478" s="1">
        <v>44677</v>
      </c>
    </row>
    <row r="479" spans="1:23" x14ac:dyDescent="0.35">
      <c r="A479" t="s">
        <v>535</v>
      </c>
      <c r="B479">
        <v>24</v>
      </c>
      <c r="C479" t="s">
        <v>27</v>
      </c>
      <c r="D479" t="s">
        <v>28</v>
      </c>
      <c r="E479" t="s">
        <v>29</v>
      </c>
      <c r="F479" t="s">
        <v>30</v>
      </c>
      <c r="G479">
        <v>55623</v>
      </c>
      <c r="H479">
        <v>1</v>
      </c>
      <c r="I479">
        <v>2</v>
      </c>
      <c r="J479">
        <v>2</v>
      </c>
      <c r="K479">
        <v>3</v>
      </c>
      <c r="L479">
        <v>2</v>
      </c>
      <c r="M479">
        <v>4</v>
      </c>
      <c r="N479" t="s">
        <v>31</v>
      </c>
      <c r="O479" t="s">
        <v>32</v>
      </c>
      <c r="P479">
        <v>8</v>
      </c>
      <c r="Q479">
        <v>15</v>
      </c>
      <c r="R479">
        <v>3</v>
      </c>
      <c r="S479" t="s">
        <v>31</v>
      </c>
      <c r="T479">
        <v>5</v>
      </c>
      <c r="U479" t="s">
        <v>31</v>
      </c>
      <c r="V479" s="1">
        <v>44056</v>
      </c>
    </row>
    <row r="480" spans="1:23" x14ac:dyDescent="0.35">
      <c r="A480" t="s">
        <v>536</v>
      </c>
      <c r="B480">
        <v>30</v>
      </c>
      <c r="C480" t="s">
        <v>27</v>
      </c>
      <c r="D480" t="s">
        <v>28</v>
      </c>
      <c r="E480" t="s">
        <v>66</v>
      </c>
      <c r="F480" t="s">
        <v>30</v>
      </c>
      <c r="G480">
        <v>63460</v>
      </c>
      <c r="H480">
        <v>4</v>
      </c>
      <c r="I480">
        <v>7</v>
      </c>
      <c r="J480">
        <v>2</v>
      </c>
      <c r="K480">
        <v>3</v>
      </c>
      <c r="L480">
        <v>2</v>
      </c>
      <c r="M480">
        <v>4</v>
      </c>
      <c r="N480" t="s">
        <v>33</v>
      </c>
      <c r="O480" t="s">
        <v>42</v>
      </c>
      <c r="P480">
        <v>17</v>
      </c>
      <c r="Q480">
        <v>54</v>
      </c>
      <c r="R480">
        <v>3</v>
      </c>
      <c r="S480" t="s">
        <v>31</v>
      </c>
      <c r="T480">
        <v>8</v>
      </c>
      <c r="U480" t="s">
        <v>31</v>
      </c>
      <c r="V480" s="1">
        <v>42363</v>
      </c>
    </row>
    <row r="481" spans="1:22" x14ac:dyDescent="0.35">
      <c r="A481" t="s">
        <v>537</v>
      </c>
      <c r="B481">
        <v>34</v>
      </c>
      <c r="C481" t="s">
        <v>27</v>
      </c>
      <c r="D481" t="s">
        <v>49</v>
      </c>
      <c r="E481" t="s">
        <v>50</v>
      </c>
      <c r="F481" t="s">
        <v>56</v>
      </c>
      <c r="G481">
        <v>64426</v>
      </c>
      <c r="H481">
        <v>5</v>
      </c>
      <c r="I481">
        <v>10</v>
      </c>
      <c r="J481">
        <v>2</v>
      </c>
      <c r="K481">
        <v>4</v>
      </c>
      <c r="L481">
        <v>1</v>
      </c>
      <c r="M481">
        <v>4</v>
      </c>
      <c r="N481" t="s">
        <v>31</v>
      </c>
      <c r="O481" t="s">
        <v>32</v>
      </c>
      <c r="P481">
        <v>11</v>
      </c>
      <c r="Q481">
        <v>54</v>
      </c>
      <c r="R481">
        <v>3</v>
      </c>
      <c r="S481" t="s">
        <v>31</v>
      </c>
      <c r="T481">
        <v>2</v>
      </c>
      <c r="U481" t="s">
        <v>31</v>
      </c>
      <c r="V481" s="1">
        <v>42863</v>
      </c>
    </row>
    <row r="482" spans="1:22" x14ac:dyDescent="0.35">
      <c r="A482" t="s">
        <v>538</v>
      </c>
      <c r="B482">
        <v>45</v>
      </c>
      <c r="C482" t="s">
        <v>27</v>
      </c>
      <c r="D482" t="s">
        <v>39</v>
      </c>
      <c r="E482" t="s">
        <v>59</v>
      </c>
      <c r="F482" t="s">
        <v>41</v>
      </c>
      <c r="G482">
        <v>80220</v>
      </c>
      <c r="H482">
        <v>5</v>
      </c>
      <c r="I482">
        <v>22</v>
      </c>
      <c r="J482">
        <v>3</v>
      </c>
      <c r="K482">
        <v>3</v>
      </c>
      <c r="L482">
        <v>4</v>
      </c>
      <c r="M482">
        <v>3</v>
      </c>
      <c r="N482" t="s">
        <v>31</v>
      </c>
      <c r="O482" t="s">
        <v>32</v>
      </c>
      <c r="P482">
        <v>23</v>
      </c>
      <c r="Q482">
        <v>42</v>
      </c>
      <c r="R482">
        <v>3</v>
      </c>
      <c r="S482" t="s">
        <v>31</v>
      </c>
      <c r="T482">
        <v>5</v>
      </c>
      <c r="U482" t="s">
        <v>31</v>
      </c>
      <c r="V482" s="1">
        <v>42766</v>
      </c>
    </row>
    <row r="483" spans="1:22" x14ac:dyDescent="0.35">
      <c r="A483" t="s">
        <v>539</v>
      </c>
      <c r="B483">
        <v>27</v>
      </c>
      <c r="C483" t="s">
        <v>44</v>
      </c>
      <c r="D483" t="s">
        <v>39</v>
      </c>
      <c r="E483" t="s">
        <v>40</v>
      </c>
      <c r="F483" t="s">
        <v>37</v>
      </c>
      <c r="G483">
        <v>68349</v>
      </c>
      <c r="H483">
        <v>5</v>
      </c>
      <c r="I483">
        <v>6</v>
      </c>
      <c r="J483">
        <v>2</v>
      </c>
      <c r="K483">
        <v>2</v>
      </c>
      <c r="L483">
        <v>1</v>
      </c>
      <c r="M483">
        <v>4</v>
      </c>
      <c r="N483" t="s">
        <v>31</v>
      </c>
      <c r="O483" t="s">
        <v>42</v>
      </c>
      <c r="P483">
        <v>19</v>
      </c>
      <c r="Q483">
        <v>15</v>
      </c>
      <c r="R483">
        <v>3</v>
      </c>
      <c r="S483" t="s">
        <v>33</v>
      </c>
      <c r="T483">
        <v>5</v>
      </c>
      <c r="U483" t="s">
        <v>31</v>
      </c>
      <c r="V483" s="1">
        <v>44587</v>
      </c>
    </row>
    <row r="484" spans="1:22" x14ac:dyDescent="0.35">
      <c r="A484" t="s">
        <v>540</v>
      </c>
      <c r="B484">
        <v>44</v>
      </c>
      <c r="C484" t="s">
        <v>44</v>
      </c>
      <c r="D484" t="s">
        <v>52</v>
      </c>
      <c r="E484" t="s">
        <v>53</v>
      </c>
      <c r="F484" t="s">
        <v>56</v>
      </c>
      <c r="G484">
        <v>125057</v>
      </c>
      <c r="H484">
        <v>12</v>
      </c>
      <c r="I484">
        <v>20</v>
      </c>
      <c r="J484">
        <v>5</v>
      </c>
      <c r="K484">
        <v>2</v>
      </c>
      <c r="L484">
        <v>4</v>
      </c>
      <c r="M484">
        <v>2</v>
      </c>
      <c r="N484" t="s">
        <v>33</v>
      </c>
      <c r="O484" t="s">
        <v>32</v>
      </c>
      <c r="P484">
        <v>3</v>
      </c>
      <c r="Q484">
        <v>23</v>
      </c>
      <c r="R484">
        <v>3</v>
      </c>
      <c r="S484" t="s">
        <v>33</v>
      </c>
      <c r="T484">
        <v>5</v>
      </c>
      <c r="U484" t="s">
        <v>31</v>
      </c>
      <c r="V484" s="1">
        <v>41403</v>
      </c>
    </row>
    <row r="485" spans="1:22" x14ac:dyDescent="0.35">
      <c r="A485" t="s">
        <v>541</v>
      </c>
      <c r="B485">
        <v>54</v>
      </c>
      <c r="C485" t="s">
        <v>27</v>
      </c>
      <c r="D485" t="s">
        <v>52</v>
      </c>
      <c r="E485" t="s">
        <v>55</v>
      </c>
      <c r="F485" t="s">
        <v>37</v>
      </c>
      <c r="G485">
        <v>160253</v>
      </c>
      <c r="H485">
        <v>28</v>
      </c>
      <c r="I485">
        <v>31</v>
      </c>
      <c r="J485">
        <v>5</v>
      </c>
      <c r="K485">
        <v>4</v>
      </c>
      <c r="L485">
        <v>2</v>
      </c>
      <c r="M485">
        <v>4</v>
      </c>
      <c r="N485" t="s">
        <v>31</v>
      </c>
      <c r="O485" t="s">
        <v>32</v>
      </c>
      <c r="P485">
        <v>18</v>
      </c>
      <c r="Q485">
        <v>31</v>
      </c>
      <c r="R485">
        <v>3</v>
      </c>
      <c r="S485" t="s">
        <v>33</v>
      </c>
      <c r="T485">
        <v>4</v>
      </c>
      <c r="U485" t="s">
        <v>31</v>
      </c>
      <c r="V485" s="1">
        <v>44336</v>
      </c>
    </row>
    <row r="486" spans="1:22" x14ac:dyDescent="0.35">
      <c r="A486" t="s">
        <v>542</v>
      </c>
      <c r="B486">
        <v>46</v>
      </c>
      <c r="C486" t="s">
        <v>44</v>
      </c>
      <c r="D486" t="s">
        <v>45</v>
      </c>
      <c r="E486" t="s">
        <v>46</v>
      </c>
      <c r="F486" t="s">
        <v>78</v>
      </c>
      <c r="G486">
        <v>131772</v>
      </c>
      <c r="H486">
        <v>17</v>
      </c>
      <c r="I486">
        <v>24</v>
      </c>
      <c r="J486">
        <v>5</v>
      </c>
      <c r="K486">
        <v>4</v>
      </c>
      <c r="L486">
        <v>2</v>
      </c>
      <c r="M486">
        <v>1</v>
      </c>
      <c r="N486" t="s">
        <v>31</v>
      </c>
      <c r="O486" t="s">
        <v>32</v>
      </c>
      <c r="P486">
        <v>6</v>
      </c>
      <c r="Q486">
        <v>25</v>
      </c>
      <c r="R486">
        <v>4</v>
      </c>
      <c r="S486" t="s">
        <v>31</v>
      </c>
      <c r="T486">
        <v>7</v>
      </c>
      <c r="U486" t="s">
        <v>31</v>
      </c>
      <c r="V486" s="1">
        <v>45130</v>
      </c>
    </row>
    <row r="487" spans="1:22" x14ac:dyDescent="0.35">
      <c r="A487" t="s">
        <v>543</v>
      </c>
      <c r="B487">
        <v>29</v>
      </c>
      <c r="C487" t="s">
        <v>27</v>
      </c>
      <c r="D487" t="s">
        <v>52</v>
      </c>
      <c r="E487" t="s">
        <v>55</v>
      </c>
      <c r="F487" t="s">
        <v>61</v>
      </c>
      <c r="G487">
        <v>81606</v>
      </c>
      <c r="H487">
        <v>5</v>
      </c>
      <c r="I487">
        <v>8</v>
      </c>
      <c r="J487">
        <v>3</v>
      </c>
      <c r="K487">
        <v>3</v>
      </c>
      <c r="L487">
        <v>1</v>
      </c>
      <c r="M487">
        <v>1</v>
      </c>
      <c r="N487" t="s">
        <v>31</v>
      </c>
      <c r="O487" t="s">
        <v>32</v>
      </c>
      <c r="P487">
        <v>3</v>
      </c>
      <c r="Q487">
        <v>53</v>
      </c>
      <c r="R487">
        <v>4</v>
      </c>
      <c r="S487" t="s">
        <v>31</v>
      </c>
      <c r="T487">
        <v>3</v>
      </c>
      <c r="U487" t="s">
        <v>31</v>
      </c>
      <c r="V487" s="1">
        <v>42133</v>
      </c>
    </row>
    <row r="488" spans="1:22" x14ac:dyDescent="0.35">
      <c r="A488" t="s">
        <v>544</v>
      </c>
      <c r="B488">
        <v>30</v>
      </c>
      <c r="C488" t="s">
        <v>44</v>
      </c>
      <c r="D488" t="s">
        <v>35</v>
      </c>
      <c r="E488" t="s">
        <v>36</v>
      </c>
      <c r="F488" t="s">
        <v>30</v>
      </c>
      <c r="G488">
        <v>59766</v>
      </c>
      <c r="H488">
        <v>2</v>
      </c>
      <c r="I488">
        <v>7</v>
      </c>
      <c r="J488">
        <v>2</v>
      </c>
      <c r="K488">
        <v>4</v>
      </c>
      <c r="L488">
        <v>2</v>
      </c>
      <c r="M488">
        <v>1</v>
      </c>
      <c r="N488" t="s">
        <v>33</v>
      </c>
      <c r="O488" t="s">
        <v>42</v>
      </c>
      <c r="P488">
        <v>11</v>
      </c>
      <c r="Q488">
        <v>43</v>
      </c>
      <c r="R488">
        <v>4</v>
      </c>
      <c r="S488" t="s">
        <v>31</v>
      </c>
      <c r="T488">
        <v>6</v>
      </c>
      <c r="U488" t="s">
        <v>31</v>
      </c>
      <c r="V488" s="1">
        <v>42141</v>
      </c>
    </row>
    <row r="489" spans="1:22" x14ac:dyDescent="0.35">
      <c r="A489" t="s">
        <v>545</v>
      </c>
      <c r="B489">
        <v>58</v>
      </c>
      <c r="C489" t="s">
        <v>27</v>
      </c>
      <c r="D489" t="s">
        <v>39</v>
      </c>
      <c r="E489" t="s">
        <v>74</v>
      </c>
      <c r="F489" t="s">
        <v>61</v>
      </c>
      <c r="G489">
        <v>142587</v>
      </c>
      <c r="H489">
        <v>19</v>
      </c>
      <c r="I489">
        <v>34</v>
      </c>
      <c r="J489">
        <v>5</v>
      </c>
      <c r="K489">
        <v>1</v>
      </c>
      <c r="L489">
        <v>3</v>
      </c>
      <c r="M489">
        <v>4</v>
      </c>
      <c r="N489" t="s">
        <v>33</v>
      </c>
      <c r="O489" t="s">
        <v>32</v>
      </c>
      <c r="P489">
        <v>13</v>
      </c>
      <c r="Q489">
        <v>41</v>
      </c>
      <c r="R489">
        <v>3</v>
      </c>
      <c r="S489" t="s">
        <v>31</v>
      </c>
      <c r="T489">
        <v>8</v>
      </c>
      <c r="U489" t="s">
        <v>31</v>
      </c>
      <c r="V489" s="1">
        <v>41125</v>
      </c>
    </row>
    <row r="490" spans="1:22" x14ac:dyDescent="0.35">
      <c r="A490" t="s">
        <v>546</v>
      </c>
      <c r="B490">
        <v>25</v>
      </c>
      <c r="C490" t="s">
        <v>27</v>
      </c>
      <c r="D490" t="s">
        <v>49</v>
      </c>
      <c r="E490" t="s">
        <v>50</v>
      </c>
      <c r="F490" t="s">
        <v>30</v>
      </c>
      <c r="G490">
        <v>78674</v>
      </c>
      <c r="H490">
        <v>3</v>
      </c>
      <c r="I490">
        <v>4</v>
      </c>
      <c r="J490">
        <v>3</v>
      </c>
      <c r="K490">
        <v>1</v>
      </c>
      <c r="L490">
        <v>4</v>
      </c>
      <c r="M490">
        <v>4</v>
      </c>
      <c r="N490" t="s">
        <v>33</v>
      </c>
      <c r="O490" t="s">
        <v>42</v>
      </c>
      <c r="P490">
        <v>10</v>
      </c>
      <c r="Q490">
        <v>46</v>
      </c>
      <c r="R490">
        <v>3</v>
      </c>
      <c r="S490" t="s">
        <v>31</v>
      </c>
      <c r="T490">
        <v>8</v>
      </c>
      <c r="U490" t="s">
        <v>31</v>
      </c>
      <c r="V490" s="1">
        <v>44096</v>
      </c>
    </row>
    <row r="491" spans="1:22" x14ac:dyDescent="0.35">
      <c r="A491" t="s">
        <v>547</v>
      </c>
      <c r="B491">
        <v>39</v>
      </c>
      <c r="C491" t="s">
        <v>44</v>
      </c>
      <c r="D491" t="s">
        <v>35</v>
      </c>
      <c r="E491" t="s">
        <v>85</v>
      </c>
      <c r="F491" t="s">
        <v>61</v>
      </c>
      <c r="G491">
        <v>55614</v>
      </c>
      <c r="H491">
        <v>1</v>
      </c>
      <c r="I491">
        <v>15</v>
      </c>
      <c r="J491">
        <v>2</v>
      </c>
      <c r="K491">
        <v>3</v>
      </c>
      <c r="L491">
        <v>4</v>
      </c>
      <c r="M491">
        <v>1</v>
      </c>
      <c r="N491" t="s">
        <v>31</v>
      </c>
      <c r="O491" t="s">
        <v>32</v>
      </c>
      <c r="P491">
        <v>13</v>
      </c>
      <c r="Q491">
        <v>10</v>
      </c>
      <c r="R491">
        <v>3</v>
      </c>
      <c r="S491" t="s">
        <v>31</v>
      </c>
      <c r="T491">
        <v>7</v>
      </c>
      <c r="U491" t="s">
        <v>31</v>
      </c>
      <c r="V491" s="1">
        <v>44061</v>
      </c>
    </row>
    <row r="492" spans="1:22" x14ac:dyDescent="0.35">
      <c r="A492" t="s">
        <v>548</v>
      </c>
      <c r="B492">
        <v>49</v>
      </c>
      <c r="C492" t="s">
        <v>44</v>
      </c>
      <c r="D492" t="s">
        <v>45</v>
      </c>
      <c r="E492" t="s">
        <v>63</v>
      </c>
      <c r="F492" t="s">
        <v>78</v>
      </c>
      <c r="G492">
        <v>99166</v>
      </c>
      <c r="H492">
        <v>6</v>
      </c>
      <c r="I492">
        <v>25</v>
      </c>
      <c r="J492">
        <v>4</v>
      </c>
      <c r="K492">
        <v>3</v>
      </c>
      <c r="L492">
        <v>2</v>
      </c>
      <c r="M492">
        <v>1</v>
      </c>
      <c r="N492" t="s">
        <v>31</v>
      </c>
      <c r="O492" t="s">
        <v>32</v>
      </c>
      <c r="P492">
        <v>6</v>
      </c>
      <c r="Q492">
        <v>46</v>
      </c>
      <c r="R492">
        <v>2</v>
      </c>
      <c r="S492" t="s">
        <v>33</v>
      </c>
      <c r="T492">
        <v>4</v>
      </c>
      <c r="U492" t="s">
        <v>31</v>
      </c>
      <c r="V492" s="1">
        <v>44313</v>
      </c>
    </row>
    <row r="493" spans="1:22" x14ac:dyDescent="0.35">
      <c r="A493" t="s">
        <v>549</v>
      </c>
      <c r="B493">
        <v>34</v>
      </c>
      <c r="C493" t="s">
        <v>27</v>
      </c>
      <c r="D493" t="s">
        <v>52</v>
      </c>
      <c r="E493" t="s">
        <v>55</v>
      </c>
      <c r="F493" t="s">
        <v>30</v>
      </c>
      <c r="G493">
        <v>60383</v>
      </c>
      <c r="H493">
        <v>2</v>
      </c>
      <c r="I493">
        <v>13</v>
      </c>
      <c r="J493">
        <v>2</v>
      </c>
      <c r="K493">
        <v>2</v>
      </c>
      <c r="L493">
        <v>2</v>
      </c>
      <c r="M493">
        <v>4</v>
      </c>
      <c r="N493" t="s">
        <v>33</v>
      </c>
      <c r="O493" t="s">
        <v>32</v>
      </c>
      <c r="P493">
        <v>1</v>
      </c>
      <c r="Q493">
        <v>33</v>
      </c>
      <c r="R493">
        <v>2</v>
      </c>
      <c r="S493" t="s">
        <v>31</v>
      </c>
      <c r="T493">
        <v>5</v>
      </c>
      <c r="U493" t="s">
        <v>31</v>
      </c>
      <c r="V493" s="1">
        <v>41792</v>
      </c>
    </row>
    <row r="494" spans="1:22" x14ac:dyDescent="0.35">
      <c r="A494" t="s">
        <v>550</v>
      </c>
      <c r="B494">
        <v>44</v>
      </c>
      <c r="C494" t="s">
        <v>27</v>
      </c>
      <c r="D494" t="s">
        <v>52</v>
      </c>
      <c r="E494" t="s">
        <v>55</v>
      </c>
      <c r="F494" t="s">
        <v>30</v>
      </c>
      <c r="G494">
        <v>134763</v>
      </c>
      <c r="H494">
        <v>17</v>
      </c>
      <c r="I494">
        <v>21</v>
      </c>
      <c r="J494">
        <v>5</v>
      </c>
      <c r="K494">
        <v>4</v>
      </c>
      <c r="L494">
        <v>1</v>
      </c>
      <c r="M494">
        <v>2</v>
      </c>
      <c r="N494" t="s">
        <v>33</v>
      </c>
      <c r="O494" t="s">
        <v>42</v>
      </c>
      <c r="P494">
        <v>29</v>
      </c>
      <c r="Q494">
        <v>45</v>
      </c>
      <c r="R494">
        <v>3</v>
      </c>
      <c r="S494" t="s">
        <v>31</v>
      </c>
      <c r="T494">
        <v>9</v>
      </c>
      <c r="U494" t="s">
        <v>31</v>
      </c>
      <c r="V494" s="1">
        <v>44436</v>
      </c>
    </row>
    <row r="495" spans="1:22" x14ac:dyDescent="0.35">
      <c r="A495" t="s">
        <v>551</v>
      </c>
      <c r="B495">
        <v>40</v>
      </c>
      <c r="C495" t="s">
        <v>27</v>
      </c>
      <c r="D495" t="s">
        <v>39</v>
      </c>
      <c r="E495" t="s">
        <v>59</v>
      </c>
      <c r="F495" t="s">
        <v>56</v>
      </c>
      <c r="G495">
        <v>106811</v>
      </c>
      <c r="H495">
        <v>11</v>
      </c>
      <c r="I495">
        <v>18</v>
      </c>
      <c r="J495">
        <v>4</v>
      </c>
      <c r="K495">
        <v>3</v>
      </c>
      <c r="L495">
        <v>3</v>
      </c>
      <c r="M495">
        <v>2</v>
      </c>
      <c r="N495" t="s">
        <v>31</v>
      </c>
      <c r="O495" t="s">
        <v>32</v>
      </c>
      <c r="P495">
        <v>1</v>
      </c>
      <c r="Q495">
        <v>36</v>
      </c>
      <c r="R495">
        <v>3</v>
      </c>
      <c r="S495" t="s">
        <v>31</v>
      </c>
      <c r="T495">
        <v>6</v>
      </c>
      <c r="U495" t="s">
        <v>31</v>
      </c>
      <c r="V495" s="1">
        <v>41381</v>
      </c>
    </row>
    <row r="496" spans="1:22" x14ac:dyDescent="0.35">
      <c r="A496" t="s">
        <v>552</v>
      </c>
      <c r="B496">
        <v>37</v>
      </c>
      <c r="C496" t="s">
        <v>44</v>
      </c>
      <c r="D496" t="s">
        <v>28</v>
      </c>
      <c r="E496" t="s">
        <v>66</v>
      </c>
      <c r="F496" t="s">
        <v>61</v>
      </c>
      <c r="G496">
        <v>127071</v>
      </c>
      <c r="H496">
        <v>12</v>
      </c>
      <c r="I496">
        <v>13</v>
      </c>
      <c r="J496">
        <v>5</v>
      </c>
      <c r="K496">
        <v>4</v>
      </c>
      <c r="L496">
        <v>4</v>
      </c>
      <c r="M496">
        <v>1</v>
      </c>
      <c r="N496" t="s">
        <v>33</v>
      </c>
      <c r="O496" t="s">
        <v>32</v>
      </c>
      <c r="P496">
        <v>22</v>
      </c>
      <c r="Q496">
        <v>43</v>
      </c>
      <c r="R496">
        <v>3</v>
      </c>
      <c r="S496" t="s">
        <v>31</v>
      </c>
      <c r="T496">
        <v>5</v>
      </c>
      <c r="U496" t="s">
        <v>31</v>
      </c>
      <c r="V496" s="1">
        <v>42822</v>
      </c>
    </row>
    <row r="497" spans="1:23" x14ac:dyDescent="0.35">
      <c r="A497" t="s">
        <v>553</v>
      </c>
      <c r="B497">
        <v>31</v>
      </c>
      <c r="C497" t="s">
        <v>44</v>
      </c>
      <c r="D497" t="s">
        <v>28</v>
      </c>
      <c r="E497" t="s">
        <v>29</v>
      </c>
      <c r="F497" t="s">
        <v>41</v>
      </c>
      <c r="G497">
        <v>46066</v>
      </c>
      <c r="H497">
        <v>1</v>
      </c>
      <c r="I497">
        <v>8</v>
      </c>
      <c r="J497">
        <v>1</v>
      </c>
      <c r="K497">
        <v>2</v>
      </c>
      <c r="L497">
        <v>2</v>
      </c>
      <c r="M497">
        <v>2</v>
      </c>
      <c r="N497" t="s">
        <v>31</v>
      </c>
      <c r="O497" t="s">
        <v>42</v>
      </c>
      <c r="P497">
        <v>18</v>
      </c>
      <c r="Q497">
        <v>48</v>
      </c>
      <c r="R497">
        <v>2</v>
      </c>
      <c r="S497" t="s">
        <v>31</v>
      </c>
      <c r="T497">
        <v>6</v>
      </c>
      <c r="U497" t="s">
        <v>33</v>
      </c>
      <c r="V497" s="1">
        <v>45039</v>
      </c>
      <c r="W497" s="1">
        <v>45300</v>
      </c>
    </row>
    <row r="498" spans="1:23" x14ac:dyDescent="0.35">
      <c r="A498" t="s">
        <v>554</v>
      </c>
      <c r="B498">
        <v>43</v>
      </c>
      <c r="C498" t="s">
        <v>44</v>
      </c>
      <c r="D498" t="s">
        <v>49</v>
      </c>
      <c r="E498" t="s">
        <v>68</v>
      </c>
      <c r="F498" t="s">
        <v>41</v>
      </c>
      <c r="G498">
        <v>83242</v>
      </c>
      <c r="H498">
        <v>6</v>
      </c>
      <c r="I498">
        <v>20</v>
      </c>
      <c r="J498">
        <v>3</v>
      </c>
      <c r="K498">
        <v>2</v>
      </c>
      <c r="L498">
        <v>4</v>
      </c>
      <c r="M498">
        <v>3</v>
      </c>
      <c r="N498" t="s">
        <v>33</v>
      </c>
      <c r="O498" t="s">
        <v>32</v>
      </c>
      <c r="P498">
        <v>14</v>
      </c>
      <c r="Q498">
        <v>48</v>
      </c>
      <c r="R498">
        <v>3</v>
      </c>
      <c r="S498" t="s">
        <v>31</v>
      </c>
      <c r="T498">
        <v>7</v>
      </c>
      <c r="U498" t="s">
        <v>31</v>
      </c>
      <c r="V498" s="1">
        <v>44163</v>
      </c>
    </row>
    <row r="499" spans="1:23" x14ac:dyDescent="0.35">
      <c r="A499" t="s">
        <v>555</v>
      </c>
      <c r="B499">
        <v>53</v>
      </c>
      <c r="C499" t="s">
        <v>27</v>
      </c>
      <c r="D499" t="s">
        <v>28</v>
      </c>
      <c r="E499" t="s">
        <v>66</v>
      </c>
      <c r="F499" t="s">
        <v>56</v>
      </c>
      <c r="G499">
        <v>154278</v>
      </c>
      <c r="H499">
        <v>26</v>
      </c>
      <c r="I499">
        <v>30</v>
      </c>
      <c r="J499">
        <v>5</v>
      </c>
      <c r="K499">
        <v>2</v>
      </c>
      <c r="L499">
        <v>1</v>
      </c>
      <c r="M499">
        <v>2</v>
      </c>
      <c r="N499" t="s">
        <v>31</v>
      </c>
      <c r="O499" t="s">
        <v>42</v>
      </c>
      <c r="P499">
        <v>11</v>
      </c>
      <c r="Q499">
        <v>31</v>
      </c>
      <c r="R499">
        <v>3</v>
      </c>
      <c r="S499" t="s">
        <v>33</v>
      </c>
      <c r="T499">
        <v>3</v>
      </c>
      <c r="U499" t="s">
        <v>31</v>
      </c>
      <c r="V499" s="1">
        <v>45042</v>
      </c>
    </row>
    <row r="500" spans="1:23" x14ac:dyDescent="0.35">
      <c r="A500" t="s">
        <v>556</v>
      </c>
      <c r="B500">
        <v>42</v>
      </c>
      <c r="C500" t="s">
        <v>44</v>
      </c>
      <c r="D500" t="s">
        <v>39</v>
      </c>
      <c r="E500" t="s">
        <v>59</v>
      </c>
      <c r="F500" t="s">
        <v>37</v>
      </c>
      <c r="G500">
        <v>97515</v>
      </c>
      <c r="H500">
        <v>6</v>
      </c>
      <c r="I500">
        <v>18</v>
      </c>
      <c r="J500">
        <v>4</v>
      </c>
      <c r="K500">
        <v>4</v>
      </c>
      <c r="L500">
        <v>3</v>
      </c>
      <c r="M500">
        <v>2</v>
      </c>
      <c r="N500" t="s">
        <v>31</v>
      </c>
      <c r="O500" t="s">
        <v>32</v>
      </c>
      <c r="P500">
        <v>12</v>
      </c>
      <c r="Q500">
        <v>36</v>
      </c>
      <c r="R500">
        <v>2</v>
      </c>
      <c r="S500" t="s">
        <v>31</v>
      </c>
      <c r="T500">
        <v>7</v>
      </c>
      <c r="U500" t="s">
        <v>31</v>
      </c>
      <c r="V500" s="1">
        <v>43762</v>
      </c>
    </row>
    <row r="501" spans="1:23" x14ac:dyDescent="0.35">
      <c r="A501" t="s">
        <v>557</v>
      </c>
      <c r="B501">
        <v>38</v>
      </c>
      <c r="C501" t="s">
        <v>27</v>
      </c>
      <c r="D501" t="s">
        <v>49</v>
      </c>
      <c r="E501" t="s">
        <v>68</v>
      </c>
      <c r="F501" t="s">
        <v>30</v>
      </c>
      <c r="G501">
        <v>84770</v>
      </c>
      <c r="H501">
        <v>7</v>
      </c>
      <c r="I501">
        <v>15</v>
      </c>
      <c r="J501">
        <v>3</v>
      </c>
      <c r="K501">
        <v>2</v>
      </c>
      <c r="L501">
        <v>4</v>
      </c>
      <c r="M501">
        <v>1</v>
      </c>
      <c r="N501" t="s">
        <v>31</v>
      </c>
      <c r="O501" t="s">
        <v>47</v>
      </c>
      <c r="P501">
        <v>16</v>
      </c>
      <c r="Q501">
        <v>22</v>
      </c>
      <c r="R501">
        <v>2</v>
      </c>
      <c r="S501" t="s">
        <v>31</v>
      </c>
      <c r="T501">
        <v>7</v>
      </c>
      <c r="U501" t="s">
        <v>31</v>
      </c>
      <c r="V501" s="1">
        <v>44744</v>
      </c>
    </row>
    <row r="502" spans="1:23" x14ac:dyDescent="0.35">
      <c r="A502" t="s">
        <v>558</v>
      </c>
      <c r="B502">
        <v>29</v>
      </c>
      <c r="C502" t="s">
        <v>44</v>
      </c>
      <c r="D502" t="s">
        <v>28</v>
      </c>
      <c r="E502" t="s">
        <v>29</v>
      </c>
      <c r="F502" t="s">
        <v>56</v>
      </c>
      <c r="G502">
        <v>77625</v>
      </c>
      <c r="H502">
        <v>4</v>
      </c>
      <c r="I502">
        <v>5</v>
      </c>
      <c r="J502">
        <v>3</v>
      </c>
      <c r="K502">
        <v>3</v>
      </c>
      <c r="L502">
        <v>3</v>
      </c>
      <c r="M502">
        <v>3</v>
      </c>
      <c r="N502" t="s">
        <v>31</v>
      </c>
      <c r="O502" t="s">
        <v>32</v>
      </c>
      <c r="P502">
        <v>14</v>
      </c>
      <c r="Q502">
        <v>13</v>
      </c>
      <c r="R502">
        <v>4</v>
      </c>
      <c r="S502" t="s">
        <v>31</v>
      </c>
      <c r="T502">
        <v>4</v>
      </c>
      <c r="U502" t="s">
        <v>33</v>
      </c>
      <c r="V502" s="1">
        <v>44316</v>
      </c>
      <c r="W502" s="1">
        <v>44824</v>
      </c>
    </row>
    <row r="503" spans="1:23" x14ac:dyDescent="0.35">
      <c r="A503" t="s">
        <v>559</v>
      </c>
      <c r="B503">
        <v>36</v>
      </c>
      <c r="C503" t="s">
        <v>44</v>
      </c>
      <c r="D503" t="s">
        <v>45</v>
      </c>
      <c r="E503" t="s">
        <v>63</v>
      </c>
      <c r="F503" t="s">
        <v>56</v>
      </c>
      <c r="G503">
        <v>127369</v>
      </c>
      <c r="H503">
        <v>13</v>
      </c>
      <c r="I503">
        <v>14</v>
      </c>
      <c r="J503">
        <v>5</v>
      </c>
      <c r="K503">
        <v>4</v>
      </c>
      <c r="L503">
        <v>3</v>
      </c>
      <c r="M503">
        <v>2</v>
      </c>
      <c r="N503" t="s">
        <v>33</v>
      </c>
      <c r="O503" t="s">
        <v>32</v>
      </c>
      <c r="P503">
        <v>28</v>
      </c>
      <c r="Q503">
        <v>53</v>
      </c>
      <c r="R503">
        <v>3</v>
      </c>
      <c r="S503" t="s">
        <v>33</v>
      </c>
      <c r="T503">
        <v>5</v>
      </c>
      <c r="U503" t="s">
        <v>33</v>
      </c>
      <c r="V503" s="1">
        <v>42260</v>
      </c>
      <c r="W503" s="1">
        <v>42766</v>
      </c>
    </row>
    <row r="504" spans="1:23" x14ac:dyDescent="0.35">
      <c r="A504" t="s">
        <v>560</v>
      </c>
      <c r="B504">
        <v>41</v>
      </c>
      <c r="C504" t="s">
        <v>27</v>
      </c>
      <c r="D504" t="s">
        <v>52</v>
      </c>
      <c r="E504" t="s">
        <v>53</v>
      </c>
      <c r="F504" t="s">
        <v>61</v>
      </c>
      <c r="G504">
        <v>63968</v>
      </c>
      <c r="H504">
        <v>2</v>
      </c>
      <c r="I504">
        <v>18</v>
      </c>
      <c r="J504">
        <v>2</v>
      </c>
      <c r="K504">
        <v>2</v>
      </c>
      <c r="L504">
        <v>1</v>
      </c>
      <c r="M504">
        <v>1</v>
      </c>
      <c r="N504" t="s">
        <v>31</v>
      </c>
      <c r="O504" t="s">
        <v>32</v>
      </c>
      <c r="P504">
        <v>14</v>
      </c>
      <c r="Q504">
        <v>11</v>
      </c>
      <c r="R504">
        <v>2</v>
      </c>
      <c r="S504" t="s">
        <v>31</v>
      </c>
      <c r="T504">
        <v>3</v>
      </c>
      <c r="U504" t="s">
        <v>31</v>
      </c>
      <c r="V504" s="1">
        <v>43470</v>
      </c>
    </row>
    <row r="505" spans="1:23" x14ac:dyDescent="0.35">
      <c r="A505" t="s">
        <v>561</v>
      </c>
      <c r="B505">
        <v>54</v>
      </c>
      <c r="C505" t="s">
        <v>44</v>
      </c>
      <c r="D505" t="s">
        <v>45</v>
      </c>
      <c r="E505" t="s">
        <v>63</v>
      </c>
      <c r="F505" t="s">
        <v>37</v>
      </c>
      <c r="G505">
        <v>128453</v>
      </c>
      <c r="H505">
        <v>14</v>
      </c>
      <c r="I505">
        <v>31</v>
      </c>
      <c r="J505">
        <v>5</v>
      </c>
      <c r="K505">
        <v>4</v>
      </c>
      <c r="L505">
        <v>2</v>
      </c>
      <c r="M505">
        <v>2</v>
      </c>
      <c r="N505" t="s">
        <v>31</v>
      </c>
      <c r="O505" t="s">
        <v>32</v>
      </c>
      <c r="P505">
        <v>18</v>
      </c>
      <c r="Q505">
        <v>50</v>
      </c>
      <c r="R505">
        <v>2</v>
      </c>
      <c r="S505" t="s">
        <v>31</v>
      </c>
      <c r="T505">
        <v>5</v>
      </c>
      <c r="U505" t="s">
        <v>31</v>
      </c>
      <c r="V505" s="1">
        <v>45140</v>
      </c>
    </row>
    <row r="506" spans="1:23" x14ac:dyDescent="0.35">
      <c r="A506" t="s">
        <v>562</v>
      </c>
      <c r="B506">
        <v>26</v>
      </c>
      <c r="C506" t="s">
        <v>27</v>
      </c>
      <c r="D506" t="s">
        <v>28</v>
      </c>
      <c r="E506" t="s">
        <v>66</v>
      </c>
      <c r="F506" t="s">
        <v>56</v>
      </c>
      <c r="G506">
        <v>40143</v>
      </c>
      <c r="H506">
        <v>1</v>
      </c>
      <c r="I506">
        <v>2</v>
      </c>
      <c r="J506">
        <v>1</v>
      </c>
      <c r="K506">
        <v>1</v>
      </c>
      <c r="L506">
        <v>4</v>
      </c>
      <c r="M506">
        <v>4</v>
      </c>
      <c r="N506" t="s">
        <v>33</v>
      </c>
      <c r="O506" t="s">
        <v>32</v>
      </c>
      <c r="P506">
        <v>16</v>
      </c>
      <c r="Q506">
        <v>33</v>
      </c>
      <c r="R506">
        <v>3</v>
      </c>
      <c r="S506" t="s">
        <v>31</v>
      </c>
      <c r="T506">
        <v>7</v>
      </c>
      <c r="U506" t="s">
        <v>31</v>
      </c>
      <c r="V506" s="1">
        <v>41468</v>
      </c>
    </row>
    <row r="507" spans="1:23" x14ac:dyDescent="0.35">
      <c r="A507" t="s">
        <v>563</v>
      </c>
      <c r="B507">
        <v>43</v>
      </c>
      <c r="C507" t="s">
        <v>44</v>
      </c>
      <c r="D507" t="s">
        <v>35</v>
      </c>
      <c r="E507" t="s">
        <v>85</v>
      </c>
      <c r="F507" t="s">
        <v>61</v>
      </c>
      <c r="G507">
        <v>98072</v>
      </c>
      <c r="H507">
        <v>7</v>
      </c>
      <c r="I507">
        <v>21</v>
      </c>
      <c r="J507">
        <v>4</v>
      </c>
      <c r="K507">
        <v>2</v>
      </c>
      <c r="L507">
        <v>4</v>
      </c>
      <c r="M507">
        <v>3</v>
      </c>
      <c r="N507" t="s">
        <v>31</v>
      </c>
      <c r="O507" t="s">
        <v>32</v>
      </c>
      <c r="P507">
        <v>19</v>
      </c>
      <c r="Q507">
        <v>24</v>
      </c>
      <c r="R507">
        <v>3</v>
      </c>
      <c r="S507" t="s">
        <v>33</v>
      </c>
      <c r="T507">
        <v>7</v>
      </c>
      <c r="U507" t="s">
        <v>31</v>
      </c>
      <c r="V507" s="1">
        <v>43003</v>
      </c>
    </row>
    <row r="508" spans="1:23" x14ac:dyDescent="0.35">
      <c r="A508" t="s">
        <v>564</v>
      </c>
      <c r="B508">
        <v>57</v>
      </c>
      <c r="C508" t="s">
        <v>27</v>
      </c>
      <c r="D508" t="s">
        <v>35</v>
      </c>
      <c r="E508" t="s">
        <v>36</v>
      </c>
      <c r="F508" t="s">
        <v>78</v>
      </c>
      <c r="G508">
        <v>137064</v>
      </c>
      <c r="H508">
        <v>20</v>
      </c>
      <c r="I508">
        <v>35</v>
      </c>
      <c r="J508">
        <v>5</v>
      </c>
      <c r="K508">
        <v>4</v>
      </c>
      <c r="L508">
        <v>2</v>
      </c>
      <c r="M508">
        <v>4</v>
      </c>
      <c r="N508" t="s">
        <v>31</v>
      </c>
      <c r="O508" t="s">
        <v>42</v>
      </c>
      <c r="P508">
        <v>21</v>
      </c>
      <c r="Q508">
        <v>30</v>
      </c>
      <c r="R508">
        <v>2</v>
      </c>
      <c r="S508" t="s">
        <v>33</v>
      </c>
      <c r="T508">
        <v>7</v>
      </c>
      <c r="U508" t="s">
        <v>31</v>
      </c>
      <c r="V508" s="1">
        <v>45257</v>
      </c>
    </row>
    <row r="509" spans="1:23" x14ac:dyDescent="0.35">
      <c r="A509" t="s">
        <v>565</v>
      </c>
      <c r="B509">
        <v>42</v>
      </c>
      <c r="C509" t="s">
        <v>27</v>
      </c>
      <c r="D509" t="s">
        <v>35</v>
      </c>
      <c r="E509" t="s">
        <v>85</v>
      </c>
      <c r="F509" t="s">
        <v>30</v>
      </c>
      <c r="G509">
        <v>122494</v>
      </c>
      <c r="H509">
        <v>12</v>
      </c>
      <c r="I509">
        <v>20</v>
      </c>
      <c r="J509">
        <v>5</v>
      </c>
      <c r="K509">
        <v>1</v>
      </c>
      <c r="L509">
        <v>2</v>
      </c>
      <c r="M509">
        <v>1</v>
      </c>
      <c r="N509" t="s">
        <v>31</v>
      </c>
      <c r="O509" t="s">
        <v>32</v>
      </c>
      <c r="P509">
        <v>23</v>
      </c>
      <c r="Q509">
        <v>51</v>
      </c>
      <c r="R509">
        <v>3</v>
      </c>
      <c r="S509" t="s">
        <v>33</v>
      </c>
      <c r="T509">
        <v>2</v>
      </c>
      <c r="U509" t="s">
        <v>31</v>
      </c>
      <c r="V509" s="1">
        <v>42183</v>
      </c>
    </row>
    <row r="510" spans="1:23" x14ac:dyDescent="0.35">
      <c r="A510" t="s">
        <v>566</v>
      </c>
      <c r="B510">
        <v>22</v>
      </c>
      <c r="C510" t="s">
        <v>27</v>
      </c>
      <c r="D510" t="s">
        <v>52</v>
      </c>
      <c r="E510" t="s">
        <v>53</v>
      </c>
      <c r="F510" t="s">
        <v>78</v>
      </c>
      <c r="G510">
        <v>43266</v>
      </c>
      <c r="H510">
        <v>0</v>
      </c>
      <c r="I510">
        <v>1</v>
      </c>
      <c r="J510">
        <v>1</v>
      </c>
      <c r="K510">
        <v>3</v>
      </c>
      <c r="L510">
        <v>2</v>
      </c>
      <c r="M510">
        <v>4</v>
      </c>
      <c r="N510" t="s">
        <v>31</v>
      </c>
      <c r="O510" t="s">
        <v>32</v>
      </c>
      <c r="P510">
        <v>1</v>
      </c>
      <c r="Q510">
        <v>34</v>
      </c>
      <c r="R510">
        <v>3</v>
      </c>
      <c r="S510" t="s">
        <v>31</v>
      </c>
      <c r="T510">
        <v>4</v>
      </c>
      <c r="U510" t="s">
        <v>31</v>
      </c>
      <c r="V510" s="1">
        <v>42134</v>
      </c>
    </row>
    <row r="511" spans="1:23" x14ac:dyDescent="0.35">
      <c r="A511" t="s">
        <v>567</v>
      </c>
      <c r="B511">
        <v>58</v>
      </c>
      <c r="C511" t="s">
        <v>27</v>
      </c>
      <c r="D511" t="s">
        <v>35</v>
      </c>
      <c r="E511" t="s">
        <v>85</v>
      </c>
      <c r="F511" t="s">
        <v>30</v>
      </c>
      <c r="G511">
        <v>140863</v>
      </c>
      <c r="H511">
        <v>20</v>
      </c>
      <c r="I511">
        <v>36</v>
      </c>
      <c r="J511">
        <v>5</v>
      </c>
      <c r="K511">
        <v>1</v>
      </c>
      <c r="L511">
        <v>4</v>
      </c>
      <c r="M511">
        <v>2</v>
      </c>
      <c r="N511" t="s">
        <v>31</v>
      </c>
      <c r="O511" t="s">
        <v>32</v>
      </c>
      <c r="P511">
        <v>22</v>
      </c>
      <c r="Q511">
        <v>55</v>
      </c>
      <c r="R511">
        <v>4</v>
      </c>
      <c r="S511" t="s">
        <v>33</v>
      </c>
      <c r="T511">
        <v>6</v>
      </c>
      <c r="U511" t="s">
        <v>31</v>
      </c>
      <c r="V511" s="1">
        <v>41013</v>
      </c>
    </row>
    <row r="512" spans="1:23" x14ac:dyDescent="0.35">
      <c r="A512" t="s">
        <v>568</v>
      </c>
      <c r="B512">
        <v>47</v>
      </c>
      <c r="C512" t="s">
        <v>27</v>
      </c>
      <c r="D512" t="s">
        <v>45</v>
      </c>
      <c r="E512" t="s">
        <v>63</v>
      </c>
      <c r="F512" t="s">
        <v>41</v>
      </c>
      <c r="G512">
        <v>101988</v>
      </c>
      <c r="H512">
        <v>9</v>
      </c>
      <c r="I512">
        <v>24</v>
      </c>
      <c r="J512">
        <v>4</v>
      </c>
      <c r="K512">
        <v>2</v>
      </c>
      <c r="L512">
        <v>1</v>
      </c>
      <c r="M512">
        <v>1</v>
      </c>
      <c r="N512" t="s">
        <v>31</v>
      </c>
      <c r="O512" t="s">
        <v>32</v>
      </c>
      <c r="P512">
        <v>10</v>
      </c>
      <c r="Q512">
        <v>30</v>
      </c>
      <c r="R512">
        <v>4</v>
      </c>
      <c r="S512" t="s">
        <v>31</v>
      </c>
      <c r="T512">
        <v>5</v>
      </c>
      <c r="U512" t="s">
        <v>31</v>
      </c>
      <c r="V512" s="1">
        <v>43730</v>
      </c>
    </row>
    <row r="513" spans="1:23" x14ac:dyDescent="0.35">
      <c r="A513" t="s">
        <v>569</v>
      </c>
      <c r="B513">
        <v>44</v>
      </c>
      <c r="C513" t="s">
        <v>44</v>
      </c>
      <c r="D513" t="s">
        <v>45</v>
      </c>
      <c r="E513" t="s">
        <v>63</v>
      </c>
      <c r="F513" t="s">
        <v>37</v>
      </c>
      <c r="G513">
        <v>67452</v>
      </c>
      <c r="H513">
        <v>5</v>
      </c>
      <c r="I513">
        <v>21</v>
      </c>
      <c r="J513">
        <v>2</v>
      </c>
      <c r="K513">
        <v>3</v>
      </c>
      <c r="L513">
        <v>4</v>
      </c>
      <c r="M513">
        <v>2</v>
      </c>
      <c r="N513" t="s">
        <v>31</v>
      </c>
      <c r="O513" t="s">
        <v>42</v>
      </c>
      <c r="P513">
        <v>28</v>
      </c>
      <c r="Q513">
        <v>37</v>
      </c>
      <c r="R513">
        <v>3</v>
      </c>
      <c r="S513" t="s">
        <v>31</v>
      </c>
      <c r="T513">
        <v>8</v>
      </c>
      <c r="U513" t="s">
        <v>33</v>
      </c>
      <c r="V513" s="1">
        <v>44838</v>
      </c>
      <c r="W513" s="1">
        <v>45429</v>
      </c>
    </row>
    <row r="514" spans="1:23" x14ac:dyDescent="0.35">
      <c r="A514" t="s">
        <v>570</v>
      </c>
      <c r="B514">
        <v>33</v>
      </c>
      <c r="C514" t="s">
        <v>27</v>
      </c>
      <c r="D514" t="s">
        <v>35</v>
      </c>
      <c r="E514" t="s">
        <v>36</v>
      </c>
      <c r="F514" t="s">
        <v>61</v>
      </c>
      <c r="G514">
        <v>99946</v>
      </c>
      <c r="H514">
        <v>7</v>
      </c>
      <c r="I514">
        <v>12</v>
      </c>
      <c r="J514">
        <v>4</v>
      </c>
      <c r="K514">
        <v>4</v>
      </c>
      <c r="L514">
        <v>2</v>
      </c>
      <c r="M514">
        <v>4</v>
      </c>
      <c r="N514" t="s">
        <v>31</v>
      </c>
      <c r="O514" t="s">
        <v>32</v>
      </c>
      <c r="P514">
        <v>22</v>
      </c>
      <c r="Q514">
        <v>58</v>
      </c>
      <c r="R514">
        <v>3</v>
      </c>
      <c r="S514" t="s">
        <v>31</v>
      </c>
      <c r="T514">
        <v>5</v>
      </c>
      <c r="U514" t="s">
        <v>31</v>
      </c>
      <c r="V514" s="1">
        <v>43434</v>
      </c>
    </row>
    <row r="515" spans="1:23" x14ac:dyDescent="0.35">
      <c r="A515" t="s">
        <v>571</v>
      </c>
      <c r="B515">
        <v>34</v>
      </c>
      <c r="C515" t="s">
        <v>27</v>
      </c>
      <c r="D515" t="s">
        <v>39</v>
      </c>
      <c r="E515" t="s">
        <v>40</v>
      </c>
      <c r="F515" t="s">
        <v>41</v>
      </c>
      <c r="G515">
        <v>105181</v>
      </c>
      <c r="H515">
        <v>8</v>
      </c>
      <c r="I515">
        <v>11</v>
      </c>
      <c r="J515">
        <v>4</v>
      </c>
      <c r="K515">
        <v>2</v>
      </c>
      <c r="L515">
        <v>4</v>
      </c>
      <c r="M515">
        <v>4</v>
      </c>
      <c r="N515" t="s">
        <v>31</v>
      </c>
      <c r="O515" t="s">
        <v>42</v>
      </c>
      <c r="P515">
        <v>9</v>
      </c>
      <c r="Q515">
        <v>39</v>
      </c>
      <c r="R515">
        <v>3</v>
      </c>
      <c r="S515" t="s">
        <v>31</v>
      </c>
      <c r="T515">
        <v>4</v>
      </c>
      <c r="U515" t="s">
        <v>31</v>
      </c>
      <c r="V515" s="1">
        <v>41788</v>
      </c>
    </row>
    <row r="516" spans="1:23" x14ac:dyDescent="0.35">
      <c r="A516" t="s">
        <v>572</v>
      </c>
      <c r="B516">
        <v>25</v>
      </c>
      <c r="C516" t="s">
        <v>27</v>
      </c>
      <c r="D516" t="s">
        <v>52</v>
      </c>
      <c r="E516" t="s">
        <v>53</v>
      </c>
      <c r="F516" t="s">
        <v>56</v>
      </c>
      <c r="G516">
        <v>59704</v>
      </c>
      <c r="H516">
        <v>0</v>
      </c>
      <c r="I516">
        <v>1</v>
      </c>
      <c r="J516">
        <v>2</v>
      </c>
      <c r="K516">
        <v>3</v>
      </c>
      <c r="L516">
        <v>1</v>
      </c>
      <c r="M516">
        <v>2</v>
      </c>
      <c r="N516" t="s">
        <v>31</v>
      </c>
      <c r="O516" t="s">
        <v>32</v>
      </c>
      <c r="P516">
        <v>7</v>
      </c>
      <c r="Q516">
        <v>39</v>
      </c>
      <c r="R516">
        <v>3</v>
      </c>
      <c r="S516" t="s">
        <v>31</v>
      </c>
      <c r="T516">
        <v>4</v>
      </c>
      <c r="U516" t="s">
        <v>31</v>
      </c>
      <c r="V516" s="1">
        <v>44520</v>
      </c>
    </row>
    <row r="517" spans="1:23" x14ac:dyDescent="0.35">
      <c r="A517" t="s">
        <v>573</v>
      </c>
      <c r="B517">
        <v>35</v>
      </c>
      <c r="C517" t="s">
        <v>27</v>
      </c>
      <c r="D517" t="s">
        <v>52</v>
      </c>
      <c r="E517" t="s">
        <v>53</v>
      </c>
      <c r="F517" t="s">
        <v>41</v>
      </c>
      <c r="G517">
        <v>56776</v>
      </c>
      <c r="H517">
        <v>0</v>
      </c>
      <c r="I517">
        <v>12</v>
      </c>
      <c r="J517">
        <v>2</v>
      </c>
      <c r="K517">
        <v>3</v>
      </c>
      <c r="L517">
        <v>3</v>
      </c>
      <c r="M517">
        <v>4</v>
      </c>
      <c r="N517" t="s">
        <v>31</v>
      </c>
      <c r="O517" t="s">
        <v>32</v>
      </c>
      <c r="P517">
        <v>29</v>
      </c>
      <c r="Q517">
        <v>13</v>
      </c>
      <c r="R517">
        <v>4</v>
      </c>
      <c r="S517" t="s">
        <v>31</v>
      </c>
      <c r="T517">
        <v>8</v>
      </c>
      <c r="U517" t="s">
        <v>33</v>
      </c>
      <c r="V517" s="1">
        <v>45009</v>
      </c>
      <c r="W517" s="1">
        <v>45339</v>
      </c>
    </row>
    <row r="518" spans="1:23" x14ac:dyDescent="0.35">
      <c r="A518" t="s">
        <v>574</v>
      </c>
      <c r="B518">
        <v>30</v>
      </c>
      <c r="C518" t="s">
        <v>44</v>
      </c>
      <c r="D518" t="s">
        <v>28</v>
      </c>
      <c r="E518" t="s">
        <v>66</v>
      </c>
      <c r="F518" t="s">
        <v>41</v>
      </c>
      <c r="G518">
        <v>57890</v>
      </c>
      <c r="H518">
        <v>1</v>
      </c>
      <c r="I518">
        <v>6</v>
      </c>
      <c r="J518">
        <v>2</v>
      </c>
      <c r="K518">
        <v>1</v>
      </c>
      <c r="L518">
        <v>1</v>
      </c>
      <c r="M518">
        <v>4</v>
      </c>
      <c r="N518" t="s">
        <v>31</v>
      </c>
      <c r="O518" t="s">
        <v>32</v>
      </c>
      <c r="P518">
        <v>6</v>
      </c>
      <c r="Q518">
        <v>53</v>
      </c>
      <c r="R518">
        <v>3</v>
      </c>
      <c r="S518" t="s">
        <v>31</v>
      </c>
      <c r="T518">
        <v>6</v>
      </c>
      <c r="U518" t="s">
        <v>31</v>
      </c>
      <c r="V518" s="1">
        <v>45179</v>
      </c>
    </row>
    <row r="519" spans="1:23" x14ac:dyDescent="0.35">
      <c r="A519" t="s">
        <v>575</v>
      </c>
      <c r="B519">
        <v>41</v>
      </c>
      <c r="C519" t="s">
        <v>44</v>
      </c>
      <c r="D519" t="s">
        <v>35</v>
      </c>
      <c r="E519" t="s">
        <v>85</v>
      </c>
      <c r="F519" t="s">
        <v>41</v>
      </c>
      <c r="G519">
        <v>79700</v>
      </c>
      <c r="H519">
        <v>3</v>
      </c>
      <c r="I519">
        <v>17</v>
      </c>
      <c r="J519">
        <v>3</v>
      </c>
      <c r="K519">
        <v>2</v>
      </c>
      <c r="L519">
        <v>4</v>
      </c>
      <c r="M519">
        <v>2</v>
      </c>
      <c r="N519" t="s">
        <v>31</v>
      </c>
      <c r="O519" t="s">
        <v>32</v>
      </c>
      <c r="P519">
        <v>7</v>
      </c>
      <c r="Q519">
        <v>47</v>
      </c>
      <c r="R519">
        <v>3</v>
      </c>
      <c r="S519" t="s">
        <v>31</v>
      </c>
      <c r="T519">
        <v>5</v>
      </c>
      <c r="U519" t="s">
        <v>33</v>
      </c>
      <c r="V519" s="1">
        <v>43473</v>
      </c>
      <c r="W519" s="1">
        <v>43640</v>
      </c>
    </row>
    <row r="520" spans="1:23" x14ac:dyDescent="0.35">
      <c r="A520" t="s">
        <v>576</v>
      </c>
      <c r="B520">
        <v>57</v>
      </c>
      <c r="C520" t="s">
        <v>44</v>
      </c>
      <c r="D520" t="s">
        <v>35</v>
      </c>
      <c r="E520" t="s">
        <v>85</v>
      </c>
      <c r="F520" t="s">
        <v>37</v>
      </c>
      <c r="G520">
        <v>169029</v>
      </c>
      <c r="H520">
        <v>33</v>
      </c>
      <c r="I520">
        <v>36</v>
      </c>
      <c r="J520">
        <v>5</v>
      </c>
      <c r="K520">
        <v>4</v>
      </c>
      <c r="L520">
        <v>4</v>
      </c>
      <c r="M520">
        <v>3</v>
      </c>
      <c r="N520" t="s">
        <v>31</v>
      </c>
      <c r="O520" t="s">
        <v>32</v>
      </c>
      <c r="P520">
        <v>16</v>
      </c>
      <c r="Q520">
        <v>47</v>
      </c>
      <c r="R520">
        <v>3</v>
      </c>
      <c r="S520" t="s">
        <v>33</v>
      </c>
      <c r="T520">
        <v>3</v>
      </c>
      <c r="U520" t="s">
        <v>31</v>
      </c>
      <c r="V520" s="1">
        <v>44917</v>
      </c>
    </row>
    <row r="521" spans="1:23" x14ac:dyDescent="0.35">
      <c r="A521" t="s">
        <v>577</v>
      </c>
      <c r="B521">
        <v>36</v>
      </c>
      <c r="C521" t="s">
        <v>44</v>
      </c>
      <c r="D521" t="s">
        <v>39</v>
      </c>
      <c r="E521" t="s">
        <v>40</v>
      </c>
      <c r="F521" t="s">
        <v>37</v>
      </c>
      <c r="G521">
        <v>82337</v>
      </c>
      <c r="H521">
        <v>6</v>
      </c>
      <c r="I521">
        <v>15</v>
      </c>
      <c r="J521">
        <v>3</v>
      </c>
      <c r="K521">
        <v>2</v>
      </c>
      <c r="L521">
        <v>2</v>
      </c>
      <c r="M521">
        <v>2</v>
      </c>
      <c r="N521" t="s">
        <v>33</v>
      </c>
      <c r="O521" t="s">
        <v>32</v>
      </c>
      <c r="P521">
        <v>13</v>
      </c>
      <c r="Q521">
        <v>18</v>
      </c>
      <c r="R521">
        <v>3</v>
      </c>
      <c r="S521" t="s">
        <v>31</v>
      </c>
      <c r="T521">
        <v>2</v>
      </c>
      <c r="U521" t="s">
        <v>31</v>
      </c>
      <c r="V521" s="1">
        <v>42043</v>
      </c>
    </row>
    <row r="522" spans="1:23" x14ac:dyDescent="0.35">
      <c r="A522" t="s">
        <v>578</v>
      </c>
      <c r="B522">
        <v>54</v>
      </c>
      <c r="C522" t="s">
        <v>27</v>
      </c>
      <c r="D522" t="s">
        <v>49</v>
      </c>
      <c r="E522" t="s">
        <v>68</v>
      </c>
      <c r="F522" t="s">
        <v>56</v>
      </c>
      <c r="G522">
        <v>139962</v>
      </c>
      <c r="H522">
        <v>18</v>
      </c>
      <c r="I522">
        <v>32</v>
      </c>
      <c r="J522">
        <v>5</v>
      </c>
      <c r="K522">
        <v>2</v>
      </c>
      <c r="L522">
        <v>3</v>
      </c>
      <c r="M522">
        <v>2</v>
      </c>
      <c r="N522" t="s">
        <v>33</v>
      </c>
      <c r="O522" t="s">
        <v>32</v>
      </c>
      <c r="P522">
        <v>20</v>
      </c>
      <c r="Q522">
        <v>28</v>
      </c>
      <c r="R522">
        <v>3</v>
      </c>
      <c r="S522" t="s">
        <v>33</v>
      </c>
      <c r="T522">
        <v>3</v>
      </c>
      <c r="U522" t="s">
        <v>31</v>
      </c>
      <c r="V522" s="1">
        <v>43860</v>
      </c>
    </row>
    <row r="523" spans="1:23" x14ac:dyDescent="0.35">
      <c r="A523" t="s">
        <v>579</v>
      </c>
      <c r="B523">
        <v>33</v>
      </c>
      <c r="C523" t="s">
        <v>44</v>
      </c>
      <c r="D523" t="s">
        <v>39</v>
      </c>
      <c r="E523" t="s">
        <v>59</v>
      </c>
      <c r="F523" t="s">
        <v>30</v>
      </c>
      <c r="G523">
        <v>64867</v>
      </c>
      <c r="H523">
        <v>3</v>
      </c>
      <c r="I523">
        <v>10</v>
      </c>
      <c r="J523">
        <v>2</v>
      </c>
      <c r="K523">
        <v>4</v>
      </c>
      <c r="L523">
        <v>1</v>
      </c>
      <c r="M523">
        <v>3</v>
      </c>
      <c r="N523" t="s">
        <v>33</v>
      </c>
      <c r="O523" t="s">
        <v>32</v>
      </c>
      <c r="P523">
        <v>13</v>
      </c>
      <c r="Q523">
        <v>31</v>
      </c>
      <c r="R523">
        <v>3</v>
      </c>
      <c r="S523" t="s">
        <v>31</v>
      </c>
      <c r="T523">
        <v>2</v>
      </c>
      <c r="U523" t="s">
        <v>31</v>
      </c>
      <c r="V523" s="1">
        <v>42501</v>
      </c>
    </row>
    <row r="524" spans="1:23" x14ac:dyDescent="0.35">
      <c r="A524" t="s">
        <v>580</v>
      </c>
      <c r="B524">
        <v>44</v>
      </c>
      <c r="C524" t="s">
        <v>27</v>
      </c>
      <c r="D524" t="s">
        <v>35</v>
      </c>
      <c r="E524" t="s">
        <v>85</v>
      </c>
      <c r="F524" t="s">
        <v>78</v>
      </c>
      <c r="G524">
        <v>129004</v>
      </c>
      <c r="H524">
        <v>13</v>
      </c>
      <c r="I524">
        <v>23</v>
      </c>
      <c r="J524">
        <v>5</v>
      </c>
      <c r="K524">
        <v>4</v>
      </c>
      <c r="L524">
        <v>3</v>
      </c>
      <c r="M524">
        <v>4</v>
      </c>
      <c r="N524" t="s">
        <v>31</v>
      </c>
      <c r="O524" t="s">
        <v>32</v>
      </c>
      <c r="P524">
        <v>13</v>
      </c>
      <c r="Q524">
        <v>18</v>
      </c>
      <c r="R524">
        <v>3</v>
      </c>
      <c r="S524" t="s">
        <v>33</v>
      </c>
      <c r="T524">
        <v>6</v>
      </c>
      <c r="U524" t="s">
        <v>33</v>
      </c>
      <c r="V524" s="1">
        <v>44176</v>
      </c>
      <c r="W524" s="1">
        <v>44478</v>
      </c>
    </row>
    <row r="525" spans="1:23" x14ac:dyDescent="0.35">
      <c r="A525" t="s">
        <v>581</v>
      </c>
      <c r="B525">
        <v>42</v>
      </c>
      <c r="C525" t="s">
        <v>27</v>
      </c>
      <c r="D525" t="s">
        <v>39</v>
      </c>
      <c r="E525" t="s">
        <v>40</v>
      </c>
      <c r="F525" t="s">
        <v>37</v>
      </c>
      <c r="G525">
        <v>109108</v>
      </c>
      <c r="H525">
        <v>11</v>
      </c>
      <c r="I525">
        <v>20</v>
      </c>
      <c r="J525">
        <v>4</v>
      </c>
      <c r="K525">
        <v>2</v>
      </c>
      <c r="L525">
        <v>1</v>
      </c>
      <c r="M525">
        <v>2</v>
      </c>
      <c r="N525" t="s">
        <v>31</v>
      </c>
      <c r="O525" t="s">
        <v>47</v>
      </c>
      <c r="P525">
        <v>20</v>
      </c>
      <c r="Q525">
        <v>38</v>
      </c>
      <c r="R525">
        <v>3</v>
      </c>
      <c r="S525" t="s">
        <v>31</v>
      </c>
      <c r="T525">
        <v>4</v>
      </c>
      <c r="U525" t="s">
        <v>31</v>
      </c>
      <c r="V525" s="1">
        <v>42428</v>
      </c>
    </row>
    <row r="526" spans="1:23" x14ac:dyDescent="0.35">
      <c r="A526" t="s">
        <v>582</v>
      </c>
      <c r="B526">
        <v>41</v>
      </c>
      <c r="C526" t="s">
        <v>27</v>
      </c>
      <c r="D526" t="s">
        <v>39</v>
      </c>
      <c r="E526" t="s">
        <v>40</v>
      </c>
      <c r="F526" t="s">
        <v>78</v>
      </c>
      <c r="G526">
        <v>98338</v>
      </c>
      <c r="H526">
        <v>8</v>
      </c>
      <c r="I526">
        <v>18</v>
      </c>
      <c r="J526">
        <v>4</v>
      </c>
      <c r="K526">
        <v>1</v>
      </c>
      <c r="L526">
        <v>3</v>
      </c>
      <c r="M526">
        <v>3</v>
      </c>
      <c r="N526" t="s">
        <v>31</v>
      </c>
      <c r="O526" t="s">
        <v>32</v>
      </c>
      <c r="P526">
        <v>27</v>
      </c>
      <c r="Q526">
        <v>48</v>
      </c>
      <c r="R526">
        <v>3</v>
      </c>
      <c r="S526" t="s">
        <v>31</v>
      </c>
      <c r="T526">
        <v>2</v>
      </c>
      <c r="U526" t="s">
        <v>31</v>
      </c>
      <c r="V526" s="1">
        <v>43646</v>
      </c>
    </row>
    <row r="527" spans="1:23" x14ac:dyDescent="0.35">
      <c r="A527" t="s">
        <v>583</v>
      </c>
      <c r="B527">
        <v>41</v>
      </c>
      <c r="C527" t="s">
        <v>27</v>
      </c>
      <c r="D527" t="s">
        <v>39</v>
      </c>
      <c r="E527" t="s">
        <v>40</v>
      </c>
      <c r="F527" t="s">
        <v>56</v>
      </c>
      <c r="G527">
        <v>123952</v>
      </c>
      <c r="H527">
        <v>12</v>
      </c>
      <c r="I527">
        <v>19</v>
      </c>
      <c r="J527">
        <v>5</v>
      </c>
      <c r="K527">
        <v>4</v>
      </c>
      <c r="L527">
        <v>1</v>
      </c>
      <c r="M527">
        <v>3</v>
      </c>
      <c r="N527" t="s">
        <v>31</v>
      </c>
      <c r="O527" t="s">
        <v>32</v>
      </c>
      <c r="P527">
        <v>2</v>
      </c>
      <c r="Q527">
        <v>35</v>
      </c>
      <c r="R527">
        <v>3</v>
      </c>
      <c r="S527" t="s">
        <v>33</v>
      </c>
      <c r="T527">
        <v>8</v>
      </c>
      <c r="U527" t="s">
        <v>33</v>
      </c>
      <c r="V527" s="1">
        <v>42901</v>
      </c>
      <c r="W527" s="1">
        <v>43898</v>
      </c>
    </row>
    <row r="528" spans="1:23" x14ac:dyDescent="0.35">
      <c r="A528" t="s">
        <v>584</v>
      </c>
      <c r="B528">
        <v>38</v>
      </c>
      <c r="C528" t="s">
        <v>44</v>
      </c>
      <c r="D528" t="s">
        <v>28</v>
      </c>
      <c r="E528" t="s">
        <v>66</v>
      </c>
      <c r="F528" t="s">
        <v>41</v>
      </c>
      <c r="G528">
        <v>64427</v>
      </c>
      <c r="H528">
        <v>5</v>
      </c>
      <c r="I528">
        <v>17</v>
      </c>
      <c r="J528">
        <v>2</v>
      </c>
      <c r="K528">
        <v>3</v>
      </c>
      <c r="L528">
        <v>3</v>
      </c>
      <c r="M528">
        <v>2</v>
      </c>
      <c r="N528" t="s">
        <v>31</v>
      </c>
      <c r="O528" t="s">
        <v>32</v>
      </c>
      <c r="P528">
        <v>25</v>
      </c>
      <c r="Q528">
        <v>18</v>
      </c>
      <c r="R528">
        <v>3</v>
      </c>
      <c r="S528" t="s">
        <v>33</v>
      </c>
      <c r="T528">
        <v>5</v>
      </c>
      <c r="U528" t="s">
        <v>31</v>
      </c>
      <c r="V528" s="1">
        <v>41613</v>
      </c>
    </row>
    <row r="529" spans="1:23" x14ac:dyDescent="0.35">
      <c r="A529" t="s">
        <v>585</v>
      </c>
      <c r="B529">
        <v>34</v>
      </c>
      <c r="C529" t="s">
        <v>27</v>
      </c>
      <c r="D529" t="s">
        <v>39</v>
      </c>
      <c r="E529" t="s">
        <v>40</v>
      </c>
      <c r="F529" t="s">
        <v>78</v>
      </c>
      <c r="G529">
        <v>68413</v>
      </c>
      <c r="H529">
        <v>5</v>
      </c>
      <c r="I529">
        <v>11</v>
      </c>
      <c r="J529">
        <v>2</v>
      </c>
      <c r="K529">
        <v>4</v>
      </c>
      <c r="L529">
        <v>3</v>
      </c>
      <c r="M529">
        <v>1</v>
      </c>
      <c r="N529" t="s">
        <v>33</v>
      </c>
      <c r="O529" t="s">
        <v>47</v>
      </c>
      <c r="P529">
        <v>5</v>
      </c>
      <c r="Q529">
        <v>52</v>
      </c>
      <c r="R529">
        <v>4</v>
      </c>
      <c r="S529" t="s">
        <v>33</v>
      </c>
      <c r="T529">
        <v>5</v>
      </c>
      <c r="U529" t="s">
        <v>31</v>
      </c>
      <c r="V529" s="1">
        <v>42195</v>
      </c>
    </row>
    <row r="530" spans="1:23" x14ac:dyDescent="0.35">
      <c r="A530" t="s">
        <v>586</v>
      </c>
      <c r="B530">
        <v>38</v>
      </c>
      <c r="C530" t="s">
        <v>44</v>
      </c>
      <c r="D530" t="s">
        <v>45</v>
      </c>
      <c r="E530" t="s">
        <v>63</v>
      </c>
      <c r="F530" t="s">
        <v>41</v>
      </c>
      <c r="G530">
        <v>127863</v>
      </c>
      <c r="H530">
        <v>13</v>
      </c>
      <c r="I530">
        <v>16</v>
      </c>
      <c r="J530">
        <v>5</v>
      </c>
      <c r="K530">
        <v>3</v>
      </c>
      <c r="L530">
        <v>1</v>
      </c>
      <c r="M530">
        <v>4</v>
      </c>
      <c r="N530" t="s">
        <v>31</v>
      </c>
      <c r="O530" t="s">
        <v>47</v>
      </c>
      <c r="P530">
        <v>9</v>
      </c>
      <c r="Q530">
        <v>36</v>
      </c>
      <c r="R530">
        <v>3</v>
      </c>
      <c r="S530" t="s">
        <v>33</v>
      </c>
      <c r="T530">
        <v>4</v>
      </c>
      <c r="U530" t="s">
        <v>31</v>
      </c>
      <c r="V530" s="1">
        <v>41698</v>
      </c>
    </row>
    <row r="531" spans="1:23" x14ac:dyDescent="0.35">
      <c r="A531" t="s">
        <v>587</v>
      </c>
      <c r="B531">
        <v>33</v>
      </c>
      <c r="C531" t="s">
        <v>44</v>
      </c>
      <c r="D531" t="s">
        <v>39</v>
      </c>
      <c r="E531" t="s">
        <v>40</v>
      </c>
      <c r="F531" t="s">
        <v>78</v>
      </c>
      <c r="G531">
        <v>42706</v>
      </c>
      <c r="H531">
        <v>1</v>
      </c>
      <c r="I531">
        <v>10</v>
      </c>
      <c r="J531">
        <v>1</v>
      </c>
      <c r="K531">
        <v>2</v>
      </c>
      <c r="L531">
        <v>3</v>
      </c>
      <c r="M531">
        <v>1</v>
      </c>
      <c r="N531" t="s">
        <v>31</v>
      </c>
      <c r="O531" t="s">
        <v>47</v>
      </c>
      <c r="P531">
        <v>20</v>
      </c>
      <c r="Q531">
        <v>24</v>
      </c>
      <c r="R531">
        <v>3</v>
      </c>
      <c r="S531" t="s">
        <v>31</v>
      </c>
      <c r="T531">
        <v>4</v>
      </c>
      <c r="U531" t="s">
        <v>33</v>
      </c>
      <c r="V531" s="1">
        <v>43726</v>
      </c>
      <c r="W531" s="1">
        <v>44449</v>
      </c>
    </row>
    <row r="532" spans="1:23" x14ac:dyDescent="0.35">
      <c r="A532" t="s">
        <v>588</v>
      </c>
      <c r="B532">
        <v>34</v>
      </c>
      <c r="C532" t="s">
        <v>27</v>
      </c>
      <c r="D532" t="s">
        <v>39</v>
      </c>
      <c r="E532" t="s">
        <v>59</v>
      </c>
      <c r="F532" t="s">
        <v>61</v>
      </c>
      <c r="G532">
        <v>85383</v>
      </c>
      <c r="H532">
        <v>6</v>
      </c>
      <c r="I532">
        <v>12</v>
      </c>
      <c r="J532">
        <v>3</v>
      </c>
      <c r="K532">
        <v>1</v>
      </c>
      <c r="L532">
        <v>3</v>
      </c>
      <c r="M532">
        <v>4</v>
      </c>
      <c r="N532" t="s">
        <v>33</v>
      </c>
      <c r="O532" t="s">
        <v>32</v>
      </c>
      <c r="P532">
        <v>7</v>
      </c>
      <c r="Q532">
        <v>37</v>
      </c>
      <c r="R532">
        <v>3</v>
      </c>
      <c r="S532" t="s">
        <v>33</v>
      </c>
      <c r="T532">
        <v>5</v>
      </c>
      <c r="U532" t="s">
        <v>31</v>
      </c>
      <c r="V532" s="1">
        <v>44445</v>
      </c>
    </row>
    <row r="533" spans="1:23" x14ac:dyDescent="0.35">
      <c r="A533" t="s">
        <v>589</v>
      </c>
      <c r="B533">
        <v>43</v>
      </c>
      <c r="C533" t="s">
        <v>27</v>
      </c>
      <c r="D533" t="s">
        <v>35</v>
      </c>
      <c r="E533" t="s">
        <v>36</v>
      </c>
      <c r="F533" t="s">
        <v>30</v>
      </c>
      <c r="G533">
        <v>120825</v>
      </c>
      <c r="H533">
        <v>9</v>
      </c>
      <c r="I533">
        <v>19</v>
      </c>
      <c r="J533">
        <v>5</v>
      </c>
      <c r="K533">
        <v>3</v>
      </c>
      <c r="L533">
        <v>2</v>
      </c>
      <c r="M533">
        <v>4</v>
      </c>
      <c r="N533" t="s">
        <v>31</v>
      </c>
      <c r="O533" t="s">
        <v>47</v>
      </c>
      <c r="P533">
        <v>28</v>
      </c>
      <c r="Q533">
        <v>37</v>
      </c>
      <c r="R533">
        <v>4</v>
      </c>
      <c r="S533" t="s">
        <v>31</v>
      </c>
      <c r="T533">
        <v>1</v>
      </c>
      <c r="U533" t="s">
        <v>31</v>
      </c>
      <c r="V533" s="1">
        <v>42643</v>
      </c>
    </row>
    <row r="534" spans="1:23" x14ac:dyDescent="0.35">
      <c r="A534" t="s">
        <v>590</v>
      </c>
      <c r="B534">
        <v>26</v>
      </c>
      <c r="C534" t="s">
        <v>44</v>
      </c>
      <c r="D534" t="s">
        <v>45</v>
      </c>
      <c r="E534" t="s">
        <v>63</v>
      </c>
      <c r="F534" t="s">
        <v>37</v>
      </c>
      <c r="G534">
        <v>45118</v>
      </c>
      <c r="H534">
        <v>1</v>
      </c>
      <c r="I534">
        <v>5</v>
      </c>
      <c r="J534">
        <v>1</v>
      </c>
      <c r="K534">
        <v>3</v>
      </c>
      <c r="L534">
        <v>1</v>
      </c>
      <c r="M534">
        <v>2</v>
      </c>
      <c r="N534" t="s">
        <v>31</v>
      </c>
      <c r="O534" t="s">
        <v>32</v>
      </c>
      <c r="P534">
        <v>14</v>
      </c>
      <c r="Q534">
        <v>23</v>
      </c>
      <c r="R534">
        <v>2</v>
      </c>
      <c r="S534" t="s">
        <v>31</v>
      </c>
      <c r="T534">
        <v>5</v>
      </c>
      <c r="U534" t="s">
        <v>33</v>
      </c>
      <c r="V534" s="1">
        <v>43172</v>
      </c>
      <c r="W534" s="1">
        <v>43561</v>
      </c>
    </row>
    <row r="535" spans="1:23" x14ac:dyDescent="0.35">
      <c r="A535" t="s">
        <v>591</v>
      </c>
      <c r="B535">
        <v>49</v>
      </c>
      <c r="C535" t="s">
        <v>44</v>
      </c>
      <c r="D535" t="s">
        <v>35</v>
      </c>
      <c r="E535" t="s">
        <v>36</v>
      </c>
      <c r="F535" t="s">
        <v>61</v>
      </c>
      <c r="G535">
        <v>80167</v>
      </c>
      <c r="H535">
        <v>6</v>
      </c>
      <c r="I535">
        <v>25</v>
      </c>
      <c r="J535">
        <v>3</v>
      </c>
      <c r="K535">
        <v>1</v>
      </c>
      <c r="L535">
        <v>2</v>
      </c>
      <c r="M535">
        <v>4</v>
      </c>
      <c r="N535" t="s">
        <v>31</v>
      </c>
      <c r="O535" t="s">
        <v>42</v>
      </c>
      <c r="P535">
        <v>13</v>
      </c>
      <c r="Q535">
        <v>33</v>
      </c>
      <c r="R535">
        <v>2</v>
      </c>
      <c r="S535" t="s">
        <v>31</v>
      </c>
      <c r="T535">
        <v>3</v>
      </c>
      <c r="U535" t="s">
        <v>31</v>
      </c>
      <c r="V535" s="1">
        <v>42708</v>
      </c>
    </row>
    <row r="536" spans="1:23" x14ac:dyDescent="0.35">
      <c r="A536" t="s">
        <v>592</v>
      </c>
      <c r="B536">
        <v>50</v>
      </c>
      <c r="C536" t="s">
        <v>44</v>
      </c>
      <c r="D536" t="s">
        <v>45</v>
      </c>
      <c r="E536" t="s">
        <v>63</v>
      </c>
      <c r="F536" t="s">
        <v>41</v>
      </c>
      <c r="G536">
        <v>128172</v>
      </c>
      <c r="H536">
        <v>15</v>
      </c>
      <c r="I536">
        <v>27</v>
      </c>
      <c r="J536">
        <v>5</v>
      </c>
      <c r="K536">
        <v>1</v>
      </c>
      <c r="L536">
        <v>4</v>
      </c>
      <c r="M536">
        <v>2</v>
      </c>
      <c r="N536" t="s">
        <v>31</v>
      </c>
      <c r="O536" t="s">
        <v>42</v>
      </c>
      <c r="P536">
        <v>16</v>
      </c>
      <c r="Q536">
        <v>10</v>
      </c>
      <c r="R536">
        <v>3</v>
      </c>
      <c r="S536" t="s">
        <v>33</v>
      </c>
      <c r="T536">
        <v>2</v>
      </c>
      <c r="U536" t="s">
        <v>31</v>
      </c>
      <c r="V536" s="1">
        <v>44410</v>
      </c>
    </row>
    <row r="537" spans="1:23" x14ac:dyDescent="0.35">
      <c r="A537" t="s">
        <v>593</v>
      </c>
      <c r="B537">
        <v>42</v>
      </c>
      <c r="C537" t="s">
        <v>27</v>
      </c>
      <c r="D537" t="s">
        <v>28</v>
      </c>
      <c r="E537" t="s">
        <v>29</v>
      </c>
      <c r="F537" t="s">
        <v>37</v>
      </c>
      <c r="G537">
        <v>83800</v>
      </c>
      <c r="H537">
        <v>6</v>
      </c>
      <c r="I537">
        <v>18</v>
      </c>
      <c r="J537">
        <v>3</v>
      </c>
      <c r="K537">
        <v>1</v>
      </c>
      <c r="L537">
        <v>1</v>
      </c>
      <c r="M537">
        <v>2</v>
      </c>
      <c r="N537" t="s">
        <v>31</v>
      </c>
      <c r="O537" t="s">
        <v>32</v>
      </c>
      <c r="P537">
        <v>22</v>
      </c>
      <c r="Q537">
        <v>14</v>
      </c>
      <c r="R537">
        <v>3</v>
      </c>
      <c r="S537" t="s">
        <v>31</v>
      </c>
      <c r="T537">
        <v>2</v>
      </c>
      <c r="U537" t="s">
        <v>31</v>
      </c>
      <c r="V537" s="1">
        <v>45276</v>
      </c>
    </row>
    <row r="538" spans="1:23" x14ac:dyDescent="0.35">
      <c r="A538" t="s">
        <v>594</v>
      </c>
      <c r="B538">
        <v>41</v>
      </c>
      <c r="C538" t="s">
        <v>44</v>
      </c>
      <c r="D538" t="s">
        <v>39</v>
      </c>
      <c r="E538" t="s">
        <v>59</v>
      </c>
      <c r="F538" t="s">
        <v>30</v>
      </c>
      <c r="G538">
        <v>45554</v>
      </c>
      <c r="H538">
        <v>2</v>
      </c>
      <c r="I538">
        <v>17</v>
      </c>
      <c r="J538">
        <v>1</v>
      </c>
      <c r="K538">
        <v>3</v>
      </c>
      <c r="L538">
        <v>1</v>
      </c>
      <c r="M538">
        <v>2</v>
      </c>
      <c r="N538" t="s">
        <v>33</v>
      </c>
      <c r="O538" t="s">
        <v>32</v>
      </c>
      <c r="P538">
        <v>21</v>
      </c>
      <c r="Q538">
        <v>19</v>
      </c>
      <c r="R538">
        <v>2</v>
      </c>
      <c r="S538" t="s">
        <v>31</v>
      </c>
      <c r="T538">
        <v>5</v>
      </c>
      <c r="U538" t="s">
        <v>31</v>
      </c>
      <c r="V538" s="1">
        <v>41226</v>
      </c>
    </row>
    <row r="539" spans="1:23" x14ac:dyDescent="0.35">
      <c r="A539" t="s">
        <v>595</v>
      </c>
      <c r="B539">
        <v>26</v>
      </c>
      <c r="C539" t="s">
        <v>27</v>
      </c>
      <c r="D539" t="s">
        <v>39</v>
      </c>
      <c r="E539" t="s">
        <v>74</v>
      </c>
      <c r="F539" t="s">
        <v>56</v>
      </c>
      <c r="G539">
        <v>58542</v>
      </c>
      <c r="H539">
        <v>2</v>
      </c>
      <c r="I539">
        <v>2</v>
      </c>
      <c r="J539">
        <v>2</v>
      </c>
      <c r="K539">
        <v>3</v>
      </c>
      <c r="L539">
        <v>3</v>
      </c>
      <c r="M539">
        <v>2</v>
      </c>
      <c r="N539" t="s">
        <v>33</v>
      </c>
      <c r="O539" t="s">
        <v>32</v>
      </c>
      <c r="P539">
        <v>3</v>
      </c>
      <c r="Q539">
        <v>11</v>
      </c>
      <c r="R539">
        <v>2</v>
      </c>
      <c r="S539" t="s">
        <v>31</v>
      </c>
      <c r="T539">
        <v>4</v>
      </c>
      <c r="U539" t="s">
        <v>33</v>
      </c>
      <c r="V539" s="1">
        <v>42155</v>
      </c>
      <c r="W539" s="1">
        <v>43003</v>
      </c>
    </row>
    <row r="540" spans="1:23" x14ac:dyDescent="0.35">
      <c r="A540" t="s">
        <v>596</v>
      </c>
      <c r="B540">
        <v>29</v>
      </c>
      <c r="C540" t="s">
        <v>44</v>
      </c>
      <c r="D540" t="s">
        <v>39</v>
      </c>
      <c r="E540" t="s">
        <v>59</v>
      </c>
      <c r="F540" t="s">
        <v>41</v>
      </c>
      <c r="G540">
        <v>56531</v>
      </c>
      <c r="H540">
        <v>2</v>
      </c>
      <c r="I540">
        <v>7</v>
      </c>
      <c r="J540">
        <v>2</v>
      </c>
      <c r="K540">
        <v>2</v>
      </c>
      <c r="L540">
        <v>1</v>
      </c>
      <c r="M540">
        <v>4</v>
      </c>
      <c r="N540" t="s">
        <v>31</v>
      </c>
      <c r="O540" t="s">
        <v>32</v>
      </c>
      <c r="P540">
        <v>13</v>
      </c>
      <c r="Q540">
        <v>50</v>
      </c>
      <c r="R540">
        <v>3</v>
      </c>
      <c r="S540" t="s">
        <v>31</v>
      </c>
      <c r="T540">
        <v>3</v>
      </c>
      <c r="U540" t="s">
        <v>33</v>
      </c>
      <c r="V540" s="1">
        <v>41850</v>
      </c>
      <c r="W540" s="1">
        <v>42477</v>
      </c>
    </row>
    <row r="541" spans="1:23" x14ac:dyDescent="0.35">
      <c r="A541" t="s">
        <v>597</v>
      </c>
      <c r="B541">
        <v>35</v>
      </c>
      <c r="C541" t="s">
        <v>27</v>
      </c>
      <c r="D541" t="s">
        <v>45</v>
      </c>
      <c r="E541" t="s">
        <v>63</v>
      </c>
      <c r="F541" t="s">
        <v>78</v>
      </c>
      <c r="G541">
        <v>77001</v>
      </c>
      <c r="H541">
        <v>3</v>
      </c>
      <c r="I541">
        <v>12</v>
      </c>
      <c r="J541">
        <v>3</v>
      </c>
      <c r="K541">
        <v>4</v>
      </c>
      <c r="L541">
        <v>1</v>
      </c>
      <c r="M541">
        <v>4</v>
      </c>
      <c r="N541" t="s">
        <v>33</v>
      </c>
      <c r="O541" t="s">
        <v>32</v>
      </c>
      <c r="P541">
        <v>20</v>
      </c>
      <c r="Q541">
        <v>25</v>
      </c>
      <c r="R541">
        <v>4</v>
      </c>
      <c r="S541" t="s">
        <v>31</v>
      </c>
      <c r="T541">
        <v>5</v>
      </c>
      <c r="U541" t="s">
        <v>31</v>
      </c>
      <c r="V541" s="1">
        <v>43700</v>
      </c>
    </row>
    <row r="542" spans="1:23" x14ac:dyDescent="0.35">
      <c r="A542" t="s">
        <v>598</v>
      </c>
      <c r="B542">
        <v>26</v>
      </c>
      <c r="C542" t="s">
        <v>27</v>
      </c>
      <c r="D542" t="s">
        <v>49</v>
      </c>
      <c r="E542" t="s">
        <v>50</v>
      </c>
      <c r="F542" t="s">
        <v>61</v>
      </c>
      <c r="G542">
        <v>59298</v>
      </c>
      <c r="H542">
        <v>3</v>
      </c>
      <c r="I542">
        <v>4</v>
      </c>
      <c r="J542">
        <v>2</v>
      </c>
      <c r="K542">
        <v>4</v>
      </c>
      <c r="L542">
        <v>2</v>
      </c>
      <c r="M542">
        <v>2</v>
      </c>
      <c r="N542" t="s">
        <v>33</v>
      </c>
      <c r="O542" t="s">
        <v>32</v>
      </c>
      <c r="P542">
        <v>10</v>
      </c>
      <c r="Q542">
        <v>37</v>
      </c>
      <c r="R542">
        <v>3</v>
      </c>
      <c r="S542" t="s">
        <v>31</v>
      </c>
      <c r="T542">
        <v>6</v>
      </c>
      <c r="U542" t="s">
        <v>33</v>
      </c>
      <c r="V542" s="1">
        <v>44115</v>
      </c>
      <c r="W542" s="1">
        <v>45058</v>
      </c>
    </row>
    <row r="543" spans="1:23" x14ac:dyDescent="0.35">
      <c r="A543" t="s">
        <v>599</v>
      </c>
      <c r="B543">
        <v>55</v>
      </c>
      <c r="C543" t="s">
        <v>44</v>
      </c>
      <c r="D543" t="s">
        <v>28</v>
      </c>
      <c r="E543" t="s">
        <v>29</v>
      </c>
      <c r="F543" t="s">
        <v>37</v>
      </c>
      <c r="G543">
        <v>172053</v>
      </c>
      <c r="H543">
        <v>34</v>
      </c>
      <c r="I543">
        <v>34</v>
      </c>
      <c r="J543">
        <v>5</v>
      </c>
      <c r="K543">
        <v>4</v>
      </c>
      <c r="L543">
        <v>1</v>
      </c>
      <c r="M543">
        <v>3</v>
      </c>
      <c r="N543" t="s">
        <v>31</v>
      </c>
      <c r="O543" t="s">
        <v>32</v>
      </c>
      <c r="P543">
        <v>20</v>
      </c>
      <c r="Q543">
        <v>33</v>
      </c>
      <c r="R543">
        <v>3</v>
      </c>
      <c r="S543" t="s">
        <v>31</v>
      </c>
      <c r="T543">
        <v>5</v>
      </c>
      <c r="U543" t="s">
        <v>31</v>
      </c>
      <c r="V543" s="1">
        <v>42879</v>
      </c>
    </row>
    <row r="544" spans="1:23" x14ac:dyDescent="0.35">
      <c r="A544" t="s">
        <v>600</v>
      </c>
      <c r="B544">
        <v>45</v>
      </c>
      <c r="C544" t="s">
        <v>44</v>
      </c>
      <c r="D544" t="s">
        <v>35</v>
      </c>
      <c r="E544" t="s">
        <v>36</v>
      </c>
      <c r="F544" t="s">
        <v>61</v>
      </c>
      <c r="G544">
        <v>136190</v>
      </c>
      <c r="H544">
        <v>17</v>
      </c>
      <c r="I544">
        <v>23</v>
      </c>
      <c r="J544">
        <v>5</v>
      </c>
      <c r="K544">
        <v>1</v>
      </c>
      <c r="L544">
        <v>3</v>
      </c>
      <c r="M544">
        <v>4</v>
      </c>
      <c r="N544" t="s">
        <v>31</v>
      </c>
      <c r="O544" t="s">
        <v>42</v>
      </c>
      <c r="P544">
        <v>4</v>
      </c>
      <c r="Q544">
        <v>47</v>
      </c>
      <c r="R544">
        <v>3</v>
      </c>
      <c r="S544" t="s">
        <v>31</v>
      </c>
      <c r="T544">
        <v>4</v>
      </c>
      <c r="U544" t="s">
        <v>31</v>
      </c>
      <c r="V544" s="1">
        <v>44948</v>
      </c>
    </row>
    <row r="545" spans="1:23" x14ac:dyDescent="0.35">
      <c r="A545" t="s">
        <v>601</v>
      </c>
      <c r="B545">
        <v>46</v>
      </c>
      <c r="C545" t="s">
        <v>44</v>
      </c>
      <c r="D545" t="s">
        <v>39</v>
      </c>
      <c r="E545" t="s">
        <v>40</v>
      </c>
      <c r="F545" t="s">
        <v>41</v>
      </c>
      <c r="G545">
        <v>135294</v>
      </c>
      <c r="H545">
        <v>17</v>
      </c>
      <c r="I545">
        <v>22</v>
      </c>
      <c r="J545">
        <v>5</v>
      </c>
      <c r="K545">
        <v>4</v>
      </c>
      <c r="L545">
        <v>2</v>
      </c>
      <c r="M545">
        <v>4</v>
      </c>
      <c r="N545" t="s">
        <v>31</v>
      </c>
      <c r="O545" t="s">
        <v>32</v>
      </c>
      <c r="P545">
        <v>18</v>
      </c>
      <c r="Q545">
        <v>40</v>
      </c>
      <c r="R545">
        <v>3</v>
      </c>
      <c r="S545" t="s">
        <v>31</v>
      </c>
      <c r="T545">
        <v>8</v>
      </c>
      <c r="U545" t="s">
        <v>31</v>
      </c>
      <c r="V545" s="1">
        <v>41001</v>
      </c>
    </row>
    <row r="546" spans="1:23" x14ac:dyDescent="0.35">
      <c r="A546" t="s">
        <v>602</v>
      </c>
      <c r="B546">
        <v>28</v>
      </c>
      <c r="C546" t="s">
        <v>27</v>
      </c>
      <c r="D546" t="s">
        <v>45</v>
      </c>
      <c r="E546" t="s">
        <v>63</v>
      </c>
      <c r="F546" t="s">
        <v>30</v>
      </c>
      <c r="G546">
        <v>82476</v>
      </c>
      <c r="H546">
        <v>4</v>
      </c>
      <c r="I546">
        <v>4</v>
      </c>
      <c r="J546">
        <v>3</v>
      </c>
      <c r="K546">
        <v>2</v>
      </c>
      <c r="L546">
        <v>1</v>
      </c>
      <c r="M546">
        <v>3</v>
      </c>
      <c r="N546" t="s">
        <v>31</v>
      </c>
      <c r="O546" t="s">
        <v>47</v>
      </c>
      <c r="P546">
        <v>11</v>
      </c>
      <c r="Q546">
        <v>59</v>
      </c>
      <c r="R546">
        <v>4</v>
      </c>
      <c r="S546" t="s">
        <v>31</v>
      </c>
      <c r="T546">
        <v>6</v>
      </c>
      <c r="U546" t="s">
        <v>31</v>
      </c>
      <c r="V546" s="1">
        <v>41863</v>
      </c>
    </row>
    <row r="547" spans="1:23" x14ac:dyDescent="0.35">
      <c r="A547" t="s">
        <v>603</v>
      </c>
      <c r="B547">
        <v>26</v>
      </c>
      <c r="C547" t="s">
        <v>44</v>
      </c>
      <c r="D547" t="s">
        <v>45</v>
      </c>
      <c r="E547" t="s">
        <v>63</v>
      </c>
      <c r="F547" t="s">
        <v>41</v>
      </c>
      <c r="G547">
        <v>40266</v>
      </c>
      <c r="H547">
        <v>1</v>
      </c>
      <c r="I547">
        <v>4</v>
      </c>
      <c r="J547">
        <v>1</v>
      </c>
      <c r="K547">
        <v>1</v>
      </c>
      <c r="L547">
        <v>4</v>
      </c>
      <c r="M547">
        <v>2</v>
      </c>
      <c r="N547" t="s">
        <v>31</v>
      </c>
      <c r="O547" t="s">
        <v>32</v>
      </c>
      <c r="P547">
        <v>26</v>
      </c>
      <c r="Q547">
        <v>59</v>
      </c>
      <c r="R547">
        <v>3</v>
      </c>
      <c r="S547" t="s">
        <v>31</v>
      </c>
      <c r="T547">
        <v>5</v>
      </c>
      <c r="U547" t="s">
        <v>31</v>
      </c>
      <c r="V547" s="1">
        <v>44588</v>
      </c>
    </row>
    <row r="548" spans="1:23" x14ac:dyDescent="0.35">
      <c r="A548" t="s">
        <v>604</v>
      </c>
      <c r="B548">
        <v>57</v>
      </c>
      <c r="C548" t="s">
        <v>27</v>
      </c>
      <c r="D548" t="s">
        <v>39</v>
      </c>
      <c r="E548" t="s">
        <v>59</v>
      </c>
      <c r="F548" t="s">
        <v>56</v>
      </c>
      <c r="G548">
        <v>141939</v>
      </c>
      <c r="H548">
        <v>20</v>
      </c>
      <c r="I548">
        <v>36</v>
      </c>
      <c r="J548">
        <v>5</v>
      </c>
      <c r="K548">
        <v>1</v>
      </c>
      <c r="L548">
        <v>2</v>
      </c>
      <c r="M548">
        <v>2</v>
      </c>
      <c r="N548" t="s">
        <v>31</v>
      </c>
      <c r="O548" t="s">
        <v>32</v>
      </c>
      <c r="P548">
        <v>26</v>
      </c>
      <c r="Q548">
        <v>34</v>
      </c>
      <c r="R548">
        <v>3</v>
      </c>
      <c r="S548" t="s">
        <v>33</v>
      </c>
      <c r="T548">
        <v>9</v>
      </c>
      <c r="U548" t="s">
        <v>31</v>
      </c>
      <c r="V548" s="1">
        <v>42269</v>
      </c>
    </row>
    <row r="549" spans="1:23" x14ac:dyDescent="0.35">
      <c r="A549" t="s">
        <v>605</v>
      </c>
      <c r="B549">
        <v>40</v>
      </c>
      <c r="C549" t="s">
        <v>27</v>
      </c>
      <c r="D549" t="s">
        <v>49</v>
      </c>
      <c r="E549" t="s">
        <v>50</v>
      </c>
      <c r="F549" t="s">
        <v>30</v>
      </c>
      <c r="G549">
        <v>56386</v>
      </c>
      <c r="H549">
        <v>2</v>
      </c>
      <c r="I549">
        <v>17</v>
      </c>
      <c r="J549">
        <v>2</v>
      </c>
      <c r="K549">
        <v>2</v>
      </c>
      <c r="L549">
        <v>1</v>
      </c>
      <c r="M549">
        <v>3</v>
      </c>
      <c r="N549" t="s">
        <v>31</v>
      </c>
      <c r="O549" t="s">
        <v>47</v>
      </c>
      <c r="P549">
        <v>15</v>
      </c>
      <c r="Q549">
        <v>48</v>
      </c>
      <c r="R549">
        <v>3</v>
      </c>
      <c r="S549" t="s">
        <v>31</v>
      </c>
      <c r="T549">
        <v>7</v>
      </c>
      <c r="U549" t="s">
        <v>33</v>
      </c>
      <c r="V549" s="1">
        <v>43208</v>
      </c>
      <c r="W549" s="1">
        <v>43648</v>
      </c>
    </row>
    <row r="550" spans="1:23" x14ac:dyDescent="0.35">
      <c r="A550" t="s">
        <v>606</v>
      </c>
      <c r="B550">
        <v>23</v>
      </c>
      <c r="C550" t="s">
        <v>44</v>
      </c>
      <c r="D550" t="s">
        <v>35</v>
      </c>
      <c r="E550" t="s">
        <v>36</v>
      </c>
      <c r="F550" t="s">
        <v>56</v>
      </c>
      <c r="G550">
        <v>53598</v>
      </c>
      <c r="H550">
        <v>0</v>
      </c>
      <c r="I550">
        <v>1</v>
      </c>
      <c r="J550">
        <v>2</v>
      </c>
      <c r="K550">
        <v>1</v>
      </c>
      <c r="L550">
        <v>3</v>
      </c>
      <c r="M550">
        <v>3</v>
      </c>
      <c r="N550" t="s">
        <v>31</v>
      </c>
      <c r="O550" t="s">
        <v>42</v>
      </c>
      <c r="P550">
        <v>28</v>
      </c>
      <c r="Q550">
        <v>23</v>
      </c>
      <c r="R550">
        <v>3</v>
      </c>
      <c r="S550" t="s">
        <v>31</v>
      </c>
      <c r="T550">
        <v>10</v>
      </c>
      <c r="U550" t="s">
        <v>31</v>
      </c>
      <c r="V550" s="1">
        <v>43291</v>
      </c>
    </row>
    <row r="551" spans="1:23" x14ac:dyDescent="0.35">
      <c r="A551" t="s">
        <v>607</v>
      </c>
      <c r="B551">
        <v>53</v>
      </c>
      <c r="C551" t="s">
        <v>27</v>
      </c>
      <c r="D551" t="s">
        <v>39</v>
      </c>
      <c r="E551" t="s">
        <v>74</v>
      </c>
      <c r="F551" t="s">
        <v>78</v>
      </c>
      <c r="G551">
        <v>40281</v>
      </c>
      <c r="H551">
        <v>0</v>
      </c>
      <c r="I551">
        <v>29</v>
      </c>
      <c r="J551">
        <v>1</v>
      </c>
      <c r="K551">
        <v>4</v>
      </c>
      <c r="L551">
        <v>3</v>
      </c>
      <c r="M551">
        <v>2</v>
      </c>
      <c r="N551" t="s">
        <v>31</v>
      </c>
      <c r="O551" t="s">
        <v>47</v>
      </c>
      <c r="P551">
        <v>5</v>
      </c>
      <c r="Q551">
        <v>43</v>
      </c>
      <c r="R551">
        <v>3</v>
      </c>
      <c r="S551" t="s">
        <v>31</v>
      </c>
      <c r="T551">
        <v>5</v>
      </c>
      <c r="U551" t="s">
        <v>31</v>
      </c>
      <c r="V551" s="1">
        <v>40961</v>
      </c>
    </row>
    <row r="552" spans="1:23" x14ac:dyDescent="0.35">
      <c r="A552" t="s">
        <v>608</v>
      </c>
      <c r="B552">
        <v>42</v>
      </c>
      <c r="C552" t="s">
        <v>27</v>
      </c>
      <c r="D552" t="s">
        <v>39</v>
      </c>
      <c r="E552" t="s">
        <v>40</v>
      </c>
      <c r="F552" t="s">
        <v>61</v>
      </c>
      <c r="G552">
        <v>79226</v>
      </c>
      <c r="H552">
        <v>3</v>
      </c>
      <c r="I552">
        <v>18</v>
      </c>
      <c r="J552">
        <v>3</v>
      </c>
      <c r="K552">
        <v>2</v>
      </c>
      <c r="L552">
        <v>2</v>
      </c>
      <c r="M552">
        <v>2</v>
      </c>
      <c r="N552" t="s">
        <v>31</v>
      </c>
      <c r="O552" t="s">
        <v>32</v>
      </c>
      <c r="P552">
        <v>9</v>
      </c>
      <c r="Q552">
        <v>16</v>
      </c>
      <c r="R552">
        <v>3</v>
      </c>
      <c r="S552" t="s">
        <v>31</v>
      </c>
      <c r="T552">
        <v>6</v>
      </c>
      <c r="U552" t="s">
        <v>31</v>
      </c>
      <c r="V552" s="1">
        <v>44239</v>
      </c>
    </row>
    <row r="553" spans="1:23" x14ac:dyDescent="0.35">
      <c r="A553" t="s">
        <v>609</v>
      </c>
      <c r="B553">
        <v>55</v>
      </c>
      <c r="C553" t="s">
        <v>27</v>
      </c>
      <c r="D553" t="s">
        <v>35</v>
      </c>
      <c r="E553" t="s">
        <v>36</v>
      </c>
      <c r="F553" t="s">
        <v>61</v>
      </c>
      <c r="G553">
        <v>153813</v>
      </c>
      <c r="H553">
        <v>28</v>
      </c>
      <c r="I553">
        <v>31</v>
      </c>
      <c r="J553">
        <v>5</v>
      </c>
      <c r="K553">
        <v>3</v>
      </c>
      <c r="L553">
        <v>3</v>
      </c>
      <c r="M553">
        <v>3</v>
      </c>
      <c r="N553" t="s">
        <v>31</v>
      </c>
      <c r="O553" t="s">
        <v>42</v>
      </c>
      <c r="P553">
        <v>19</v>
      </c>
      <c r="Q553">
        <v>13</v>
      </c>
      <c r="R553">
        <v>3</v>
      </c>
      <c r="S553" t="s">
        <v>31</v>
      </c>
      <c r="T553">
        <v>7</v>
      </c>
      <c r="U553" t="s">
        <v>31</v>
      </c>
      <c r="V553" s="1">
        <v>43847</v>
      </c>
    </row>
    <row r="554" spans="1:23" x14ac:dyDescent="0.35">
      <c r="A554" t="s">
        <v>610</v>
      </c>
      <c r="B554">
        <v>31</v>
      </c>
      <c r="C554" t="s">
        <v>44</v>
      </c>
      <c r="D554" t="s">
        <v>49</v>
      </c>
      <c r="E554" t="s">
        <v>50</v>
      </c>
      <c r="F554" t="s">
        <v>41</v>
      </c>
      <c r="G554">
        <v>100920</v>
      </c>
      <c r="H554">
        <v>7</v>
      </c>
      <c r="I554">
        <v>10</v>
      </c>
      <c r="J554">
        <v>4</v>
      </c>
      <c r="K554">
        <v>4</v>
      </c>
      <c r="L554">
        <v>4</v>
      </c>
      <c r="M554">
        <v>4</v>
      </c>
      <c r="N554" t="s">
        <v>33</v>
      </c>
      <c r="O554" t="s">
        <v>47</v>
      </c>
      <c r="P554">
        <v>12</v>
      </c>
      <c r="Q554">
        <v>30</v>
      </c>
      <c r="R554">
        <v>4</v>
      </c>
      <c r="S554" t="s">
        <v>33</v>
      </c>
      <c r="T554">
        <v>3</v>
      </c>
      <c r="U554" t="s">
        <v>31</v>
      </c>
      <c r="V554" s="1">
        <v>41298</v>
      </c>
    </row>
    <row r="555" spans="1:23" x14ac:dyDescent="0.35">
      <c r="A555" t="s">
        <v>611</v>
      </c>
      <c r="B555">
        <v>22</v>
      </c>
      <c r="C555" t="s">
        <v>44</v>
      </c>
      <c r="D555" t="s">
        <v>49</v>
      </c>
      <c r="E555" t="s">
        <v>50</v>
      </c>
      <c r="F555" t="s">
        <v>30</v>
      </c>
      <c r="G555">
        <v>54190</v>
      </c>
      <c r="H555">
        <v>1</v>
      </c>
      <c r="I555">
        <v>1</v>
      </c>
      <c r="J555">
        <v>2</v>
      </c>
      <c r="K555">
        <v>4</v>
      </c>
      <c r="L555">
        <v>1</v>
      </c>
      <c r="M555">
        <v>2</v>
      </c>
      <c r="N555" t="s">
        <v>31</v>
      </c>
      <c r="O555" t="s">
        <v>32</v>
      </c>
      <c r="P555">
        <v>23</v>
      </c>
      <c r="Q555">
        <v>15</v>
      </c>
      <c r="R555">
        <v>3</v>
      </c>
      <c r="S555" t="s">
        <v>31</v>
      </c>
      <c r="T555">
        <v>3</v>
      </c>
      <c r="U555" t="s">
        <v>31</v>
      </c>
      <c r="V555" s="1">
        <v>41454</v>
      </c>
    </row>
    <row r="556" spans="1:23" x14ac:dyDescent="0.35">
      <c r="A556" t="s">
        <v>612</v>
      </c>
      <c r="B556">
        <v>43</v>
      </c>
      <c r="C556" t="s">
        <v>44</v>
      </c>
      <c r="D556" t="s">
        <v>35</v>
      </c>
      <c r="E556" t="s">
        <v>36</v>
      </c>
      <c r="F556" t="s">
        <v>41</v>
      </c>
      <c r="G556">
        <v>104625</v>
      </c>
      <c r="H556">
        <v>11</v>
      </c>
      <c r="I556">
        <v>20</v>
      </c>
      <c r="J556">
        <v>4</v>
      </c>
      <c r="K556">
        <v>3</v>
      </c>
      <c r="L556">
        <v>4</v>
      </c>
      <c r="M556">
        <v>4</v>
      </c>
      <c r="N556" t="s">
        <v>31</v>
      </c>
      <c r="O556" t="s">
        <v>32</v>
      </c>
      <c r="P556">
        <v>13</v>
      </c>
      <c r="Q556">
        <v>13</v>
      </c>
      <c r="R556">
        <v>3</v>
      </c>
      <c r="S556" t="s">
        <v>33</v>
      </c>
      <c r="T556">
        <v>6</v>
      </c>
      <c r="U556" t="s">
        <v>31</v>
      </c>
      <c r="V556" s="1">
        <v>42395</v>
      </c>
    </row>
    <row r="557" spans="1:23" x14ac:dyDescent="0.35">
      <c r="A557" t="s">
        <v>613</v>
      </c>
      <c r="B557">
        <v>36</v>
      </c>
      <c r="C557" t="s">
        <v>44</v>
      </c>
      <c r="D557" t="s">
        <v>52</v>
      </c>
      <c r="E557" t="s">
        <v>55</v>
      </c>
      <c r="F557" t="s">
        <v>56</v>
      </c>
      <c r="G557">
        <v>116532</v>
      </c>
      <c r="H557">
        <v>9</v>
      </c>
      <c r="I557">
        <v>14</v>
      </c>
      <c r="J557">
        <v>5</v>
      </c>
      <c r="K557">
        <v>3</v>
      </c>
      <c r="L557">
        <v>3</v>
      </c>
      <c r="M557">
        <v>2</v>
      </c>
      <c r="N557" t="s">
        <v>33</v>
      </c>
      <c r="O557" t="s">
        <v>32</v>
      </c>
      <c r="P557">
        <v>9</v>
      </c>
      <c r="Q557">
        <v>45</v>
      </c>
      <c r="R557">
        <v>3</v>
      </c>
      <c r="S557" t="s">
        <v>33</v>
      </c>
      <c r="T557">
        <v>5</v>
      </c>
      <c r="U557" t="s">
        <v>31</v>
      </c>
      <c r="V557" s="1">
        <v>43402</v>
      </c>
    </row>
    <row r="558" spans="1:23" x14ac:dyDescent="0.35">
      <c r="A558" t="s">
        <v>614</v>
      </c>
      <c r="B558">
        <v>25</v>
      </c>
      <c r="C558" t="s">
        <v>44</v>
      </c>
      <c r="D558" t="s">
        <v>35</v>
      </c>
      <c r="E558" t="s">
        <v>85</v>
      </c>
      <c r="F558" t="s">
        <v>56</v>
      </c>
      <c r="G558">
        <v>38284</v>
      </c>
      <c r="H558">
        <v>0</v>
      </c>
      <c r="I558">
        <v>2</v>
      </c>
      <c r="J558">
        <v>1</v>
      </c>
      <c r="K558">
        <v>2</v>
      </c>
      <c r="L558">
        <v>4</v>
      </c>
      <c r="M558">
        <v>3</v>
      </c>
      <c r="N558" t="s">
        <v>31</v>
      </c>
      <c r="O558" t="s">
        <v>42</v>
      </c>
      <c r="P558">
        <v>1</v>
      </c>
      <c r="Q558">
        <v>31</v>
      </c>
      <c r="R558">
        <v>3</v>
      </c>
      <c r="S558" t="s">
        <v>31</v>
      </c>
      <c r="T558">
        <v>2</v>
      </c>
      <c r="U558" t="s">
        <v>31</v>
      </c>
      <c r="V558" s="1">
        <v>42827</v>
      </c>
    </row>
    <row r="559" spans="1:23" x14ac:dyDescent="0.35">
      <c r="A559" t="s">
        <v>615</v>
      </c>
      <c r="B559">
        <v>49</v>
      </c>
      <c r="C559" t="s">
        <v>27</v>
      </c>
      <c r="D559" t="s">
        <v>28</v>
      </c>
      <c r="E559" t="s">
        <v>66</v>
      </c>
      <c r="F559" t="s">
        <v>41</v>
      </c>
      <c r="G559">
        <v>45580</v>
      </c>
      <c r="H559">
        <v>1</v>
      </c>
      <c r="I559">
        <v>27</v>
      </c>
      <c r="J559">
        <v>1</v>
      </c>
      <c r="K559">
        <v>4</v>
      </c>
      <c r="L559">
        <v>3</v>
      </c>
      <c r="M559">
        <v>1</v>
      </c>
      <c r="N559" t="s">
        <v>31</v>
      </c>
      <c r="O559" t="s">
        <v>32</v>
      </c>
      <c r="P559">
        <v>8</v>
      </c>
      <c r="Q559">
        <v>40</v>
      </c>
      <c r="R559">
        <v>3</v>
      </c>
      <c r="S559" t="s">
        <v>31</v>
      </c>
      <c r="T559">
        <v>3</v>
      </c>
      <c r="U559" t="s">
        <v>31</v>
      </c>
      <c r="V559" s="1">
        <v>42374</v>
      </c>
    </row>
    <row r="560" spans="1:23" x14ac:dyDescent="0.35">
      <c r="A560" t="s">
        <v>616</v>
      </c>
      <c r="B560">
        <v>29</v>
      </c>
      <c r="C560" t="s">
        <v>44</v>
      </c>
      <c r="D560" t="s">
        <v>28</v>
      </c>
      <c r="E560" t="s">
        <v>29</v>
      </c>
      <c r="F560" t="s">
        <v>30</v>
      </c>
      <c r="G560">
        <v>37742</v>
      </c>
      <c r="H560">
        <v>0</v>
      </c>
      <c r="I560">
        <v>6</v>
      </c>
      <c r="J560">
        <v>1</v>
      </c>
      <c r="K560">
        <v>1</v>
      </c>
      <c r="L560">
        <v>3</v>
      </c>
      <c r="M560">
        <v>1</v>
      </c>
      <c r="N560" t="s">
        <v>31</v>
      </c>
      <c r="O560" t="s">
        <v>32</v>
      </c>
      <c r="P560">
        <v>11</v>
      </c>
      <c r="Q560">
        <v>31</v>
      </c>
      <c r="R560">
        <v>3</v>
      </c>
      <c r="S560" t="s">
        <v>31</v>
      </c>
      <c r="T560">
        <v>4</v>
      </c>
      <c r="U560" t="s">
        <v>31</v>
      </c>
      <c r="V560" s="1">
        <v>41161</v>
      </c>
    </row>
    <row r="561" spans="1:23" x14ac:dyDescent="0.35">
      <c r="A561" t="s">
        <v>617</v>
      </c>
      <c r="B561">
        <v>59</v>
      </c>
      <c r="C561" t="s">
        <v>27</v>
      </c>
      <c r="D561" t="s">
        <v>28</v>
      </c>
      <c r="E561" t="s">
        <v>29</v>
      </c>
      <c r="F561" t="s">
        <v>56</v>
      </c>
      <c r="G561">
        <v>77304</v>
      </c>
      <c r="H561">
        <v>5</v>
      </c>
      <c r="I561">
        <v>37</v>
      </c>
      <c r="J561">
        <v>3</v>
      </c>
      <c r="K561">
        <v>3</v>
      </c>
      <c r="L561">
        <v>3</v>
      </c>
      <c r="M561">
        <v>1</v>
      </c>
      <c r="N561" t="s">
        <v>31</v>
      </c>
      <c r="O561" t="s">
        <v>32</v>
      </c>
      <c r="P561">
        <v>21</v>
      </c>
      <c r="Q561">
        <v>10</v>
      </c>
      <c r="R561">
        <v>4</v>
      </c>
      <c r="S561" t="s">
        <v>31</v>
      </c>
      <c r="T561">
        <v>4</v>
      </c>
      <c r="U561" t="s">
        <v>31</v>
      </c>
      <c r="V561" s="1">
        <v>43803</v>
      </c>
    </row>
    <row r="562" spans="1:23" x14ac:dyDescent="0.35">
      <c r="A562" t="s">
        <v>618</v>
      </c>
      <c r="B562">
        <v>57</v>
      </c>
      <c r="C562" t="s">
        <v>44</v>
      </c>
      <c r="D562" t="s">
        <v>49</v>
      </c>
      <c r="E562" t="s">
        <v>50</v>
      </c>
      <c r="F562" t="s">
        <v>56</v>
      </c>
      <c r="G562">
        <v>161382</v>
      </c>
      <c r="H562">
        <v>29</v>
      </c>
      <c r="I562">
        <v>36</v>
      </c>
      <c r="J562">
        <v>5</v>
      </c>
      <c r="K562">
        <v>1</v>
      </c>
      <c r="L562">
        <v>2</v>
      </c>
      <c r="M562">
        <v>4</v>
      </c>
      <c r="N562" t="s">
        <v>33</v>
      </c>
      <c r="O562" t="s">
        <v>32</v>
      </c>
      <c r="P562">
        <v>13</v>
      </c>
      <c r="Q562">
        <v>44</v>
      </c>
      <c r="R562">
        <v>3</v>
      </c>
      <c r="S562" t="s">
        <v>33</v>
      </c>
      <c r="T562">
        <v>5</v>
      </c>
      <c r="U562" t="s">
        <v>33</v>
      </c>
      <c r="V562" s="1">
        <v>43110</v>
      </c>
      <c r="W562" s="1">
        <v>43779</v>
      </c>
    </row>
    <row r="563" spans="1:23" x14ac:dyDescent="0.35">
      <c r="A563" t="s">
        <v>619</v>
      </c>
      <c r="B563">
        <v>41</v>
      </c>
      <c r="C563" t="s">
        <v>27</v>
      </c>
      <c r="D563" t="s">
        <v>52</v>
      </c>
      <c r="E563" t="s">
        <v>55</v>
      </c>
      <c r="F563" t="s">
        <v>37</v>
      </c>
      <c r="G563">
        <v>55908</v>
      </c>
      <c r="H563">
        <v>1</v>
      </c>
      <c r="I563">
        <v>19</v>
      </c>
      <c r="J563">
        <v>2</v>
      </c>
      <c r="K563">
        <v>3</v>
      </c>
      <c r="L563">
        <v>2</v>
      </c>
      <c r="M563">
        <v>3</v>
      </c>
      <c r="N563" t="s">
        <v>31</v>
      </c>
      <c r="O563" t="s">
        <v>42</v>
      </c>
      <c r="P563">
        <v>7</v>
      </c>
      <c r="Q563">
        <v>50</v>
      </c>
      <c r="R563">
        <v>3</v>
      </c>
      <c r="S563" t="s">
        <v>31</v>
      </c>
      <c r="T563">
        <v>3</v>
      </c>
      <c r="U563" t="s">
        <v>31</v>
      </c>
      <c r="V563" s="1">
        <v>42074</v>
      </c>
    </row>
    <row r="564" spans="1:23" x14ac:dyDescent="0.35">
      <c r="A564" t="s">
        <v>620</v>
      </c>
      <c r="B564">
        <v>41</v>
      </c>
      <c r="C564" t="s">
        <v>27</v>
      </c>
      <c r="D564" t="s">
        <v>35</v>
      </c>
      <c r="E564" t="s">
        <v>85</v>
      </c>
      <c r="F564" t="s">
        <v>41</v>
      </c>
      <c r="G564">
        <v>129742</v>
      </c>
      <c r="H564">
        <v>13</v>
      </c>
      <c r="I564">
        <v>18</v>
      </c>
      <c r="J564">
        <v>5</v>
      </c>
      <c r="K564">
        <v>4</v>
      </c>
      <c r="L564">
        <v>4</v>
      </c>
      <c r="M564">
        <v>3</v>
      </c>
      <c r="N564" t="s">
        <v>33</v>
      </c>
      <c r="O564" t="s">
        <v>32</v>
      </c>
      <c r="P564">
        <v>9</v>
      </c>
      <c r="Q564">
        <v>27</v>
      </c>
      <c r="R564">
        <v>3</v>
      </c>
      <c r="S564" t="s">
        <v>33</v>
      </c>
      <c r="T564">
        <v>5</v>
      </c>
      <c r="U564" t="s">
        <v>31</v>
      </c>
      <c r="V564" s="1">
        <v>41141</v>
      </c>
    </row>
    <row r="565" spans="1:23" x14ac:dyDescent="0.35">
      <c r="A565" t="s">
        <v>621</v>
      </c>
      <c r="B565">
        <v>55</v>
      </c>
      <c r="C565" t="s">
        <v>27</v>
      </c>
      <c r="D565" t="s">
        <v>49</v>
      </c>
      <c r="E565" t="s">
        <v>50</v>
      </c>
      <c r="F565" t="s">
        <v>61</v>
      </c>
      <c r="G565">
        <v>130845</v>
      </c>
      <c r="H565">
        <v>13</v>
      </c>
      <c r="I565">
        <v>33</v>
      </c>
      <c r="J565">
        <v>5</v>
      </c>
      <c r="K565">
        <v>3</v>
      </c>
      <c r="L565">
        <v>1</v>
      </c>
      <c r="M565">
        <v>2</v>
      </c>
      <c r="N565" t="s">
        <v>31</v>
      </c>
      <c r="O565" t="s">
        <v>32</v>
      </c>
      <c r="P565">
        <v>28</v>
      </c>
      <c r="Q565">
        <v>59</v>
      </c>
      <c r="R565">
        <v>3</v>
      </c>
      <c r="S565" t="s">
        <v>31</v>
      </c>
      <c r="T565">
        <v>9</v>
      </c>
      <c r="U565" t="s">
        <v>31</v>
      </c>
      <c r="V565" s="1">
        <v>41941</v>
      </c>
    </row>
    <row r="566" spans="1:23" x14ac:dyDescent="0.35">
      <c r="A566" t="s">
        <v>622</v>
      </c>
      <c r="B566">
        <v>58</v>
      </c>
      <c r="C566" t="s">
        <v>27</v>
      </c>
      <c r="D566" t="s">
        <v>35</v>
      </c>
      <c r="E566" t="s">
        <v>85</v>
      </c>
      <c r="F566" t="s">
        <v>37</v>
      </c>
      <c r="G566">
        <v>96443</v>
      </c>
      <c r="H566">
        <v>7</v>
      </c>
      <c r="I566">
        <v>35</v>
      </c>
      <c r="J566">
        <v>4</v>
      </c>
      <c r="K566">
        <v>3</v>
      </c>
      <c r="L566">
        <v>3</v>
      </c>
      <c r="M566">
        <v>3</v>
      </c>
      <c r="N566" t="s">
        <v>31</v>
      </c>
      <c r="O566" t="s">
        <v>32</v>
      </c>
      <c r="P566">
        <v>23</v>
      </c>
      <c r="Q566">
        <v>51</v>
      </c>
      <c r="R566">
        <v>4</v>
      </c>
      <c r="S566" t="s">
        <v>31</v>
      </c>
      <c r="T566">
        <v>7</v>
      </c>
      <c r="U566" t="s">
        <v>33</v>
      </c>
      <c r="V566" s="1">
        <v>42838</v>
      </c>
      <c r="W566" s="1">
        <v>43235</v>
      </c>
    </row>
    <row r="567" spans="1:23" x14ac:dyDescent="0.35">
      <c r="A567" t="s">
        <v>623</v>
      </c>
      <c r="B567">
        <v>58</v>
      </c>
      <c r="C567" t="s">
        <v>27</v>
      </c>
      <c r="D567" t="s">
        <v>52</v>
      </c>
      <c r="E567" t="s">
        <v>55</v>
      </c>
      <c r="F567" t="s">
        <v>61</v>
      </c>
      <c r="G567">
        <v>171923</v>
      </c>
      <c r="H567">
        <v>34</v>
      </c>
      <c r="I567">
        <v>36</v>
      </c>
      <c r="J567">
        <v>5</v>
      </c>
      <c r="K567">
        <v>4</v>
      </c>
      <c r="L567">
        <v>2</v>
      </c>
      <c r="M567">
        <v>4</v>
      </c>
      <c r="N567" t="s">
        <v>31</v>
      </c>
      <c r="O567" t="s">
        <v>32</v>
      </c>
      <c r="P567">
        <v>22</v>
      </c>
      <c r="Q567">
        <v>28</v>
      </c>
      <c r="R567">
        <v>3</v>
      </c>
      <c r="S567" t="s">
        <v>33</v>
      </c>
      <c r="T567">
        <v>6</v>
      </c>
      <c r="U567" t="s">
        <v>31</v>
      </c>
      <c r="V567" s="1">
        <v>41401</v>
      </c>
    </row>
    <row r="568" spans="1:23" x14ac:dyDescent="0.35">
      <c r="A568" t="s">
        <v>624</v>
      </c>
      <c r="B568">
        <v>43</v>
      </c>
      <c r="C568" t="s">
        <v>44</v>
      </c>
      <c r="D568" t="s">
        <v>39</v>
      </c>
      <c r="E568" t="s">
        <v>40</v>
      </c>
      <c r="F568" t="s">
        <v>41</v>
      </c>
      <c r="G568">
        <v>128288</v>
      </c>
      <c r="H568">
        <v>12</v>
      </c>
      <c r="I568">
        <v>22</v>
      </c>
      <c r="J568">
        <v>5</v>
      </c>
      <c r="K568">
        <v>3</v>
      </c>
      <c r="L568">
        <v>4</v>
      </c>
      <c r="M568">
        <v>4</v>
      </c>
      <c r="N568" t="s">
        <v>31</v>
      </c>
      <c r="O568" t="s">
        <v>42</v>
      </c>
      <c r="P568">
        <v>5</v>
      </c>
      <c r="Q568">
        <v>14</v>
      </c>
      <c r="R568">
        <v>4</v>
      </c>
      <c r="S568" t="s">
        <v>31</v>
      </c>
      <c r="T568">
        <v>7</v>
      </c>
      <c r="U568" t="s">
        <v>31</v>
      </c>
      <c r="V568" s="1">
        <v>43285</v>
      </c>
    </row>
    <row r="569" spans="1:23" x14ac:dyDescent="0.35">
      <c r="A569" t="s">
        <v>625</v>
      </c>
      <c r="B569">
        <v>56</v>
      </c>
      <c r="C569" t="s">
        <v>44</v>
      </c>
      <c r="D569" t="s">
        <v>28</v>
      </c>
      <c r="E569" t="s">
        <v>29</v>
      </c>
      <c r="F569" t="s">
        <v>78</v>
      </c>
      <c r="G569">
        <v>168738</v>
      </c>
      <c r="H569">
        <v>32</v>
      </c>
      <c r="I569">
        <v>34</v>
      </c>
      <c r="J569">
        <v>5</v>
      </c>
      <c r="K569">
        <v>4</v>
      </c>
      <c r="L569">
        <v>2</v>
      </c>
      <c r="M569">
        <v>2</v>
      </c>
      <c r="N569" t="s">
        <v>31</v>
      </c>
      <c r="O569" t="s">
        <v>32</v>
      </c>
      <c r="P569">
        <v>27</v>
      </c>
      <c r="Q569">
        <v>13</v>
      </c>
      <c r="R569">
        <v>2</v>
      </c>
      <c r="S569" t="s">
        <v>31</v>
      </c>
      <c r="T569">
        <v>7</v>
      </c>
      <c r="U569" t="s">
        <v>31</v>
      </c>
      <c r="V569" s="1">
        <v>43687</v>
      </c>
    </row>
    <row r="570" spans="1:23" x14ac:dyDescent="0.35">
      <c r="A570" t="s">
        <v>626</v>
      </c>
      <c r="B570">
        <v>43</v>
      </c>
      <c r="C570" t="s">
        <v>27</v>
      </c>
      <c r="D570" t="s">
        <v>39</v>
      </c>
      <c r="E570" t="s">
        <v>40</v>
      </c>
      <c r="F570" t="s">
        <v>37</v>
      </c>
      <c r="G570">
        <v>48366</v>
      </c>
      <c r="H570">
        <v>2</v>
      </c>
      <c r="I570">
        <v>22</v>
      </c>
      <c r="J570">
        <v>1</v>
      </c>
      <c r="K570">
        <v>1</v>
      </c>
      <c r="L570">
        <v>4</v>
      </c>
      <c r="M570">
        <v>3</v>
      </c>
      <c r="N570" t="s">
        <v>31</v>
      </c>
      <c r="O570" t="s">
        <v>32</v>
      </c>
      <c r="P570">
        <v>23</v>
      </c>
      <c r="Q570">
        <v>48</v>
      </c>
      <c r="R570">
        <v>3</v>
      </c>
      <c r="S570" t="s">
        <v>31</v>
      </c>
      <c r="T570">
        <v>5</v>
      </c>
      <c r="U570" t="s">
        <v>31</v>
      </c>
      <c r="V570" s="1">
        <v>44973</v>
      </c>
    </row>
    <row r="571" spans="1:23" x14ac:dyDescent="0.35">
      <c r="A571" t="s">
        <v>627</v>
      </c>
      <c r="B571">
        <v>49</v>
      </c>
      <c r="C571" t="s">
        <v>27</v>
      </c>
      <c r="D571" t="s">
        <v>35</v>
      </c>
      <c r="E571" t="s">
        <v>85</v>
      </c>
      <c r="F571" t="s">
        <v>30</v>
      </c>
      <c r="G571">
        <v>134078</v>
      </c>
      <c r="H571">
        <v>16</v>
      </c>
      <c r="I571">
        <v>26</v>
      </c>
      <c r="J571">
        <v>5</v>
      </c>
      <c r="K571">
        <v>1</v>
      </c>
      <c r="L571">
        <v>3</v>
      </c>
      <c r="M571">
        <v>2</v>
      </c>
      <c r="N571" t="s">
        <v>31</v>
      </c>
      <c r="O571" t="s">
        <v>32</v>
      </c>
      <c r="P571">
        <v>3</v>
      </c>
      <c r="Q571">
        <v>37</v>
      </c>
      <c r="R571">
        <v>3</v>
      </c>
      <c r="S571" t="s">
        <v>33</v>
      </c>
      <c r="T571">
        <v>6</v>
      </c>
      <c r="U571" t="s">
        <v>31</v>
      </c>
      <c r="V571" s="1">
        <v>45224</v>
      </c>
    </row>
    <row r="572" spans="1:23" x14ac:dyDescent="0.35">
      <c r="A572" t="s">
        <v>628</v>
      </c>
      <c r="B572">
        <v>36</v>
      </c>
      <c r="C572" t="s">
        <v>44</v>
      </c>
      <c r="D572" t="s">
        <v>49</v>
      </c>
      <c r="E572" t="s">
        <v>68</v>
      </c>
      <c r="F572" t="s">
        <v>41</v>
      </c>
      <c r="G572">
        <v>57546</v>
      </c>
      <c r="H572">
        <v>1</v>
      </c>
      <c r="I572">
        <v>13</v>
      </c>
      <c r="J572">
        <v>2</v>
      </c>
      <c r="K572">
        <v>2</v>
      </c>
      <c r="L572">
        <v>2</v>
      </c>
      <c r="M572">
        <v>1</v>
      </c>
      <c r="N572" t="s">
        <v>31</v>
      </c>
      <c r="O572" t="s">
        <v>32</v>
      </c>
      <c r="P572">
        <v>25</v>
      </c>
      <c r="Q572">
        <v>59</v>
      </c>
      <c r="R572">
        <v>4</v>
      </c>
      <c r="S572" t="s">
        <v>31</v>
      </c>
      <c r="T572">
        <v>5</v>
      </c>
      <c r="U572" t="s">
        <v>31</v>
      </c>
      <c r="V572" s="1">
        <v>42465</v>
      </c>
    </row>
    <row r="573" spans="1:23" x14ac:dyDescent="0.35">
      <c r="A573" t="s">
        <v>629</v>
      </c>
      <c r="B573">
        <v>22</v>
      </c>
      <c r="C573" t="s">
        <v>44</v>
      </c>
      <c r="D573" t="s">
        <v>52</v>
      </c>
      <c r="E573" t="s">
        <v>55</v>
      </c>
      <c r="F573" t="s">
        <v>41</v>
      </c>
      <c r="G573">
        <v>61199</v>
      </c>
      <c r="H573">
        <v>1</v>
      </c>
      <c r="I573">
        <v>1</v>
      </c>
      <c r="J573">
        <v>2</v>
      </c>
      <c r="K573">
        <v>2</v>
      </c>
      <c r="L573">
        <v>2</v>
      </c>
      <c r="M573">
        <v>2</v>
      </c>
      <c r="N573" t="s">
        <v>31</v>
      </c>
      <c r="O573" t="s">
        <v>32</v>
      </c>
      <c r="P573">
        <v>11</v>
      </c>
      <c r="Q573">
        <v>11</v>
      </c>
      <c r="R573">
        <v>3</v>
      </c>
      <c r="S573" t="s">
        <v>31</v>
      </c>
      <c r="T573">
        <v>6</v>
      </c>
      <c r="U573" t="s">
        <v>33</v>
      </c>
      <c r="V573" s="1">
        <v>43974</v>
      </c>
      <c r="W573" s="1">
        <v>44301</v>
      </c>
    </row>
    <row r="574" spans="1:23" x14ac:dyDescent="0.35">
      <c r="A574" t="s">
        <v>630</v>
      </c>
      <c r="B574">
        <v>44</v>
      </c>
      <c r="C574" t="s">
        <v>27</v>
      </c>
      <c r="D574" t="s">
        <v>39</v>
      </c>
      <c r="E574" t="s">
        <v>59</v>
      </c>
      <c r="F574" t="s">
        <v>61</v>
      </c>
      <c r="G574">
        <v>84767</v>
      </c>
      <c r="H574">
        <v>7</v>
      </c>
      <c r="I574">
        <v>22</v>
      </c>
      <c r="J574">
        <v>3</v>
      </c>
      <c r="K574">
        <v>4</v>
      </c>
      <c r="L574">
        <v>3</v>
      </c>
      <c r="M574">
        <v>4</v>
      </c>
      <c r="N574" t="s">
        <v>31</v>
      </c>
      <c r="O574" t="s">
        <v>32</v>
      </c>
      <c r="P574">
        <v>8</v>
      </c>
      <c r="Q574">
        <v>54</v>
      </c>
      <c r="R574">
        <v>3</v>
      </c>
      <c r="S574" t="s">
        <v>31</v>
      </c>
      <c r="T574">
        <v>7</v>
      </c>
      <c r="U574" t="s">
        <v>31</v>
      </c>
      <c r="V574" s="1">
        <v>43451</v>
      </c>
    </row>
    <row r="575" spans="1:23" x14ac:dyDescent="0.35">
      <c r="A575" t="s">
        <v>631</v>
      </c>
      <c r="B575">
        <v>33</v>
      </c>
      <c r="C575" t="s">
        <v>27</v>
      </c>
      <c r="D575" t="s">
        <v>39</v>
      </c>
      <c r="E575" t="s">
        <v>74</v>
      </c>
      <c r="F575" t="s">
        <v>78</v>
      </c>
      <c r="G575">
        <v>74305</v>
      </c>
      <c r="H575">
        <v>3</v>
      </c>
      <c r="I575">
        <v>10</v>
      </c>
      <c r="J575">
        <v>3</v>
      </c>
      <c r="K575">
        <v>1</v>
      </c>
      <c r="L575">
        <v>3</v>
      </c>
      <c r="M575">
        <v>4</v>
      </c>
      <c r="N575" t="s">
        <v>31</v>
      </c>
      <c r="O575" t="s">
        <v>32</v>
      </c>
      <c r="P575">
        <v>16</v>
      </c>
      <c r="Q575">
        <v>18</v>
      </c>
      <c r="R575">
        <v>3</v>
      </c>
      <c r="S575" t="s">
        <v>31</v>
      </c>
      <c r="T575">
        <v>6</v>
      </c>
      <c r="U575" t="s">
        <v>33</v>
      </c>
      <c r="V575" s="1">
        <v>44354</v>
      </c>
      <c r="W575" s="1">
        <v>44971</v>
      </c>
    </row>
    <row r="576" spans="1:23" x14ac:dyDescent="0.35">
      <c r="A576" t="s">
        <v>632</v>
      </c>
      <c r="B576">
        <v>25</v>
      </c>
      <c r="C576" t="s">
        <v>27</v>
      </c>
      <c r="D576" t="s">
        <v>39</v>
      </c>
      <c r="E576" t="s">
        <v>40</v>
      </c>
      <c r="F576" t="s">
        <v>61</v>
      </c>
      <c r="G576">
        <v>40118</v>
      </c>
      <c r="H576">
        <v>0</v>
      </c>
      <c r="I576">
        <v>1</v>
      </c>
      <c r="J576">
        <v>1</v>
      </c>
      <c r="K576">
        <v>1</v>
      </c>
      <c r="L576">
        <v>2</v>
      </c>
      <c r="M576">
        <v>2</v>
      </c>
      <c r="N576" t="s">
        <v>31</v>
      </c>
      <c r="O576" t="s">
        <v>32</v>
      </c>
      <c r="P576">
        <v>28</v>
      </c>
      <c r="Q576">
        <v>12</v>
      </c>
      <c r="R576">
        <v>3</v>
      </c>
      <c r="S576" t="s">
        <v>31</v>
      </c>
      <c r="T576">
        <v>6</v>
      </c>
      <c r="U576" t="s">
        <v>31</v>
      </c>
      <c r="V576" s="1">
        <v>43635</v>
      </c>
    </row>
    <row r="577" spans="1:23" x14ac:dyDescent="0.35">
      <c r="A577" t="s">
        <v>633</v>
      </c>
      <c r="B577">
        <v>52</v>
      </c>
      <c r="C577" t="s">
        <v>44</v>
      </c>
      <c r="D577" t="s">
        <v>39</v>
      </c>
      <c r="E577" t="s">
        <v>40</v>
      </c>
      <c r="F577" t="s">
        <v>41</v>
      </c>
      <c r="G577">
        <v>159339</v>
      </c>
      <c r="H577">
        <v>30</v>
      </c>
      <c r="I577">
        <v>30</v>
      </c>
      <c r="J577">
        <v>5</v>
      </c>
      <c r="K577">
        <v>3</v>
      </c>
      <c r="L577">
        <v>4</v>
      </c>
      <c r="M577">
        <v>4</v>
      </c>
      <c r="N577" t="s">
        <v>31</v>
      </c>
      <c r="O577" t="s">
        <v>32</v>
      </c>
      <c r="P577">
        <v>17</v>
      </c>
      <c r="Q577">
        <v>14</v>
      </c>
      <c r="R577">
        <v>3</v>
      </c>
      <c r="S577" t="s">
        <v>33</v>
      </c>
      <c r="T577">
        <v>5</v>
      </c>
      <c r="U577" t="s">
        <v>31</v>
      </c>
      <c r="V577" s="1">
        <v>41015</v>
      </c>
    </row>
    <row r="578" spans="1:23" x14ac:dyDescent="0.35">
      <c r="A578" t="s">
        <v>634</v>
      </c>
      <c r="B578">
        <v>55</v>
      </c>
      <c r="C578" t="s">
        <v>44</v>
      </c>
      <c r="D578" t="s">
        <v>52</v>
      </c>
      <c r="E578" t="s">
        <v>53</v>
      </c>
      <c r="F578" t="s">
        <v>61</v>
      </c>
      <c r="G578">
        <v>144378</v>
      </c>
      <c r="H578">
        <v>21</v>
      </c>
      <c r="I578">
        <v>34</v>
      </c>
      <c r="J578">
        <v>5</v>
      </c>
      <c r="K578">
        <v>2</v>
      </c>
      <c r="L578">
        <v>1</v>
      </c>
      <c r="M578">
        <v>3</v>
      </c>
      <c r="N578" t="s">
        <v>33</v>
      </c>
      <c r="O578" t="s">
        <v>32</v>
      </c>
      <c r="P578">
        <v>25</v>
      </c>
      <c r="Q578">
        <v>41</v>
      </c>
      <c r="R578">
        <v>4</v>
      </c>
      <c r="S578" t="s">
        <v>31</v>
      </c>
      <c r="T578">
        <v>4</v>
      </c>
      <c r="U578" t="s">
        <v>31</v>
      </c>
      <c r="V578" s="1">
        <v>43659</v>
      </c>
    </row>
    <row r="579" spans="1:23" x14ac:dyDescent="0.35">
      <c r="A579" t="s">
        <v>635</v>
      </c>
      <c r="B579">
        <v>46</v>
      </c>
      <c r="C579" t="s">
        <v>27</v>
      </c>
      <c r="D579" t="s">
        <v>39</v>
      </c>
      <c r="E579" t="s">
        <v>40</v>
      </c>
      <c r="F579" t="s">
        <v>56</v>
      </c>
      <c r="G579">
        <v>105585</v>
      </c>
      <c r="H579">
        <v>9</v>
      </c>
      <c r="I579">
        <v>25</v>
      </c>
      <c r="J579">
        <v>4</v>
      </c>
      <c r="K579">
        <v>4</v>
      </c>
      <c r="L579">
        <v>1</v>
      </c>
      <c r="M579">
        <v>4</v>
      </c>
      <c r="N579" t="s">
        <v>31</v>
      </c>
      <c r="O579" t="s">
        <v>32</v>
      </c>
      <c r="P579">
        <v>16</v>
      </c>
      <c r="Q579">
        <v>20</v>
      </c>
      <c r="R579">
        <v>3</v>
      </c>
      <c r="S579" t="s">
        <v>33</v>
      </c>
      <c r="T579">
        <v>5</v>
      </c>
      <c r="U579" t="s">
        <v>31</v>
      </c>
      <c r="V579" s="1">
        <v>45195</v>
      </c>
    </row>
    <row r="580" spans="1:23" x14ac:dyDescent="0.35">
      <c r="A580" t="s">
        <v>636</v>
      </c>
      <c r="B580">
        <v>45</v>
      </c>
      <c r="C580" t="s">
        <v>27</v>
      </c>
      <c r="D580" t="s">
        <v>39</v>
      </c>
      <c r="E580" t="s">
        <v>74</v>
      </c>
      <c r="F580" t="s">
        <v>41</v>
      </c>
      <c r="G580">
        <v>102285</v>
      </c>
      <c r="H580">
        <v>9</v>
      </c>
      <c r="I580">
        <v>23</v>
      </c>
      <c r="J580">
        <v>4</v>
      </c>
      <c r="K580">
        <v>1</v>
      </c>
      <c r="L580">
        <v>3</v>
      </c>
      <c r="M580">
        <v>4</v>
      </c>
      <c r="N580" t="s">
        <v>31</v>
      </c>
      <c r="O580" t="s">
        <v>32</v>
      </c>
      <c r="P580">
        <v>17</v>
      </c>
      <c r="Q580">
        <v>19</v>
      </c>
      <c r="R580">
        <v>3</v>
      </c>
      <c r="S580" t="s">
        <v>31</v>
      </c>
      <c r="T580">
        <v>6</v>
      </c>
      <c r="U580" t="s">
        <v>31</v>
      </c>
      <c r="V580" s="1">
        <v>45261</v>
      </c>
    </row>
    <row r="581" spans="1:23" x14ac:dyDescent="0.35">
      <c r="A581" t="s">
        <v>637</v>
      </c>
      <c r="B581">
        <v>38</v>
      </c>
      <c r="C581" t="s">
        <v>27</v>
      </c>
      <c r="D581" t="s">
        <v>39</v>
      </c>
      <c r="E581" t="s">
        <v>59</v>
      </c>
      <c r="F581" t="s">
        <v>56</v>
      </c>
      <c r="G581">
        <v>109426</v>
      </c>
      <c r="H581">
        <v>10</v>
      </c>
      <c r="I581">
        <v>15</v>
      </c>
      <c r="J581">
        <v>4</v>
      </c>
      <c r="K581">
        <v>2</v>
      </c>
      <c r="L581">
        <v>4</v>
      </c>
      <c r="M581">
        <v>1</v>
      </c>
      <c r="N581" t="s">
        <v>31</v>
      </c>
      <c r="O581" t="s">
        <v>32</v>
      </c>
      <c r="P581">
        <v>20</v>
      </c>
      <c r="Q581">
        <v>30</v>
      </c>
      <c r="R581">
        <v>2</v>
      </c>
      <c r="S581" t="s">
        <v>33</v>
      </c>
      <c r="T581">
        <v>3</v>
      </c>
      <c r="U581" t="s">
        <v>31</v>
      </c>
      <c r="V581" s="1">
        <v>43505</v>
      </c>
    </row>
    <row r="582" spans="1:23" x14ac:dyDescent="0.35">
      <c r="A582" t="s">
        <v>638</v>
      </c>
      <c r="B582">
        <v>37</v>
      </c>
      <c r="C582" t="s">
        <v>27</v>
      </c>
      <c r="D582" t="s">
        <v>39</v>
      </c>
      <c r="E582" t="s">
        <v>74</v>
      </c>
      <c r="F582" t="s">
        <v>78</v>
      </c>
      <c r="G582">
        <v>63638</v>
      </c>
      <c r="H582">
        <v>2</v>
      </c>
      <c r="I582">
        <v>14</v>
      </c>
      <c r="J582">
        <v>2</v>
      </c>
      <c r="K582">
        <v>3</v>
      </c>
      <c r="L582">
        <v>3</v>
      </c>
      <c r="M582">
        <v>2</v>
      </c>
      <c r="N582" t="s">
        <v>31</v>
      </c>
      <c r="O582" t="s">
        <v>47</v>
      </c>
      <c r="P582">
        <v>10</v>
      </c>
      <c r="Q582">
        <v>32</v>
      </c>
      <c r="R582">
        <v>3</v>
      </c>
      <c r="S582" t="s">
        <v>31</v>
      </c>
      <c r="T582">
        <v>7</v>
      </c>
      <c r="U582" t="s">
        <v>31</v>
      </c>
      <c r="V582" s="1">
        <v>42309</v>
      </c>
    </row>
    <row r="583" spans="1:23" x14ac:dyDescent="0.35">
      <c r="A583" t="s">
        <v>639</v>
      </c>
      <c r="B583">
        <v>23</v>
      </c>
      <c r="C583" t="s">
        <v>44</v>
      </c>
      <c r="D583" t="s">
        <v>28</v>
      </c>
      <c r="E583" t="s">
        <v>29</v>
      </c>
      <c r="F583" t="s">
        <v>41</v>
      </c>
      <c r="G583">
        <v>57260</v>
      </c>
      <c r="H583">
        <v>1</v>
      </c>
      <c r="I583">
        <v>1</v>
      </c>
      <c r="J583">
        <v>2</v>
      </c>
      <c r="K583">
        <v>4</v>
      </c>
      <c r="L583">
        <v>3</v>
      </c>
      <c r="M583">
        <v>4</v>
      </c>
      <c r="N583" t="s">
        <v>31</v>
      </c>
      <c r="O583" t="s">
        <v>32</v>
      </c>
      <c r="P583">
        <v>21</v>
      </c>
      <c r="Q583">
        <v>36</v>
      </c>
      <c r="R583">
        <v>3</v>
      </c>
      <c r="S583" t="s">
        <v>31</v>
      </c>
      <c r="T583">
        <v>4</v>
      </c>
      <c r="U583" t="s">
        <v>31</v>
      </c>
      <c r="V583" s="1">
        <v>41377</v>
      </c>
    </row>
    <row r="584" spans="1:23" x14ac:dyDescent="0.35">
      <c r="A584" t="s">
        <v>640</v>
      </c>
      <c r="B584">
        <v>39</v>
      </c>
      <c r="C584" t="s">
        <v>27</v>
      </c>
      <c r="D584" t="s">
        <v>52</v>
      </c>
      <c r="E584" t="s">
        <v>53</v>
      </c>
      <c r="F584" t="s">
        <v>30</v>
      </c>
      <c r="G584">
        <v>121951</v>
      </c>
      <c r="H584">
        <v>12</v>
      </c>
      <c r="I584">
        <v>15</v>
      </c>
      <c r="J584">
        <v>5</v>
      </c>
      <c r="K584">
        <v>1</v>
      </c>
      <c r="L584">
        <v>2</v>
      </c>
      <c r="M584">
        <v>3</v>
      </c>
      <c r="N584" t="s">
        <v>31</v>
      </c>
      <c r="O584" t="s">
        <v>32</v>
      </c>
      <c r="P584">
        <v>19</v>
      </c>
      <c r="Q584">
        <v>10</v>
      </c>
      <c r="R584">
        <v>3</v>
      </c>
      <c r="S584" t="s">
        <v>31</v>
      </c>
      <c r="T584">
        <v>4</v>
      </c>
      <c r="U584" t="s">
        <v>31</v>
      </c>
      <c r="V584" s="1">
        <v>43756</v>
      </c>
    </row>
    <row r="585" spans="1:23" x14ac:dyDescent="0.35">
      <c r="A585" t="s">
        <v>641</v>
      </c>
      <c r="B585">
        <v>25</v>
      </c>
      <c r="C585" t="s">
        <v>44</v>
      </c>
      <c r="D585" t="s">
        <v>35</v>
      </c>
      <c r="E585" t="s">
        <v>36</v>
      </c>
      <c r="F585" t="s">
        <v>61</v>
      </c>
      <c r="G585">
        <v>57198</v>
      </c>
      <c r="H585">
        <v>1</v>
      </c>
      <c r="I585">
        <v>4</v>
      </c>
      <c r="J585">
        <v>2</v>
      </c>
      <c r="K585">
        <v>3</v>
      </c>
      <c r="L585">
        <v>2</v>
      </c>
      <c r="M585">
        <v>2</v>
      </c>
      <c r="N585" t="s">
        <v>31</v>
      </c>
      <c r="O585" t="s">
        <v>32</v>
      </c>
      <c r="P585">
        <v>13</v>
      </c>
      <c r="Q585">
        <v>52</v>
      </c>
      <c r="R585">
        <v>3</v>
      </c>
      <c r="S585" t="s">
        <v>31</v>
      </c>
      <c r="T585">
        <v>4</v>
      </c>
      <c r="U585" t="s">
        <v>31</v>
      </c>
      <c r="V585" s="1">
        <v>43319</v>
      </c>
    </row>
    <row r="586" spans="1:23" x14ac:dyDescent="0.35">
      <c r="A586" t="s">
        <v>642</v>
      </c>
      <c r="B586">
        <v>26</v>
      </c>
      <c r="C586" t="s">
        <v>44</v>
      </c>
      <c r="D586" t="s">
        <v>39</v>
      </c>
      <c r="E586" t="s">
        <v>59</v>
      </c>
      <c r="F586" t="s">
        <v>30</v>
      </c>
      <c r="G586">
        <v>58286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1</v>
      </c>
      <c r="N586" t="s">
        <v>33</v>
      </c>
      <c r="O586" t="s">
        <v>32</v>
      </c>
      <c r="P586">
        <v>23</v>
      </c>
      <c r="Q586">
        <v>22</v>
      </c>
      <c r="R586">
        <v>2</v>
      </c>
      <c r="S586" t="s">
        <v>31</v>
      </c>
      <c r="T586">
        <v>10</v>
      </c>
      <c r="U586" t="s">
        <v>33</v>
      </c>
      <c r="V586" s="1">
        <v>40979</v>
      </c>
      <c r="W586" s="1">
        <v>41905</v>
      </c>
    </row>
    <row r="587" spans="1:23" x14ac:dyDescent="0.35">
      <c r="A587" t="s">
        <v>643</v>
      </c>
      <c r="B587">
        <v>24</v>
      </c>
      <c r="C587" t="s">
        <v>27</v>
      </c>
      <c r="D587" t="s">
        <v>49</v>
      </c>
      <c r="E587" t="s">
        <v>68</v>
      </c>
      <c r="F587" t="s">
        <v>30</v>
      </c>
      <c r="G587">
        <v>54192</v>
      </c>
      <c r="H587">
        <v>0</v>
      </c>
      <c r="I587">
        <v>2</v>
      </c>
      <c r="J587">
        <v>2</v>
      </c>
      <c r="K587">
        <v>1</v>
      </c>
      <c r="L587">
        <v>4</v>
      </c>
      <c r="M587">
        <v>2</v>
      </c>
      <c r="N587" t="s">
        <v>31</v>
      </c>
      <c r="O587" t="s">
        <v>42</v>
      </c>
      <c r="P587">
        <v>6</v>
      </c>
      <c r="Q587">
        <v>38</v>
      </c>
      <c r="R587">
        <v>3</v>
      </c>
      <c r="S587" t="s">
        <v>31</v>
      </c>
      <c r="T587">
        <v>2</v>
      </c>
      <c r="U587" t="s">
        <v>31</v>
      </c>
      <c r="V587" s="1">
        <v>42211</v>
      </c>
    </row>
    <row r="588" spans="1:23" x14ac:dyDescent="0.35">
      <c r="A588" t="s">
        <v>644</v>
      </c>
      <c r="B588">
        <v>29</v>
      </c>
      <c r="C588" t="s">
        <v>44</v>
      </c>
      <c r="D588" t="s">
        <v>28</v>
      </c>
      <c r="E588" t="s">
        <v>66</v>
      </c>
      <c r="F588" t="s">
        <v>61</v>
      </c>
      <c r="G588">
        <v>73099</v>
      </c>
      <c r="H588">
        <v>3</v>
      </c>
      <c r="I588">
        <v>8</v>
      </c>
      <c r="J588">
        <v>3</v>
      </c>
      <c r="K588">
        <v>1</v>
      </c>
      <c r="L588">
        <v>4</v>
      </c>
      <c r="M588">
        <v>4</v>
      </c>
      <c r="N588" t="s">
        <v>31</v>
      </c>
      <c r="O588" t="s">
        <v>42</v>
      </c>
      <c r="P588">
        <v>21</v>
      </c>
      <c r="Q588">
        <v>22</v>
      </c>
      <c r="R588">
        <v>3</v>
      </c>
      <c r="S588" t="s">
        <v>31</v>
      </c>
      <c r="T588">
        <v>4</v>
      </c>
      <c r="U588" t="s">
        <v>31</v>
      </c>
      <c r="V588" s="1">
        <v>43574</v>
      </c>
    </row>
    <row r="589" spans="1:23" x14ac:dyDescent="0.35">
      <c r="A589" t="s">
        <v>645</v>
      </c>
      <c r="B589">
        <v>39</v>
      </c>
      <c r="C589" t="s">
        <v>44</v>
      </c>
      <c r="D589" t="s">
        <v>45</v>
      </c>
      <c r="E589" t="s">
        <v>63</v>
      </c>
      <c r="F589" t="s">
        <v>78</v>
      </c>
      <c r="G589">
        <v>128516</v>
      </c>
      <c r="H589">
        <v>13</v>
      </c>
      <c r="I589">
        <v>18</v>
      </c>
      <c r="J589">
        <v>5</v>
      </c>
      <c r="K589">
        <v>1</v>
      </c>
      <c r="L589">
        <v>4</v>
      </c>
      <c r="M589">
        <v>4</v>
      </c>
      <c r="N589" t="s">
        <v>31</v>
      </c>
      <c r="O589" t="s">
        <v>32</v>
      </c>
      <c r="P589">
        <v>25</v>
      </c>
      <c r="Q589">
        <v>57</v>
      </c>
      <c r="R589">
        <v>3</v>
      </c>
      <c r="S589" t="s">
        <v>31</v>
      </c>
      <c r="T589">
        <v>5</v>
      </c>
      <c r="U589" t="s">
        <v>31</v>
      </c>
      <c r="V589" s="1">
        <v>42745</v>
      </c>
    </row>
    <row r="590" spans="1:23" x14ac:dyDescent="0.35">
      <c r="A590" t="s">
        <v>646</v>
      </c>
      <c r="B590">
        <v>36</v>
      </c>
      <c r="C590" t="s">
        <v>44</v>
      </c>
      <c r="D590" t="s">
        <v>45</v>
      </c>
      <c r="E590" t="s">
        <v>63</v>
      </c>
      <c r="F590" t="s">
        <v>37</v>
      </c>
      <c r="G590">
        <v>130256</v>
      </c>
      <c r="H590">
        <v>13</v>
      </c>
      <c r="I590">
        <v>14</v>
      </c>
      <c r="J590">
        <v>5</v>
      </c>
      <c r="K590">
        <v>1</v>
      </c>
      <c r="L590">
        <v>1</v>
      </c>
      <c r="M590">
        <v>1</v>
      </c>
      <c r="N590" t="s">
        <v>31</v>
      </c>
      <c r="O590" t="s">
        <v>32</v>
      </c>
      <c r="P590">
        <v>24</v>
      </c>
      <c r="Q590">
        <v>33</v>
      </c>
      <c r="R590">
        <v>3</v>
      </c>
      <c r="S590" t="s">
        <v>33</v>
      </c>
      <c r="T590">
        <v>7</v>
      </c>
      <c r="U590" t="s">
        <v>31</v>
      </c>
      <c r="V590" s="1">
        <v>41351</v>
      </c>
    </row>
    <row r="591" spans="1:23" x14ac:dyDescent="0.35">
      <c r="A591" t="s">
        <v>647</v>
      </c>
      <c r="B591">
        <v>22</v>
      </c>
      <c r="C591" t="s">
        <v>44</v>
      </c>
      <c r="D591" t="s">
        <v>35</v>
      </c>
      <c r="E591" t="s">
        <v>85</v>
      </c>
      <c r="F591" t="s">
        <v>61</v>
      </c>
      <c r="G591">
        <v>40707</v>
      </c>
      <c r="H591">
        <v>1</v>
      </c>
      <c r="I591">
        <v>1</v>
      </c>
      <c r="J591">
        <v>1</v>
      </c>
      <c r="K591">
        <v>4</v>
      </c>
      <c r="L591">
        <v>1</v>
      </c>
      <c r="M591">
        <v>4</v>
      </c>
      <c r="N591" t="s">
        <v>31</v>
      </c>
      <c r="O591" t="s">
        <v>32</v>
      </c>
      <c r="P591">
        <v>1</v>
      </c>
      <c r="Q591">
        <v>29</v>
      </c>
      <c r="R591">
        <v>2</v>
      </c>
      <c r="S591" t="s">
        <v>31</v>
      </c>
      <c r="T591">
        <v>4</v>
      </c>
      <c r="U591" t="s">
        <v>31</v>
      </c>
      <c r="V591" s="1">
        <v>44629</v>
      </c>
    </row>
    <row r="592" spans="1:23" x14ac:dyDescent="0.35">
      <c r="A592" t="s">
        <v>648</v>
      </c>
      <c r="B592">
        <v>38</v>
      </c>
      <c r="C592" t="s">
        <v>27</v>
      </c>
      <c r="D592" t="s">
        <v>28</v>
      </c>
      <c r="E592" t="s">
        <v>29</v>
      </c>
      <c r="F592" t="s">
        <v>41</v>
      </c>
      <c r="G592">
        <v>124430</v>
      </c>
      <c r="H592">
        <v>10</v>
      </c>
      <c r="I592">
        <v>14</v>
      </c>
      <c r="J592">
        <v>5</v>
      </c>
      <c r="K592">
        <v>2</v>
      </c>
      <c r="L592">
        <v>3</v>
      </c>
      <c r="M592">
        <v>4</v>
      </c>
      <c r="N592" t="s">
        <v>31</v>
      </c>
      <c r="O592" t="s">
        <v>32</v>
      </c>
      <c r="P592">
        <v>10</v>
      </c>
      <c r="Q592">
        <v>48</v>
      </c>
      <c r="R592">
        <v>3</v>
      </c>
      <c r="S592" t="s">
        <v>33</v>
      </c>
      <c r="T592">
        <v>5</v>
      </c>
      <c r="U592" t="s">
        <v>31</v>
      </c>
      <c r="V592" s="1">
        <v>41649</v>
      </c>
    </row>
    <row r="593" spans="1:23" x14ac:dyDescent="0.35">
      <c r="A593" t="s">
        <v>649</v>
      </c>
      <c r="B593">
        <v>39</v>
      </c>
      <c r="C593" t="s">
        <v>44</v>
      </c>
      <c r="D593" t="s">
        <v>49</v>
      </c>
      <c r="E593" t="s">
        <v>50</v>
      </c>
      <c r="F593" t="s">
        <v>41</v>
      </c>
      <c r="G593">
        <v>61100</v>
      </c>
      <c r="H593">
        <v>1</v>
      </c>
      <c r="I593">
        <v>16</v>
      </c>
      <c r="J593">
        <v>2</v>
      </c>
      <c r="K593">
        <v>2</v>
      </c>
      <c r="L593">
        <v>3</v>
      </c>
      <c r="M593">
        <v>1</v>
      </c>
      <c r="N593" t="s">
        <v>31</v>
      </c>
      <c r="O593" t="s">
        <v>32</v>
      </c>
      <c r="P593">
        <v>10</v>
      </c>
      <c r="Q593">
        <v>58</v>
      </c>
      <c r="R593">
        <v>2</v>
      </c>
      <c r="S593" t="s">
        <v>31</v>
      </c>
      <c r="T593">
        <v>8</v>
      </c>
      <c r="U593" t="s">
        <v>31</v>
      </c>
      <c r="V593" s="1">
        <v>45094</v>
      </c>
    </row>
    <row r="594" spans="1:23" x14ac:dyDescent="0.35">
      <c r="A594" t="s">
        <v>650</v>
      </c>
      <c r="B594">
        <v>52</v>
      </c>
      <c r="C594" t="s">
        <v>44</v>
      </c>
      <c r="D594" t="s">
        <v>39</v>
      </c>
      <c r="E594" t="s">
        <v>59</v>
      </c>
      <c r="F594" t="s">
        <v>41</v>
      </c>
      <c r="G594">
        <v>155780</v>
      </c>
      <c r="H594">
        <v>26</v>
      </c>
      <c r="I594">
        <v>28</v>
      </c>
      <c r="J594">
        <v>5</v>
      </c>
      <c r="K594">
        <v>1</v>
      </c>
      <c r="L594">
        <v>2</v>
      </c>
      <c r="M594">
        <v>4</v>
      </c>
      <c r="N594" t="s">
        <v>33</v>
      </c>
      <c r="O594" t="s">
        <v>32</v>
      </c>
      <c r="P594">
        <v>14</v>
      </c>
      <c r="Q594">
        <v>53</v>
      </c>
      <c r="R594">
        <v>3</v>
      </c>
      <c r="S594" t="s">
        <v>31</v>
      </c>
      <c r="T594">
        <v>2</v>
      </c>
      <c r="U594" t="s">
        <v>31</v>
      </c>
      <c r="V594" s="1">
        <v>43471</v>
      </c>
    </row>
    <row r="595" spans="1:23" x14ac:dyDescent="0.35">
      <c r="A595" t="s">
        <v>651</v>
      </c>
      <c r="B595">
        <v>25</v>
      </c>
      <c r="C595" t="s">
        <v>27</v>
      </c>
      <c r="D595" t="s">
        <v>39</v>
      </c>
      <c r="E595" t="s">
        <v>74</v>
      </c>
      <c r="F595" t="s">
        <v>30</v>
      </c>
      <c r="G595">
        <v>41004</v>
      </c>
      <c r="H595">
        <v>0</v>
      </c>
      <c r="I595">
        <v>1</v>
      </c>
      <c r="J595">
        <v>1</v>
      </c>
      <c r="K595">
        <v>3</v>
      </c>
      <c r="L595">
        <v>3</v>
      </c>
      <c r="M595">
        <v>1</v>
      </c>
      <c r="N595" t="s">
        <v>31</v>
      </c>
      <c r="O595" t="s">
        <v>32</v>
      </c>
      <c r="P595">
        <v>12</v>
      </c>
      <c r="Q595">
        <v>57</v>
      </c>
      <c r="R595">
        <v>3</v>
      </c>
      <c r="S595" t="s">
        <v>31</v>
      </c>
      <c r="T595">
        <v>7</v>
      </c>
      <c r="U595" t="s">
        <v>31</v>
      </c>
      <c r="V595" s="1">
        <v>41877</v>
      </c>
    </row>
    <row r="596" spans="1:23" x14ac:dyDescent="0.35">
      <c r="A596" t="s">
        <v>652</v>
      </c>
      <c r="B596">
        <v>26</v>
      </c>
      <c r="C596" t="s">
        <v>44</v>
      </c>
      <c r="D596" t="s">
        <v>28</v>
      </c>
      <c r="E596" t="s">
        <v>29</v>
      </c>
      <c r="F596" t="s">
        <v>41</v>
      </c>
      <c r="G596">
        <v>65943</v>
      </c>
      <c r="H596">
        <v>3</v>
      </c>
      <c r="I596">
        <v>5</v>
      </c>
      <c r="J596">
        <v>2</v>
      </c>
      <c r="K596">
        <v>2</v>
      </c>
      <c r="L596">
        <v>1</v>
      </c>
      <c r="M596">
        <v>1</v>
      </c>
      <c r="N596" t="s">
        <v>33</v>
      </c>
      <c r="O596" t="s">
        <v>32</v>
      </c>
      <c r="P596">
        <v>7</v>
      </c>
      <c r="Q596">
        <v>13</v>
      </c>
      <c r="R596">
        <v>3</v>
      </c>
      <c r="S596" t="s">
        <v>31</v>
      </c>
      <c r="T596">
        <v>4</v>
      </c>
      <c r="U596" t="s">
        <v>31</v>
      </c>
      <c r="V596" s="1">
        <v>41426</v>
      </c>
    </row>
    <row r="597" spans="1:23" x14ac:dyDescent="0.35">
      <c r="A597" t="s">
        <v>653</v>
      </c>
      <c r="B597">
        <v>51</v>
      </c>
      <c r="C597" t="s">
        <v>27</v>
      </c>
      <c r="D597" t="s">
        <v>52</v>
      </c>
      <c r="E597" t="s">
        <v>55</v>
      </c>
      <c r="F597" t="s">
        <v>41</v>
      </c>
      <c r="G597">
        <v>46824</v>
      </c>
      <c r="H597">
        <v>2</v>
      </c>
      <c r="I597">
        <v>28</v>
      </c>
      <c r="J597">
        <v>1</v>
      </c>
      <c r="K597">
        <v>3</v>
      </c>
      <c r="L597">
        <v>2</v>
      </c>
      <c r="M597">
        <v>3</v>
      </c>
      <c r="N597" t="s">
        <v>33</v>
      </c>
      <c r="O597" t="s">
        <v>47</v>
      </c>
      <c r="P597">
        <v>20</v>
      </c>
      <c r="Q597">
        <v>14</v>
      </c>
      <c r="R597">
        <v>2</v>
      </c>
      <c r="S597" t="s">
        <v>31</v>
      </c>
      <c r="T597">
        <v>6</v>
      </c>
      <c r="U597" t="s">
        <v>31</v>
      </c>
      <c r="V597" s="1">
        <v>44087</v>
      </c>
    </row>
    <row r="598" spans="1:23" x14ac:dyDescent="0.35">
      <c r="A598" t="s">
        <v>654</v>
      </c>
      <c r="B598">
        <v>23</v>
      </c>
      <c r="C598" t="s">
        <v>27</v>
      </c>
      <c r="D598" t="s">
        <v>39</v>
      </c>
      <c r="E598" t="s">
        <v>40</v>
      </c>
      <c r="F598" t="s">
        <v>78</v>
      </c>
      <c r="G598">
        <v>60866</v>
      </c>
      <c r="H598">
        <v>2</v>
      </c>
      <c r="I598">
        <v>2</v>
      </c>
      <c r="J598">
        <v>2</v>
      </c>
      <c r="K598">
        <v>2</v>
      </c>
      <c r="L598">
        <v>4</v>
      </c>
      <c r="M598">
        <v>2</v>
      </c>
      <c r="N598" t="s">
        <v>31</v>
      </c>
      <c r="O598" t="s">
        <v>32</v>
      </c>
      <c r="P598">
        <v>1</v>
      </c>
      <c r="Q598">
        <v>33</v>
      </c>
      <c r="R598">
        <v>3</v>
      </c>
      <c r="S598" t="s">
        <v>31</v>
      </c>
      <c r="T598">
        <v>7</v>
      </c>
      <c r="U598" t="s">
        <v>31</v>
      </c>
      <c r="V598" s="1">
        <v>42995</v>
      </c>
    </row>
    <row r="599" spans="1:23" x14ac:dyDescent="0.35">
      <c r="A599" t="s">
        <v>655</v>
      </c>
      <c r="B599">
        <v>53</v>
      </c>
      <c r="C599" t="s">
        <v>44</v>
      </c>
      <c r="D599" t="s">
        <v>45</v>
      </c>
      <c r="E599" t="s">
        <v>46</v>
      </c>
      <c r="F599" t="s">
        <v>56</v>
      </c>
      <c r="G599">
        <v>120408</v>
      </c>
      <c r="H599">
        <v>10</v>
      </c>
      <c r="I599">
        <v>29</v>
      </c>
      <c r="J599">
        <v>5</v>
      </c>
      <c r="K599">
        <v>4</v>
      </c>
      <c r="L599">
        <v>3</v>
      </c>
      <c r="M599">
        <v>1</v>
      </c>
      <c r="N599" t="s">
        <v>33</v>
      </c>
      <c r="O599" t="s">
        <v>32</v>
      </c>
      <c r="P599">
        <v>3</v>
      </c>
      <c r="Q599">
        <v>48</v>
      </c>
      <c r="R599">
        <v>3</v>
      </c>
      <c r="S599" t="s">
        <v>33</v>
      </c>
      <c r="T599">
        <v>5</v>
      </c>
      <c r="U599" t="s">
        <v>31</v>
      </c>
      <c r="V599" s="1">
        <v>44962</v>
      </c>
    </row>
    <row r="600" spans="1:23" x14ac:dyDescent="0.35">
      <c r="A600" t="s">
        <v>656</v>
      </c>
      <c r="B600">
        <v>26</v>
      </c>
      <c r="C600" t="s">
        <v>27</v>
      </c>
      <c r="D600" t="s">
        <v>49</v>
      </c>
      <c r="E600" t="s">
        <v>50</v>
      </c>
      <c r="F600" t="s">
        <v>37</v>
      </c>
      <c r="G600">
        <v>55754</v>
      </c>
      <c r="H600">
        <v>0</v>
      </c>
      <c r="I600">
        <v>3</v>
      </c>
      <c r="J600">
        <v>2</v>
      </c>
      <c r="K600">
        <v>4</v>
      </c>
      <c r="L600">
        <v>3</v>
      </c>
      <c r="M600">
        <v>2</v>
      </c>
      <c r="N600" t="s">
        <v>31</v>
      </c>
      <c r="O600" t="s">
        <v>47</v>
      </c>
      <c r="P600">
        <v>13</v>
      </c>
      <c r="Q600">
        <v>31</v>
      </c>
      <c r="R600">
        <v>3</v>
      </c>
      <c r="S600" t="s">
        <v>31</v>
      </c>
      <c r="T600">
        <v>5</v>
      </c>
      <c r="U600" t="s">
        <v>31</v>
      </c>
      <c r="V600" s="1">
        <v>41090</v>
      </c>
    </row>
    <row r="601" spans="1:23" x14ac:dyDescent="0.35">
      <c r="A601" t="s">
        <v>657</v>
      </c>
      <c r="B601">
        <v>38</v>
      </c>
      <c r="C601" t="s">
        <v>44</v>
      </c>
      <c r="D601" t="s">
        <v>45</v>
      </c>
      <c r="E601" t="s">
        <v>63</v>
      </c>
      <c r="F601" t="s">
        <v>30</v>
      </c>
      <c r="G601">
        <v>127098</v>
      </c>
      <c r="H601">
        <v>12</v>
      </c>
      <c r="I601">
        <v>15</v>
      </c>
      <c r="J601">
        <v>5</v>
      </c>
      <c r="K601">
        <v>1</v>
      </c>
      <c r="L601">
        <v>1</v>
      </c>
      <c r="M601">
        <v>1</v>
      </c>
      <c r="N601" t="s">
        <v>31</v>
      </c>
      <c r="O601" t="s">
        <v>32</v>
      </c>
      <c r="P601">
        <v>6</v>
      </c>
      <c r="Q601">
        <v>51</v>
      </c>
      <c r="R601">
        <v>3</v>
      </c>
      <c r="S601" t="s">
        <v>33</v>
      </c>
      <c r="T601">
        <v>6</v>
      </c>
      <c r="U601" t="s">
        <v>31</v>
      </c>
      <c r="V601" s="1">
        <v>43213</v>
      </c>
    </row>
    <row r="602" spans="1:23" x14ac:dyDescent="0.35">
      <c r="A602" t="s">
        <v>658</v>
      </c>
      <c r="B602">
        <v>35</v>
      </c>
      <c r="C602" t="s">
        <v>44</v>
      </c>
      <c r="D602" t="s">
        <v>49</v>
      </c>
      <c r="E602" t="s">
        <v>50</v>
      </c>
      <c r="F602" t="s">
        <v>41</v>
      </c>
      <c r="G602">
        <v>79272</v>
      </c>
      <c r="H602">
        <v>3</v>
      </c>
      <c r="I602">
        <v>13</v>
      </c>
      <c r="J602">
        <v>3</v>
      </c>
      <c r="K602">
        <v>3</v>
      </c>
      <c r="L602">
        <v>1</v>
      </c>
      <c r="M602">
        <v>2</v>
      </c>
      <c r="N602" t="s">
        <v>33</v>
      </c>
      <c r="O602" t="s">
        <v>42</v>
      </c>
      <c r="P602">
        <v>7</v>
      </c>
      <c r="Q602">
        <v>39</v>
      </c>
      <c r="R602">
        <v>3</v>
      </c>
      <c r="S602" t="s">
        <v>31</v>
      </c>
      <c r="T602">
        <v>7</v>
      </c>
      <c r="U602" t="s">
        <v>31</v>
      </c>
      <c r="V602" s="1">
        <v>43871</v>
      </c>
    </row>
    <row r="603" spans="1:23" x14ac:dyDescent="0.35">
      <c r="A603" t="s">
        <v>659</v>
      </c>
      <c r="B603">
        <v>45</v>
      </c>
      <c r="C603" t="s">
        <v>27</v>
      </c>
      <c r="D603" t="s">
        <v>52</v>
      </c>
      <c r="E603" t="s">
        <v>55</v>
      </c>
      <c r="F603" t="s">
        <v>37</v>
      </c>
      <c r="G603">
        <v>138783</v>
      </c>
      <c r="H603">
        <v>18</v>
      </c>
      <c r="I603">
        <v>24</v>
      </c>
      <c r="J603">
        <v>5</v>
      </c>
      <c r="K603">
        <v>4</v>
      </c>
      <c r="L603">
        <v>2</v>
      </c>
      <c r="M603">
        <v>2</v>
      </c>
      <c r="N603" t="s">
        <v>31</v>
      </c>
      <c r="O603" t="s">
        <v>32</v>
      </c>
      <c r="P603">
        <v>1</v>
      </c>
      <c r="Q603">
        <v>47</v>
      </c>
      <c r="R603">
        <v>3</v>
      </c>
      <c r="S603" t="s">
        <v>31</v>
      </c>
      <c r="T603">
        <v>7</v>
      </c>
      <c r="U603" t="s">
        <v>31</v>
      </c>
      <c r="V603" s="1">
        <v>45073</v>
      </c>
    </row>
    <row r="604" spans="1:23" x14ac:dyDescent="0.35">
      <c r="A604" t="s">
        <v>660</v>
      </c>
      <c r="B604">
        <v>46</v>
      </c>
      <c r="C604" t="s">
        <v>27</v>
      </c>
      <c r="D604" t="s">
        <v>35</v>
      </c>
      <c r="E604" t="s">
        <v>85</v>
      </c>
      <c r="F604" t="s">
        <v>61</v>
      </c>
      <c r="G604">
        <v>63767</v>
      </c>
      <c r="H604">
        <v>5</v>
      </c>
      <c r="I604">
        <v>25</v>
      </c>
      <c r="J604">
        <v>2</v>
      </c>
      <c r="K604">
        <v>1</v>
      </c>
      <c r="L604">
        <v>3</v>
      </c>
      <c r="M604">
        <v>3</v>
      </c>
      <c r="N604" t="s">
        <v>31</v>
      </c>
      <c r="O604" t="s">
        <v>32</v>
      </c>
      <c r="P604">
        <v>28</v>
      </c>
      <c r="Q604">
        <v>24</v>
      </c>
      <c r="R604">
        <v>2</v>
      </c>
      <c r="S604" t="s">
        <v>31</v>
      </c>
      <c r="T604">
        <v>8</v>
      </c>
      <c r="U604" t="s">
        <v>31</v>
      </c>
      <c r="V604" s="1">
        <v>40946</v>
      </c>
    </row>
    <row r="605" spans="1:23" x14ac:dyDescent="0.35">
      <c r="A605" t="s">
        <v>661</v>
      </c>
      <c r="B605">
        <v>47</v>
      </c>
      <c r="C605" t="s">
        <v>27</v>
      </c>
      <c r="D605" t="s">
        <v>52</v>
      </c>
      <c r="E605" t="s">
        <v>53</v>
      </c>
      <c r="F605" t="s">
        <v>30</v>
      </c>
      <c r="G605">
        <v>148296</v>
      </c>
      <c r="H605">
        <v>22</v>
      </c>
      <c r="I605">
        <v>24</v>
      </c>
      <c r="J605">
        <v>5</v>
      </c>
      <c r="K605">
        <v>4</v>
      </c>
      <c r="L605">
        <v>3</v>
      </c>
      <c r="M605">
        <v>4</v>
      </c>
      <c r="N605" t="s">
        <v>31</v>
      </c>
      <c r="O605" t="s">
        <v>32</v>
      </c>
      <c r="P605">
        <v>5</v>
      </c>
      <c r="Q605">
        <v>58</v>
      </c>
      <c r="R605">
        <v>3</v>
      </c>
      <c r="S605" t="s">
        <v>33</v>
      </c>
      <c r="T605">
        <v>5</v>
      </c>
      <c r="U605" t="s">
        <v>31</v>
      </c>
      <c r="V605" s="1">
        <v>43490</v>
      </c>
    </row>
    <row r="606" spans="1:23" x14ac:dyDescent="0.35">
      <c r="A606" t="s">
        <v>662</v>
      </c>
      <c r="B606">
        <v>34</v>
      </c>
      <c r="C606" t="s">
        <v>27</v>
      </c>
      <c r="D606" t="s">
        <v>45</v>
      </c>
      <c r="E606" t="s">
        <v>63</v>
      </c>
      <c r="F606" t="s">
        <v>78</v>
      </c>
      <c r="G606">
        <v>75556</v>
      </c>
      <c r="H606">
        <v>4</v>
      </c>
      <c r="I606">
        <v>11</v>
      </c>
      <c r="J606">
        <v>3</v>
      </c>
      <c r="K606">
        <v>2</v>
      </c>
      <c r="L606">
        <v>3</v>
      </c>
      <c r="M606">
        <v>4</v>
      </c>
      <c r="N606" t="s">
        <v>33</v>
      </c>
      <c r="O606" t="s">
        <v>32</v>
      </c>
      <c r="P606">
        <v>21</v>
      </c>
      <c r="Q606">
        <v>49</v>
      </c>
      <c r="R606">
        <v>3</v>
      </c>
      <c r="S606" t="s">
        <v>31</v>
      </c>
      <c r="T606">
        <v>11</v>
      </c>
      <c r="U606" t="s">
        <v>31</v>
      </c>
      <c r="V606" s="1">
        <v>43469</v>
      </c>
    </row>
    <row r="607" spans="1:23" x14ac:dyDescent="0.35">
      <c r="A607" t="s">
        <v>663</v>
      </c>
      <c r="B607">
        <v>51</v>
      </c>
      <c r="C607" t="s">
        <v>27</v>
      </c>
      <c r="D607" t="s">
        <v>45</v>
      </c>
      <c r="E607" t="s">
        <v>46</v>
      </c>
      <c r="F607" t="s">
        <v>61</v>
      </c>
      <c r="G607">
        <v>134773</v>
      </c>
      <c r="H607">
        <v>17</v>
      </c>
      <c r="I607">
        <v>29</v>
      </c>
      <c r="J607">
        <v>5</v>
      </c>
      <c r="K607">
        <v>4</v>
      </c>
      <c r="L607">
        <v>3</v>
      </c>
      <c r="M607">
        <v>1</v>
      </c>
      <c r="N607" t="s">
        <v>31</v>
      </c>
      <c r="O607" t="s">
        <v>32</v>
      </c>
      <c r="P607">
        <v>17</v>
      </c>
      <c r="Q607">
        <v>34</v>
      </c>
      <c r="R607">
        <v>3</v>
      </c>
      <c r="S607" t="s">
        <v>31</v>
      </c>
      <c r="T607">
        <v>4</v>
      </c>
      <c r="U607" t="s">
        <v>33</v>
      </c>
      <c r="V607" s="1">
        <v>44282</v>
      </c>
      <c r="W607" s="1">
        <v>44675</v>
      </c>
    </row>
    <row r="608" spans="1:23" x14ac:dyDescent="0.35">
      <c r="A608" t="s">
        <v>664</v>
      </c>
      <c r="B608">
        <v>38</v>
      </c>
      <c r="C608" t="s">
        <v>44</v>
      </c>
      <c r="D608" t="s">
        <v>52</v>
      </c>
      <c r="E608" t="s">
        <v>55</v>
      </c>
      <c r="F608" t="s">
        <v>41</v>
      </c>
      <c r="G608">
        <v>129936</v>
      </c>
      <c r="H608">
        <v>13</v>
      </c>
      <c r="I608">
        <v>14</v>
      </c>
      <c r="J608">
        <v>5</v>
      </c>
      <c r="K608">
        <v>1</v>
      </c>
      <c r="L608">
        <v>4</v>
      </c>
      <c r="M608">
        <v>1</v>
      </c>
      <c r="N608" t="s">
        <v>33</v>
      </c>
      <c r="O608" t="s">
        <v>32</v>
      </c>
      <c r="P608">
        <v>1</v>
      </c>
      <c r="Q608">
        <v>49</v>
      </c>
      <c r="R608">
        <v>2</v>
      </c>
      <c r="S608" t="s">
        <v>33</v>
      </c>
      <c r="T608">
        <v>3</v>
      </c>
      <c r="U608" t="s">
        <v>31</v>
      </c>
      <c r="V608" s="1">
        <v>41186</v>
      </c>
    </row>
    <row r="609" spans="1:23" x14ac:dyDescent="0.35">
      <c r="A609" t="s">
        <v>665</v>
      </c>
      <c r="B609">
        <v>51</v>
      </c>
      <c r="C609" t="s">
        <v>44</v>
      </c>
      <c r="D609" t="s">
        <v>52</v>
      </c>
      <c r="E609" t="s">
        <v>53</v>
      </c>
      <c r="F609" t="s">
        <v>41</v>
      </c>
      <c r="G609">
        <v>109620</v>
      </c>
      <c r="H609">
        <v>11</v>
      </c>
      <c r="I609">
        <v>30</v>
      </c>
      <c r="J609">
        <v>4</v>
      </c>
      <c r="K609">
        <v>3</v>
      </c>
      <c r="L609">
        <v>2</v>
      </c>
      <c r="M609">
        <v>3</v>
      </c>
      <c r="N609" t="s">
        <v>31</v>
      </c>
      <c r="O609" t="s">
        <v>32</v>
      </c>
      <c r="P609">
        <v>1</v>
      </c>
      <c r="Q609">
        <v>19</v>
      </c>
      <c r="R609">
        <v>2</v>
      </c>
      <c r="S609" t="s">
        <v>31</v>
      </c>
      <c r="T609">
        <v>3</v>
      </c>
      <c r="U609" t="s">
        <v>33</v>
      </c>
      <c r="V609" s="1">
        <v>42039</v>
      </c>
      <c r="W609" s="1">
        <v>42528</v>
      </c>
    </row>
    <row r="610" spans="1:23" x14ac:dyDescent="0.35">
      <c r="A610" t="s">
        <v>666</v>
      </c>
      <c r="B610">
        <v>35</v>
      </c>
      <c r="C610" t="s">
        <v>44</v>
      </c>
      <c r="D610" t="s">
        <v>35</v>
      </c>
      <c r="E610" t="s">
        <v>36</v>
      </c>
      <c r="F610" t="s">
        <v>37</v>
      </c>
      <c r="G610">
        <v>57523</v>
      </c>
      <c r="H610">
        <v>2</v>
      </c>
      <c r="I610">
        <v>13</v>
      </c>
      <c r="J610">
        <v>2</v>
      </c>
      <c r="K610">
        <v>2</v>
      </c>
      <c r="L610">
        <v>4</v>
      </c>
      <c r="M610">
        <v>3</v>
      </c>
      <c r="N610" t="s">
        <v>31</v>
      </c>
      <c r="O610" t="s">
        <v>42</v>
      </c>
      <c r="P610">
        <v>22</v>
      </c>
      <c r="Q610">
        <v>55</v>
      </c>
      <c r="R610">
        <v>3</v>
      </c>
      <c r="S610" t="s">
        <v>31</v>
      </c>
      <c r="T610">
        <v>1</v>
      </c>
      <c r="U610" t="s">
        <v>31</v>
      </c>
      <c r="V610" s="1">
        <v>41487</v>
      </c>
    </row>
    <row r="611" spans="1:23" x14ac:dyDescent="0.35">
      <c r="A611" t="s">
        <v>667</v>
      </c>
      <c r="B611">
        <v>47</v>
      </c>
      <c r="C611" t="s">
        <v>44</v>
      </c>
      <c r="D611" t="s">
        <v>49</v>
      </c>
      <c r="E611" t="s">
        <v>68</v>
      </c>
      <c r="F611" t="s">
        <v>37</v>
      </c>
      <c r="G611">
        <v>119452</v>
      </c>
      <c r="H611">
        <v>11</v>
      </c>
      <c r="I611">
        <v>24</v>
      </c>
      <c r="J611">
        <v>5</v>
      </c>
      <c r="K611">
        <v>4</v>
      </c>
      <c r="L611">
        <v>3</v>
      </c>
      <c r="M611">
        <v>4</v>
      </c>
      <c r="N611" t="s">
        <v>33</v>
      </c>
      <c r="O611" t="s">
        <v>32</v>
      </c>
      <c r="P611">
        <v>12</v>
      </c>
      <c r="Q611">
        <v>43</v>
      </c>
      <c r="R611">
        <v>3</v>
      </c>
      <c r="S611" t="s">
        <v>33</v>
      </c>
      <c r="T611">
        <v>3</v>
      </c>
      <c r="U611" t="s">
        <v>31</v>
      </c>
      <c r="V611" s="1">
        <v>42850</v>
      </c>
    </row>
    <row r="612" spans="1:23" x14ac:dyDescent="0.35">
      <c r="A612" t="s">
        <v>668</v>
      </c>
      <c r="B612">
        <v>51</v>
      </c>
      <c r="C612" t="s">
        <v>27</v>
      </c>
      <c r="D612" t="s">
        <v>28</v>
      </c>
      <c r="E612" t="s">
        <v>29</v>
      </c>
      <c r="F612" t="s">
        <v>78</v>
      </c>
      <c r="G612">
        <v>63534</v>
      </c>
      <c r="H612">
        <v>4</v>
      </c>
      <c r="I612">
        <v>29</v>
      </c>
      <c r="J612">
        <v>2</v>
      </c>
      <c r="K612">
        <v>2</v>
      </c>
      <c r="L612">
        <v>1</v>
      </c>
      <c r="M612">
        <v>4</v>
      </c>
      <c r="N612" t="s">
        <v>33</v>
      </c>
      <c r="O612" t="s">
        <v>32</v>
      </c>
      <c r="P612">
        <v>8</v>
      </c>
      <c r="Q612">
        <v>13</v>
      </c>
      <c r="R612">
        <v>4</v>
      </c>
      <c r="S612" t="s">
        <v>31</v>
      </c>
      <c r="T612">
        <v>4</v>
      </c>
      <c r="U612" t="s">
        <v>31</v>
      </c>
      <c r="V612" s="1">
        <v>45179</v>
      </c>
    </row>
    <row r="613" spans="1:23" x14ac:dyDescent="0.35">
      <c r="A613" t="s">
        <v>669</v>
      </c>
      <c r="B613">
        <v>39</v>
      </c>
      <c r="C613" t="s">
        <v>27</v>
      </c>
      <c r="D613" t="s">
        <v>35</v>
      </c>
      <c r="E613" t="s">
        <v>36</v>
      </c>
      <c r="F613" t="s">
        <v>37</v>
      </c>
      <c r="G613">
        <v>38783</v>
      </c>
      <c r="H613">
        <v>0</v>
      </c>
      <c r="I613">
        <v>15</v>
      </c>
      <c r="J613">
        <v>1</v>
      </c>
      <c r="K613">
        <v>3</v>
      </c>
      <c r="L613">
        <v>2</v>
      </c>
      <c r="M613">
        <v>3</v>
      </c>
      <c r="N613" t="s">
        <v>31</v>
      </c>
      <c r="O613" t="s">
        <v>32</v>
      </c>
      <c r="P613">
        <v>23</v>
      </c>
      <c r="Q613">
        <v>28</v>
      </c>
      <c r="R613">
        <v>3</v>
      </c>
      <c r="S613" t="s">
        <v>31</v>
      </c>
      <c r="T613">
        <v>4</v>
      </c>
      <c r="U613" t="s">
        <v>31</v>
      </c>
      <c r="V613" s="1">
        <v>44504</v>
      </c>
    </row>
    <row r="614" spans="1:23" x14ac:dyDescent="0.35">
      <c r="A614" t="s">
        <v>670</v>
      </c>
      <c r="B614">
        <v>30</v>
      </c>
      <c r="C614" t="s">
        <v>44</v>
      </c>
      <c r="D614" t="s">
        <v>49</v>
      </c>
      <c r="E614" t="s">
        <v>50</v>
      </c>
      <c r="F614" t="s">
        <v>37</v>
      </c>
      <c r="G614">
        <v>105009</v>
      </c>
      <c r="H614">
        <v>8</v>
      </c>
      <c r="I614">
        <v>8</v>
      </c>
      <c r="J614">
        <v>4</v>
      </c>
      <c r="K614">
        <v>3</v>
      </c>
      <c r="L614">
        <v>3</v>
      </c>
      <c r="M614">
        <v>4</v>
      </c>
      <c r="N614" t="s">
        <v>31</v>
      </c>
      <c r="O614" t="s">
        <v>42</v>
      </c>
      <c r="P614">
        <v>8</v>
      </c>
      <c r="Q614">
        <v>35</v>
      </c>
      <c r="R614">
        <v>3</v>
      </c>
      <c r="S614" t="s">
        <v>33</v>
      </c>
      <c r="T614">
        <v>3</v>
      </c>
      <c r="U614" t="s">
        <v>31</v>
      </c>
      <c r="V614" s="1">
        <v>43821</v>
      </c>
    </row>
    <row r="615" spans="1:23" x14ac:dyDescent="0.35">
      <c r="A615" t="s">
        <v>671</v>
      </c>
      <c r="B615">
        <v>48</v>
      </c>
      <c r="C615" t="s">
        <v>27</v>
      </c>
      <c r="D615" t="s">
        <v>28</v>
      </c>
      <c r="E615" t="s">
        <v>29</v>
      </c>
      <c r="F615" t="s">
        <v>78</v>
      </c>
      <c r="G615">
        <v>135991</v>
      </c>
      <c r="H615">
        <v>16</v>
      </c>
      <c r="I615">
        <v>24</v>
      </c>
      <c r="J615">
        <v>5</v>
      </c>
      <c r="K615">
        <v>1</v>
      </c>
      <c r="L615">
        <v>3</v>
      </c>
      <c r="M615">
        <v>2</v>
      </c>
      <c r="N615" t="s">
        <v>31</v>
      </c>
      <c r="O615" t="s">
        <v>32</v>
      </c>
      <c r="P615">
        <v>16</v>
      </c>
      <c r="Q615">
        <v>56</v>
      </c>
      <c r="R615">
        <v>2</v>
      </c>
      <c r="S615" t="s">
        <v>31</v>
      </c>
      <c r="T615">
        <v>6</v>
      </c>
      <c r="U615" t="s">
        <v>33</v>
      </c>
      <c r="V615" s="1">
        <v>44045</v>
      </c>
      <c r="W615" s="1">
        <v>44362</v>
      </c>
    </row>
    <row r="616" spans="1:23" x14ac:dyDescent="0.35">
      <c r="A616" t="s">
        <v>672</v>
      </c>
      <c r="B616">
        <v>46</v>
      </c>
      <c r="C616" t="s">
        <v>44</v>
      </c>
      <c r="D616" t="s">
        <v>35</v>
      </c>
      <c r="E616" t="s">
        <v>36</v>
      </c>
      <c r="F616" t="s">
        <v>78</v>
      </c>
      <c r="G616">
        <v>132760</v>
      </c>
      <c r="H616">
        <v>14</v>
      </c>
      <c r="I616">
        <v>22</v>
      </c>
      <c r="J616">
        <v>5</v>
      </c>
      <c r="K616">
        <v>1</v>
      </c>
      <c r="L616">
        <v>3</v>
      </c>
      <c r="M616">
        <v>2</v>
      </c>
      <c r="N616" t="s">
        <v>31</v>
      </c>
      <c r="O616" t="s">
        <v>32</v>
      </c>
      <c r="P616">
        <v>1</v>
      </c>
      <c r="Q616">
        <v>59</v>
      </c>
      <c r="R616">
        <v>3</v>
      </c>
      <c r="S616" t="s">
        <v>31</v>
      </c>
      <c r="T616">
        <v>4</v>
      </c>
      <c r="U616" t="s">
        <v>31</v>
      </c>
      <c r="V616" s="1">
        <v>44319</v>
      </c>
    </row>
    <row r="617" spans="1:23" x14ac:dyDescent="0.35">
      <c r="A617" t="s">
        <v>673</v>
      </c>
      <c r="B617">
        <v>33</v>
      </c>
      <c r="C617" t="s">
        <v>27</v>
      </c>
      <c r="D617" t="s">
        <v>52</v>
      </c>
      <c r="E617" t="s">
        <v>55</v>
      </c>
      <c r="F617" t="s">
        <v>61</v>
      </c>
      <c r="G617">
        <v>117751</v>
      </c>
      <c r="H617">
        <v>10</v>
      </c>
      <c r="I617">
        <v>10</v>
      </c>
      <c r="J617">
        <v>5</v>
      </c>
      <c r="K617">
        <v>1</v>
      </c>
      <c r="L617">
        <v>1</v>
      </c>
      <c r="M617">
        <v>2</v>
      </c>
      <c r="N617" t="s">
        <v>31</v>
      </c>
      <c r="O617" t="s">
        <v>32</v>
      </c>
      <c r="P617">
        <v>25</v>
      </c>
      <c r="Q617">
        <v>33</v>
      </c>
      <c r="R617">
        <v>3</v>
      </c>
      <c r="S617" t="s">
        <v>31</v>
      </c>
      <c r="T617">
        <v>7</v>
      </c>
      <c r="U617" t="s">
        <v>33</v>
      </c>
      <c r="V617" s="1">
        <v>44709</v>
      </c>
      <c r="W617" s="1">
        <v>45239</v>
      </c>
    </row>
    <row r="618" spans="1:23" x14ac:dyDescent="0.35">
      <c r="A618" t="s">
        <v>674</v>
      </c>
      <c r="B618">
        <v>57</v>
      </c>
      <c r="C618" t="s">
        <v>44</v>
      </c>
      <c r="D618" t="s">
        <v>52</v>
      </c>
      <c r="E618" t="s">
        <v>55</v>
      </c>
      <c r="F618" t="s">
        <v>30</v>
      </c>
      <c r="G618">
        <v>68209</v>
      </c>
      <c r="H618">
        <v>5</v>
      </c>
      <c r="I618">
        <v>35</v>
      </c>
      <c r="J618">
        <v>2</v>
      </c>
      <c r="K618">
        <v>4</v>
      </c>
      <c r="L618">
        <v>2</v>
      </c>
      <c r="M618">
        <v>4</v>
      </c>
      <c r="N618" t="s">
        <v>33</v>
      </c>
      <c r="O618" t="s">
        <v>32</v>
      </c>
      <c r="P618">
        <v>26</v>
      </c>
      <c r="Q618">
        <v>37</v>
      </c>
      <c r="R618">
        <v>4</v>
      </c>
      <c r="S618" t="s">
        <v>31</v>
      </c>
      <c r="T618">
        <v>5</v>
      </c>
      <c r="U618" t="s">
        <v>31</v>
      </c>
      <c r="V618" s="1">
        <v>40928</v>
      </c>
    </row>
    <row r="619" spans="1:23" x14ac:dyDescent="0.35">
      <c r="A619" t="s">
        <v>675</v>
      </c>
      <c r="B619">
        <v>57</v>
      </c>
      <c r="C619" t="s">
        <v>27</v>
      </c>
      <c r="D619" t="s">
        <v>45</v>
      </c>
      <c r="E619" t="s">
        <v>63</v>
      </c>
      <c r="F619" t="s">
        <v>56</v>
      </c>
      <c r="G619">
        <v>154626</v>
      </c>
      <c r="H619">
        <v>28</v>
      </c>
      <c r="I619">
        <v>34</v>
      </c>
      <c r="J619">
        <v>5</v>
      </c>
      <c r="K619">
        <v>1</v>
      </c>
      <c r="L619">
        <v>3</v>
      </c>
      <c r="M619">
        <v>4</v>
      </c>
      <c r="N619" t="s">
        <v>31</v>
      </c>
      <c r="O619" t="s">
        <v>32</v>
      </c>
      <c r="P619">
        <v>26</v>
      </c>
      <c r="Q619">
        <v>10</v>
      </c>
      <c r="R619">
        <v>3</v>
      </c>
      <c r="S619" t="s">
        <v>31</v>
      </c>
      <c r="T619">
        <v>7</v>
      </c>
      <c r="U619" t="s">
        <v>31</v>
      </c>
      <c r="V619" s="1">
        <v>44684</v>
      </c>
    </row>
    <row r="620" spans="1:23" x14ac:dyDescent="0.35">
      <c r="A620" t="s">
        <v>676</v>
      </c>
      <c r="B620">
        <v>29</v>
      </c>
      <c r="C620" t="s">
        <v>27</v>
      </c>
      <c r="D620" t="s">
        <v>39</v>
      </c>
      <c r="E620" t="s">
        <v>40</v>
      </c>
      <c r="F620" t="s">
        <v>56</v>
      </c>
      <c r="G620">
        <v>98339</v>
      </c>
      <c r="H620">
        <v>7</v>
      </c>
      <c r="I620">
        <v>7</v>
      </c>
      <c r="J620">
        <v>4</v>
      </c>
      <c r="K620">
        <v>4</v>
      </c>
      <c r="L620">
        <v>4</v>
      </c>
      <c r="M620">
        <v>3</v>
      </c>
      <c r="N620" t="s">
        <v>31</v>
      </c>
      <c r="O620" t="s">
        <v>32</v>
      </c>
      <c r="P620">
        <v>25</v>
      </c>
      <c r="Q620">
        <v>14</v>
      </c>
      <c r="R620">
        <v>3</v>
      </c>
      <c r="S620" t="s">
        <v>31</v>
      </c>
      <c r="T620">
        <v>5</v>
      </c>
      <c r="U620" t="s">
        <v>31</v>
      </c>
      <c r="V620" s="1">
        <v>42330</v>
      </c>
    </row>
    <row r="621" spans="1:23" x14ac:dyDescent="0.35">
      <c r="A621" t="s">
        <v>677</v>
      </c>
      <c r="B621">
        <v>33</v>
      </c>
      <c r="C621" t="s">
        <v>27</v>
      </c>
      <c r="D621" t="s">
        <v>39</v>
      </c>
      <c r="E621" t="s">
        <v>59</v>
      </c>
      <c r="F621" t="s">
        <v>56</v>
      </c>
      <c r="G621">
        <v>103701</v>
      </c>
      <c r="H621">
        <v>10</v>
      </c>
      <c r="I621">
        <v>10</v>
      </c>
      <c r="J621">
        <v>4</v>
      </c>
      <c r="K621">
        <v>1</v>
      </c>
      <c r="L621">
        <v>2</v>
      </c>
      <c r="M621">
        <v>3</v>
      </c>
      <c r="N621" t="s">
        <v>31</v>
      </c>
      <c r="O621" t="s">
        <v>32</v>
      </c>
      <c r="P621">
        <v>27</v>
      </c>
      <c r="Q621">
        <v>48</v>
      </c>
      <c r="R621">
        <v>3</v>
      </c>
      <c r="S621" t="s">
        <v>33</v>
      </c>
      <c r="T621">
        <v>6</v>
      </c>
      <c r="U621" t="s">
        <v>33</v>
      </c>
      <c r="V621" s="1">
        <v>44971</v>
      </c>
      <c r="W621" s="1">
        <v>45754</v>
      </c>
    </row>
    <row r="622" spans="1:23" x14ac:dyDescent="0.35">
      <c r="A622" t="s">
        <v>678</v>
      </c>
      <c r="B622">
        <v>52</v>
      </c>
      <c r="C622" t="s">
        <v>44</v>
      </c>
      <c r="D622" t="s">
        <v>28</v>
      </c>
      <c r="E622" t="s">
        <v>29</v>
      </c>
      <c r="F622" t="s">
        <v>56</v>
      </c>
      <c r="G622">
        <v>101524</v>
      </c>
      <c r="H622">
        <v>8</v>
      </c>
      <c r="I622">
        <v>29</v>
      </c>
      <c r="J622">
        <v>4</v>
      </c>
      <c r="K622">
        <v>1</v>
      </c>
      <c r="L622">
        <v>1</v>
      </c>
      <c r="M622">
        <v>2</v>
      </c>
      <c r="N622" t="s">
        <v>31</v>
      </c>
      <c r="O622" t="s">
        <v>32</v>
      </c>
      <c r="P622">
        <v>13</v>
      </c>
      <c r="Q622">
        <v>49</v>
      </c>
      <c r="R622">
        <v>3</v>
      </c>
      <c r="S622" t="s">
        <v>33</v>
      </c>
      <c r="T622">
        <v>2</v>
      </c>
      <c r="U622" t="s">
        <v>31</v>
      </c>
      <c r="V622" s="1">
        <v>43238</v>
      </c>
    </row>
    <row r="623" spans="1:23" x14ac:dyDescent="0.35">
      <c r="A623" t="s">
        <v>679</v>
      </c>
      <c r="B623">
        <v>58</v>
      </c>
      <c r="C623" t="s">
        <v>44</v>
      </c>
      <c r="D623" t="s">
        <v>28</v>
      </c>
      <c r="E623" t="s">
        <v>29</v>
      </c>
      <c r="F623" t="s">
        <v>78</v>
      </c>
      <c r="G623">
        <v>163902</v>
      </c>
      <c r="H623">
        <v>30</v>
      </c>
      <c r="I623">
        <v>34</v>
      </c>
      <c r="J623">
        <v>5</v>
      </c>
      <c r="K623">
        <v>4</v>
      </c>
      <c r="L623">
        <v>4</v>
      </c>
      <c r="M623">
        <v>1</v>
      </c>
      <c r="N623" t="s">
        <v>33</v>
      </c>
      <c r="O623" t="s">
        <v>47</v>
      </c>
      <c r="P623">
        <v>26</v>
      </c>
      <c r="Q623">
        <v>51</v>
      </c>
      <c r="R623">
        <v>3</v>
      </c>
      <c r="S623" t="s">
        <v>33</v>
      </c>
      <c r="T623">
        <v>10</v>
      </c>
      <c r="U623" t="s">
        <v>31</v>
      </c>
      <c r="V623" s="1">
        <v>42375</v>
      </c>
    </row>
    <row r="624" spans="1:23" x14ac:dyDescent="0.35">
      <c r="A624" t="s">
        <v>680</v>
      </c>
      <c r="B624">
        <v>29</v>
      </c>
      <c r="C624" t="s">
        <v>27</v>
      </c>
      <c r="D624" t="s">
        <v>49</v>
      </c>
      <c r="E624" t="s">
        <v>68</v>
      </c>
      <c r="F624" t="s">
        <v>78</v>
      </c>
      <c r="G624">
        <v>88833</v>
      </c>
      <c r="H624">
        <v>7</v>
      </c>
      <c r="I624">
        <v>8</v>
      </c>
      <c r="J624">
        <v>3</v>
      </c>
      <c r="K624">
        <v>1</v>
      </c>
      <c r="L624">
        <v>3</v>
      </c>
      <c r="M624">
        <v>1</v>
      </c>
      <c r="N624" t="s">
        <v>31</v>
      </c>
      <c r="O624" t="s">
        <v>42</v>
      </c>
      <c r="P624">
        <v>22</v>
      </c>
      <c r="Q624">
        <v>12</v>
      </c>
      <c r="R624">
        <v>2</v>
      </c>
      <c r="S624" t="s">
        <v>31</v>
      </c>
      <c r="T624">
        <v>7</v>
      </c>
      <c r="U624" t="s">
        <v>31</v>
      </c>
      <c r="V624" s="1">
        <v>44062</v>
      </c>
    </row>
    <row r="625" spans="1:23" x14ac:dyDescent="0.35">
      <c r="A625" t="s">
        <v>681</v>
      </c>
      <c r="B625">
        <v>28</v>
      </c>
      <c r="C625" t="s">
        <v>44</v>
      </c>
      <c r="D625" t="s">
        <v>52</v>
      </c>
      <c r="E625" t="s">
        <v>53</v>
      </c>
      <c r="F625" t="s">
        <v>37</v>
      </c>
      <c r="G625">
        <v>63683</v>
      </c>
      <c r="H625">
        <v>2</v>
      </c>
      <c r="I625">
        <v>4</v>
      </c>
      <c r="J625">
        <v>2</v>
      </c>
      <c r="K625">
        <v>4</v>
      </c>
      <c r="L625">
        <v>4</v>
      </c>
      <c r="M625">
        <v>2</v>
      </c>
      <c r="N625" t="s">
        <v>31</v>
      </c>
      <c r="O625" t="s">
        <v>32</v>
      </c>
      <c r="P625">
        <v>20</v>
      </c>
      <c r="Q625">
        <v>23</v>
      </c>
      <c r="R625">
        <v>3</v>
      </c>
      <c r="S625" t="s">
        <v>31</v>
      </c>
      <c r="T625">
        <v>3</v>
      </c>
      <c r="U625" t="s">
        <v>31</v>
      </c>
      <c r="V625" s="1">
        <v>44488</v>
      </c>
    </row>
    <row r="626" spans="1:23" x14ac:dyDescent="0.35">
      <c r="A626" t="s">
        <v>682</v>
      </c>
      <c r="B626">
        <v>31</v>
      </c>
      <c r="C626" t="s">
        <v>44</v>
      </c>
      <c r="D626" t="s">
        <v>45</v>
      </c>
      <c r="E626" t="s">
        <v>46</v>
      </c>
      <c r="F626" t="s">
        <v>41</v>
      </c>
      <c r="G626">
        <v>98552</v>
      </c>
      <c r="H626">
        <v>6</v>
      </c>
      <c r="I626">
        <v>10</v>
      </c>
      <c r="J626">
        <v>4</v>
      </c>
      <c r="K626">
        <v>4</v>
      </c>
      <c r="L626">
        <v>4</v>
      </c>
      <c r="M626">
        <v>2</v>
      </c>
      <c r="N626" t="s">
        <v>31</v>
      </c>
      <c r="O626" t="s">
        <v>32</v>
      </c>
      <c r="P626">
        <v>10</v>
      </c>
      <c r="Q626">
        <v>45</v>
      </c>
      <c r="R626">
        <v>4</v>
      </c>
      <c r="S626" t="s">
        <v>31</v>
      </c>
      <c r="T626">
        <v>5</v>
      </c>
      <c r="U626" t="s">
        <v>31</v>
      </c>
      <c r="V626" s="1">
        <v>44279</v>
      </c>
    </row>
    <row r="627" spans="1:23" x14ac:dyDescent="0.35">
      <c r="A627" t="s">
        <v>683</v>
      </c>
      <c r="B627">
        <v>58</v>
      </c>
      <c r="C627" t="s">
        <v>27</v>
      </c>
      <c r="D627" t="s">
        <v>35</v>
      </c>
      <c r="E627" t="s">
        <v>36</v>
      </c>
      <c r="F627" t="s">
        <v>78</v>
      </c>
      <c r="G627">
        <v>103673</v>
      </c>
      <c r="H627">
        <v>8</v>
      </c>
      <c r="I627">
        <v>37</v>
      </c>
      <c r="J627">
        <v>4</v>
      </c>
      <c r="K627">
        <v>2</v>
      </c>
      <c r="L627">
        <v>4</v>
      </c>
      <c r="M627">
        <v>4</v>
      </c>
      <c r="N627" t="s">
        <v>33</v>
      </c>
      <c r="O627" t="s">
        <v>32</v>
      </c>
      <c r="P627">
        <v>21</v>
      </c>
      <c r="Q627">
        <v>33</v>
      </c>
      <c r="R627">
        <v>3</v>
      </c>
      <c r="S627" t="s">
        <v>31</v>
      </c>
      <c r="T627">
        <v>4</v>
      </c>
      <c r="U627" t="s">
        <v>31</v>
      </c>
      <c r="V627" s="1">
        <v>44843</v>
      </c>
    </row>
    <row r="628" spans="1:23" x14ac:dyDescent="0.35">
      <c r="A628" t="s">
        <v>684</v>
      </c>
      <c r="B628">
        <v>39</v>
      </c>
      <c r="C628" t="s">
        <v>27</v>
      </c>
      <c r="D628" t="s">
        <v>49</v>
      </c>
      <c r="E628" t="s">
        <v>50</v>
      </c>
      <c r="F628" t="s">
        <v>78</v>
      </c>
      <c r="G628">
        <v>103379</v>
      </c>
      <c r="H628">
        <v>9</v>
      </c>
      <c r="I628">
        <v>16</v>
      </c>
      <c r="J628">
        <v>4</v>
      </c>
      <c r="K628">
        <v>2</v>
      </c>
      <c r="L628">
        <v>3</v>
      </c>
      <c r="M628">
        <v>3</v>
      </c>
      <c r="N628" t="s">
        <v>31</v>
      </c>
      <c r="O628" t="s">
        <v>32</v>
      </c>
      <c r="P628">
        <v>29</v>
      </c>
      <c r="Q628">
        <v>31</v>
      </c>
      <c r="R628">
        <v>3</v>
      </c>
      <c r="S628" t="s">
        <v>31</v>
      </c>
      <c r="T628">
        <v>4</v>
      </c>
      <c r="U628" t="s">
        <v>31</v>
      </c>
      <c r="V628" s="1">
        <v>44274</v>
      </c>
    </row>
    <row r="629" spans="1:23" x14ac:dyDescent="0.35">
      <c r="A629" t="s">
        <v>685</v>
      </c>
      <c r="B629">
        <v>58</v>
      </c>
      <c r="C629" t="s">
        <v>44</v>
      </c>
      <c r="D629" t="s">
        <v>39</v>
      </c>
      <c r="E629" t="s">
        <v>40</v>
      </c>
      <c r="F629" t="s">
        <v>56</v>
      </c>
      <c r="G629">
        <v>82268</v>
      </c>
      <c r="H629">
        <v>7</v>
      </c>
      <c r="I629">
        <v>34</v>
      </c>
      <c r="J629">
        <v>3</v>
      </c>
      <c r="K629">
        <v>2</v>
      </c>
      <c r="L629">
        <v>2</v>
      </c>
      <c r="M629">
        <v>1</v>
      </c>
      <c r="N629" t="s">
        <v>31</v>
      </c>
      <c r="O629" t="s">
        <v>42</v>
      </c>
      <c r="P629">
        <v>6</v>
      </c>
      <c r="Q629">
        <v>56</v>
      </c>
      <c r="R629">
        <v>2</v>
      </c>
      <c r="S629" t="s">
        <v>31</v>
      </c>
      <c r="T629">
        <v>8</v>
      </c>
      <c r="U629" t="s">
        <v>31</v>
      </c>
      <c r="V629" s="1">
        <v>43769</v>
      </c>
    </row>
    <row r="630" spans="1:23" x14ac:dyDescent="0.35">
      <c r="A630" t="s">
        <v>686</v>
      </c>
      <c r="B630">
        <v>41</v>
      </c>
      <c r="C630" t="s">
        <v>27</v>
      </c>
      <c r="D630" t="s">
        <v>52</v>
      </c>
      <c r="E630" t="s">
        <v>53</v>
      </c>
      <c r="F630" t="s">
        <v>37</v>
      </c>
      <c r="G630">
        <v>132737</v>
      </c>
      <c r="H630">
        <v>15</v>
      </c>
      <c r="I630">
        <v>20</v>
      </c>
      <c r="J630">
        <v>5</v>
      </c>
      <c r="K630">
        <v>4</v>
      </c>
      <c r="L630">
        <v>1</v>
      </c>
      <c r="M630">
        <v>2</v>
      </c>
      <c r="N630" t="s">
        <v>31</v>
      </c>
      <c r="O630" t="s">
        <v>42</v>
      </c>
      <c r="P630">
        <v>3</v>
      </c>
      <c r="Q630">
        <v>49</v>
      </c>
      <c r="R630">
        <v>3</v>
      </c>
      <c r="S630" t="s">
        <v>31</v>
      </c>
      <c r="T630">
        <v>5</v>
      </c>
      <c r="U630" t="s">
        <v>33</v>
      </c>
      <c r="V630" s="1">
        <v>44265</v>
      </c>
      <c r="W630" s="1">
        <v>44733</v>
      </c>
    </row>
    <row r="631" spans="1:23" x14ac:dyDescent="0.35">
      <c r="A631" t="s">
        <v>687</v>
      </c>
      <c r="B631">
        <v>36</v>
      </c>
      <c r="C631" t="s">
        <v>27</v>
      </c>
      <c r="D631" t="s">
        <v>52</v>
      </c>
      <c r="E631" t="s">
        <v>53</v>
      </c>
      <c r="F631" t="s">
        <v>78</v>
      </c>
      <c r="G631">
        <v>78563</v>
      </c>
      <c r="H631">
        <v>4</v>
      </c>
      <c r="I631">
        <v>15</v>
      </c>
      <c r="J631">
        <v>3</v>
      </c>
      <c r="K631">
        <v>4</v>
      </c>
      <c r="L631">
        <v>1</v>
      </c>
      <c r="M631">
        <v>1</v>
      </c>
      <c r="N631" t="s">
        <v>31</v>
      </c>
      <c r="O631" t="s">
        <v>32</v>
      </c>
      <c r="P631">
        <v>17</v>
      </c>
      <c r="Q631">
        <v>19</v>
      </c>
      <c r="R631">
        <v>3</v>
      </c>
      <c r="S631" t="s">
        <v>31</v>
      </c>
      <c r="T631">
        <v>4</v>
      </c>
      <c r="U631" t="s">
        <v>31</v>
      </c>
      <c r="V631" s="1">
        <v>43918</v>
      </c>
    </row>
    <row r="632" spans="1:23" x14ac:dyDescent="0.35">
      <c r="A632" t="s">
        <v>688</v>
      </c>
      <c r="B632">
        <v>36</v>
      </c>
      <c r="C632" t="s">
        <v>44</v>
      </c>
      <c r="D632" t="s">
        <v>49</v>
      </c>
      <c r="E632" t="s">
        <v>50</v>
      </c>
      <c r="F632" t="s">
        <v>37</v>
      </c>
      <c r="G632">
        <v>88173</v>
      </c>
      <c r="H632">
        <v>7</v>
      </c>
      <c r="I632">
        <v>13</v>
      </c>
      <c r="J632">
        <v>3</v>
      </c>
      <c r="K632">
        <v>2</v>
      </c>
      <c r="L632">
        <v>1</v>
      </c>
      <c r="M632">
        <v>1</v>
      </c>
      <c r="N632" t="s">
        <v>31</v>
      </c>
      <c r="O632" t="s">
        <v>32</v>
      </c>
      <c r="P632">
        <v>8</v>
      </c>
      <c r="Q632">
        <v>49</v>
      </c>
      <c r="R632">
        <v>3</v>
      </c>
      <c r="S632" t="s">
        <v>33</v>
      </c>
      <c r="T632">
        <v>2</v>
      </c>
      <c r="U632" t="s">
        <v>31</v>
      </c>
      <c r="V632" s="1">
        <v>43281</v>
      </c>
    </row>
    <row r="633" spans="1:23" x14ac:dyDescent="0.35">
      <c r="A633" t="s">
        <v>689</v>
      </c>
      <c r="B633">
        <v>26</v>
      </c>
      <c r="C633" t="s">
        <v>44</v>
      </c>
      <c r="D633" t="s">
        <v>28</v>
      </c>
      <c r="E633" t="s">
        <v>66</v>
      </c>
      <c r="F633" t="s">
        <v>56</v>
      </c>
      <c r="G633">
        <v>78809</v>
      </c>
      <c r="H633">
        <v>4</v>
      </c>
      <c r="I633">
        <v>4</v>
      </c>
      <c r="J633">
        <v>3</v>
      </c>
      <c r="K633">
        <v>4</v>
      </c>
      <c r="L633">
        <v>1</v>
      </c>
      <c r="M633">
        <v>1</v>
      </c>
      <c r="N633" t="s">
        <v>33</v>
      </c>
      <c r="O633" t="s">
        <v>32</v>
      </c>
      <c r="P633">
        <v>28</v>
      </c>
      <c r="Q633">
        <v>33</v>
      </c>
      <c r="R633">
        <v>3</v>
      </c>
      <c r="S633" t="s">
        <v>31</v>
      </c>
      <c r="T633">
        <v>5</v>
      </c>
      <c r="U633" t="s">
        <v>31</v>
      </c>
      <c r="V633" s="1">
        <v>45026</v>
      </c>
    </row>
    <row r="634" spans="1:23" x14ac:dyDescent="0.35">
      <c r="A634" t="s">
        <v>690</v>
      </c>
      <c r="B634">
        <v>59</v>
      </c>
      <c r="C634" t="s">
        <v>27</v>
      </c>
      <c r="D634" t="s">
        <v>28</v>
      </c>
      <c r="E634" t="s">
        <v>66</v>
      </c>
      <c r="F634" t="s">
        <v>30</v>
      </c>
      <c r="G634">
        <v>79758</v>
      </c>
      <c r="H634">
        <v>4</v>
      </c>
      <c r="I634">
        <v>37</v>
      </c>
      <c r="J634">
        <v>3</v>
      </c>
      <c r="K634">
        <v>3</v>
      </c>
      <c r="L634">
        <v>1</v>
      </c>
      <c r="M634">
        <v>4</v>
      </c>
      <c r="N634" t="s">
        <v>31</v>
      </c>
      <c r="O634" t="s">
        <v>32</v>
      </c>
      <c r="P634">
        <v>4</v>
      </c>
      <c r="Q634">
        <v>30</v>
      </c>
      <c r="R634">
        <v>3</v>
      </c>
      <c r="S634" t="s">
        <v>31</v>
      </c>
      <c r="T634">
        <v>5</v>
      </c>
      <c r="U634" t="s">
        <v>31</v>
      </c>
      <c r="V634" s="1">
        <v>41981</v>
      </c>
    </row>
    <row r="635" spans="1:23" x14ac:dyDescent="0.35">
      <c r="A635" t="s">
        <v>691</v>
      </c>
      <c r="B635">
        <v>27</v>
      </c>
      <c r="C635" t="s">
        <v>44</v>
      </c>
      <c r="D635" t="s">
        <v>28</v>
      </c>
      <c r="E635" t="s">
        <v>29</v>
      </c>
      <c r="F635" t="s">
        <v>61</v>
      </c>
      <c r="G635">
        <v>57664</v>
      </c>
      <c r="H635">
        <v>2</v>
      </c>
      <c r="I635">
        <v>6</v>
      </c>
      <c r="J635">
        <v>2</v>
      </c>
      <c r="K635">
        <v>1</v>
      </c>
      <c r="L635">
        <v>3</v>
      </c>
      <c r="M635">
        <v>3</v>
      </c>
      <c r="N635" t="s">
        <v>31</v>
      </c>
      <c r="O635" t="s">
        <v>32</v>
      </c>
      <c r="P635">
        <v>8</v>
      </c>
      <c r="Q635">
        <v>26</v>
      </c>
      <c r="R635">
        <v>3</v>
      </c>
      <c r="S635" t="s">
        <v>31</v>
      </c>
      <c r="T635">
        <v>4</v>
      </c>
      <c r="U635" t="s">
        <v>31</v>
      </c>
      <c r="V635" s="1">
        <v>43010</v>
      </c>
    </row>
    <row r="636" spans="1:23" x14ac:dyDescent="0.35">
      <c r="A636" t="s">
        <v>692</v>
      </c>
      <c r="B636">
        <v>48</v>
      </c>
      <c r="C636" t="s">
        <v>44</v>
      </c>
      <c r="D636" t="s">
        <v>28</v>
      </c>
      <c r="E636" t="s">
        <v>66</v>
      </c>
      <c r="F636" t="s">
        <v>41</v>
      </c>
      <c r="G636">
        <v>62339</v>
      </c>
      <c r="H636">
        <v>4</v>
      </c>
      <c r="I636">
        <v>27</v>
      </c>
      <c r="J636">
        <v>2</v>
      </c>
      <c r="K636">
        <v>3</v>
      </c>
      <c r="L636">
        <v>1</v>
      </c>
      <c r="M636">
        <v>2</v>
      </c>
      <c r="N636" t="s">
        <v>31</v>
      </c>
      <c r="O636" t="s">
        <v>32</v>
      </c>
      <c r="P636">
        <v>22</v>
      </c>
      <c r="Q636">
        <v>41</v>
      </c>
      <c r="R636">
        <v>4</v>
      </c>
      <c r="S636" t="s">
        <v>31</v>
      </c>
      <c r="T636">
        <v>6</v>
      </c>
      <c r="U636" t="s">
        <v>31</v>
      </c>
      <c r="V636" s="1">
        <v>41867</v>
      </c>
    </row>
    <row r="637" spans="1:23" x14ac:dyDescent="0.35">
      <c r="A637" t="s">
        <v>693</v>
      </c>
      <c r="B637">
        <v>44</v>
      </c>
      <c r="C637" t="s">
        <v>44</v>
      </c>
      <c r="D637" t="s">
        <v>49</v>
      </c>
      <c r="E637" t="s">
        <v>68</v>
      </c>
      <c r="F637" t="s">
        <v>78</v>
      </c>
      <c r="G637">
        <v>119066</v>
      </c>
      <c r="H637">
        <v>11</v>
      </c>
      <c r="I637">
        <v>21</v>
      </c>
      <c r="J637">
        <v>5</v>
      </c>
      <c r="K637">
        <v>4</v>
      </c>
      <c r="L637">
        <v>3</v>
      </c>
      <c r="M637">
        <v>2</v>
      </c>
      <c r="N637" t="s">
        <v>33</v>
      </c>
      <c r="O637" t="s">
        <v>32</v>
      </c>
      <c r="P637">
        <v>10</v>
      </c>
      <c r="Q637">
        <v>58</v>
      </c>
      <c r="R637">
        <v>3</v>
      </c>
      <c r="S637" t="s">
        <v>31</v>
      </c>
      <c r="T637">
        <v>6</v>
      </c>
      <c r="U637" t="s">
        <v>31</v>
      </c>
      <c r="V637" s="1">
        <v>44077</v>
      </c>
    </row>
    <row r="638" spans="1:23" x14ac:dyDescent="0.35">
      <c r="A638" t="s">
        <v>694</v>
      </c>
      <c r="B638">
        <v>28</v>
      </c>
      <c r="C638" t="s">
        <v>44</v>
      </c>
      <c r="D638" t="s">
        <v>49</v>
      </c>
      <c r="E638" t="s">
        <v>50</v>
      </c>
      <c r="F638" t="s">
        <v>56</v>
      </c>
      <c r="G638">
        <v>63222</v>
      </c>
      <c r="H638">
        <v>5</v>
      </c>
      <c r="I638">
        <v>5</v>
      </c>
      <c r="J638">
        <v>2</v>
      </c>
      <c r="K638">
        <v>3</v>
      </c>
      <c r="L638">
        <v>2</v>
      </c>
      <c r="M638">
        <v>3</v>
      </c>
      <c r="N638" t="s">
        <v>31</v>
      </c>
      <c r="O638" t="s">
        <v>47</v>
      </c>
      <c r="P638">
        <v>29</v>
      </c>
      <c r="Q638">
        <v>35</v>
      </c>
      <c r="R638">
        <v>3</v>
      </c>
      <c r="S638" t="s">
        <v>31</v>
      </c>
      <c r="T638">
        <v>7</v>
      </c>
      <c r="U638" t="s">
        <v>31</v>
      </c>
      <c r="V638" s="1">
        <v>43432</v>
      </c>
    </row>
    <row r="639" spans="1:23" x14ac:dyDescent="0.35">
      <c r="A639" t="s">
        <v>695</v>
      </c>
      <c r="B639">
        <v>52</v>
      </c>
      <c r="C639" t="s">
        <v>44</v>
      </c>
      <c r="D639" t="s">
        <v>52</v>
      </c>
      <c r="E639" t="s">
        <v>55</v>
      </c>
      <c r="F639" t="s">
        <v>61</v>
      </c>
      <c r="G639">
        <v>60991</v>
      </c>
      <c r="H639">
        <v>1</v>
      </c>
      <c r="I639">
        <v>29</v>
      </c>
      <c r="J639">
        <v>2</v>
      </c>
      <c r="K639">
        <v>4</v>
      </c>
      <c r="L639">
        <v>4</v>
      </c>
      <c r="M639">
        <v>2</v>
      </c>
      <c r="N639" t="s">
        <v>31</v>
      </c>
      <c r="O639" t="s">
        <v>47</v>
      </c>
      <c r="P639">
        <v>17</v>
      </c>
      <c r="Q639">
        <v>19</v>
      </c>
      <c r="R639">
        <v>4</v>
      </c>
      <c r="S639" t="s">
        <v>31</v>
      </c>
      <c r="T639">
        <v>3</v>
      </c>
      <c r="U639" t="s">
        <v>31</v>
      </c>
      <c r="V639" s="1">
        <v>44990</v>
      </c>
    </row>
    <row r="640" spans="1:23" x14ac:dyDescent="0.35">
      <c r="A640" t="s">
        <v>696</v>
      </c>
      <c r="B640">
        <v>49</v>
      </c>
      <c r="C640" t="s">
        <v>44</v>
      </c>
      <c r="D640" t="s">
        <v>52</v>
      </c>
      <c r="E640" t="s">
        <v>53</v>
      </c>
      <c r="F640" t="s">
        <v>30</v>
      </c>
      <c r="G640">
        <v>136499</v>
      </c>
      <c r="H640">
        <v>17</v>
      </c>
      <c r="I640">
        <v>25</v>
      </c>
      <c r="J640">
        <v>5</v>
      </c>
      <c r="K640">
        <v>3</v>
      </c>
      <c r="L640">
        <v>3</v>
      </c>
      <c r="M640">
        <v>4</v>
      </c>
      <c r="N640" t="s">
        <v>31</v>
      </c>
      <c r="O640" t="s">
        <v>32</v>
      </c>
      <c r="P640">
        <v>15</v>
      </c>
      <c r="Q640">
        <v>19</v>
      </c>
      <c r="R640">
        <v>2</v>
      </c>
      <c r="S640" t="s">
        <v>33</v>
      </c>
      <c r="T640">
        <v>11</v>
      </c>
      <c r="U640" t="s">
        <v>31</v>
      </c>
      <c r="V640" s="1">
        <v>44639</v>
      </c>
    </row>
    <row r="641" spans="1:23" x14ac:dyDescent="0.35">
      <c r="A641" t="s">
        <v>697</v>
      </c>
      <c r="B641">
        <v>59</v>
      </c>
      <c r="C641" t="s">
        <v>44</v>
      </c>
      <c r="D641" t="s">
        <v>28</v>
      </c>
      <c r="E641" t="s">
        <v>29</v>
      </c>
      <c r="F641" t="s">
        <v>78</v>
      </c>
      <c r="G641">
        <v>81196</v>
      </c>
      <c r="H641">
        <v>4</v>
      </c>
      <c r="I641">
        <v>37</v>
      </c>
      <c r="J641">
        <v>3</v>
      </c>
      <c r="K641">
        <v>2</v>
      </c>
      <c r="L641">
        <v>2</v>
      </c>
      <c r="M641">
        <v>3</v>
      </c>
      <c r="N641" t="s">
        <v>31</v>
      </c>
      <c r="O641" t="s">
        <v>32</v>
      </c>
      <c r="P641">
        <v>15</v>
      </c>
      <c r="Q641">
        <v>36</v>
      </c>
      <c r="R641">
        <v>3</v>
      </c>
      <c r="S641" t="s">
        <v>31</v>
      </c>
      <c r="T641">
        <v>5</v>
      </c>
      <c r="U641" t="s">
        <v>31</v>
      </c>
      <c r="V641" s="1">
        <v>44039</v>
      </c>
    </row>
    <row r="642" spans="1:23" x14ac:dyDescent="0.35">
      <c r="A642" t="s">
        <v>698</v>
      </c>
      <c r="B642">
        <v>26</v>
      </c>
      <c r="C642" t="s">
        <v>27</v>
      </c>
      <c r="D642" t="s">
        <v>39</v>
      </c>
      <c r="E642" t="s">
        <v>74</v>
      </c>
      <c r="F642" t="s">
        <v>56</v>
      </c>
      <c r="G642">
        <v>43603</v>
      </c>
      <c r="H642">
        <v>0</v>
      </c>
      <c r="I642">
        <v>2</v>
      </c>
      <c r="J642">
        <v>1</v>
      </c>
      <c r="K642">
        <v>1</v>
      </c>
      <c r="L642">
        <v>1</v>
      </c>
      <c r="M642">
        <v>2</v>
      </c>
      <c r="N642" t="s">
        <v>33</v>
      </c>
      <c r="O642" t="s">
        <v>42</v>
      </c>
      <c r="P642">
        <v>2</v>
      </c>
      <c r="Q642">
        <v>54</v>
      </c>
      <c r="R642">
        <v>3</v>
      </c>
      <c r="S642" t="s">
        <v>31</v>
      </c>
      <c r="T642">
        <v>5</v>
      </c>
      <c r="U642" t="s">
        <v>31</v>
      </c>
      <c r="V642" s="1">
        <v>44070</v>
      </c>
    </row>
    <row r="643" spans="1:23" x14ac:dyDescent="0.35">
      <c r="A643" t="s">
        <v>699</v>
      </c>
      <c r="B643">
        <v>36</v>
      </c>
      <c r="C643" t="s">
        <v>44</v>
      </c>
      <c r="D643" t="s">
        <v>39</v>
      </c>
      <c r="E643" t="s">
        <v>40</v>
      </c>
      <c r="F643" t="s">
        <v>41</v>
      </c>
      <c r="G643">
        <v>86695</v>
      </c>
      <c r="H643">
        <v>8</v>
      </c>
      <c r="I643">
        <v>14</v>
      </c>
      <c r="J643">
        <v>3</v>
      </c>
      <c r="K643">
        <v>1</v>
      </c>
      <c r="L643">
        <v>4</v>
      </c>
      <c r="M643">
        <v>4</v>
      </c>
      <c r="N643" t="s">
        <v>33</v>
      </c>
      <c r="O643" t="s">
        <v>32</v>
      </c>
      <c r="P643">
        <v>23</v>
      </c>
      <c r="Q643">
        <v>32</v>
      </c>
      <c r="R643">
        <v>3</v>
      </c>
      <c r="S643" t="s">
        <v>31</v>
      </c>
      <c r="T643">
        <v>9</v>
      </c>
      <c r="U643" t="s">
        <v>31</v>
      </c>
      <c r="V643" s="1">
        <v>43087</v>
      </c>
    </row>
    <row r="644" spans="1:23" x14ac:dyDescent="0.35">
      <c r="A644" t="s">
        <v>700</v>
      </c>
      <c r="B644">
        <v>51</v>
      </c>
      <c r="C644" t="s">
        <v>44</v>
      </c>
      <c r="D644" t="s">
        <v>49</v>
      </c>
      <c r="E644" t="s">
        <v>68</v>
      </c>
      <c r="F644" t="s">
        <v>56</v>
      </c>
      <c r="G644">
        <v>99480</v>
      </c>
      <c r="H644">
        <v>7</v>
      </c>
      <c r="I644">
        <v>28</v>
      </c>
      <c r="J644">
        <v>4</v>
      </c>
      <c r="K644">
        <v>3</v>
      </c>
      <c r="L644">
        <v>2</v>
      </c>
      <c r="M644">
        <v>3</v>
      </c>
      <c r="N644" t="s">
        <v>33</v>
      </c>
      <c r="O644" t="s">
        <v>32</v>
      </c>
      <c r="P644">
        <v>12</v>
      </c>
      <c r="Q644">
        <v>44</v>
      </c>
      <c r="R644">
        <v>4</v>
      </c>
      <c r="S644" t="s">
        <v>33</v>
      </c>
      <c r="T644">
        <v>2</v>
      </c>
      <c r="U644" t="s">
        <v>31</v>
      </c>
      <c r="V644" s="1">
        <v>45038</v>
      </c>
    </row>
    <row r="645" spans="1:23" x14ac:dyDescent="0.35">
      <c r="A645" t="s">
        <v>701</v>
      </c>
      <c r="B645">
        <v>40</v>
      </c>
      <c r="C645" t="s">
        <v>44</v>
      </c>
      <c r="D645" t="s">
        <v>52</v>
      </c>
      <c r="E645" t="s">
        <v>55</v>
      </c>
      <c r="F645" t="s">
        <v>78</v>
      </c>
      <c r="G645">
        <v>86791</v>
      </c>
      <c r="H645">
        <v>8</v>
      </c>
      <c r="I645">
        <v>18</v>
      </c>
      <c r="J645">
        <v>3</v>
      </c>
      <c r="K645">
        <v>2</v>
      </c>
      <c r="L645">
        <v>3</v>
      </c>
      <c r="M645">
        <v>4</v>
      </c>
      <c r="N645" t="s">
        <v>33</v>
      </c>
      <c r="O645" t="s">
        <v>32</v>
      </c>
      <c r="P645">
        <v>22</v>
      </c>
      <c r="Q645">
        <v>57</v>
      </c>
      <c r="R645">
        <v>3</v>
      </c>
      <c r="S645" t="s">
        <v>33</v>
      </c>
      <c r="T645">
        <v>6</v>
      </c>
      <c r="U645" t="s">
        <v>31</v>
      </c>
      <c r="V645" s="1">
        <v>45279</v>
      </c>
    </row>
    <row r="646" spans="1:23" x14ac:dyDescent="0.35">
      <c r="A646" t="s">
        <v>702</v>
      </c>
      <c r="B646">
        <v>43</v>
      </c>
      <c r="C646" t="s">
        <v>27</v>
      </c>
      <c r="D646" t="s">
        <v>28</v>
      </c>
      <c r="E646" t="s">
        <v>66</v>
      </c>
      <c r="F646" t="s">
        <v>30</v>
      </c>
      <c r="G646">
        <v>104669</v>
      </c>
      <c r="H646">
        <v>10</v>
      </c>
      <c r="I646">
        <v>21</v>
      </c>
      <c r="J646">
        <v>4</v>
      </c>
      <c r="K646">
        <v>4</v>
      </c>
      <c r="L646">
        <v>2</v>
      </c>
      <c r="M646">
        <v>3</v>
      </c>
      <c r="N646" t="s">
        <v>33</v>
      </c>
      <c r="O646" t="s">
        <v>32</v>
      </c>
      <c r="P646">
        <v>2</v>
      </c>
      <c r="Q646">
        <v>32</v>
      </c>
      <c r="R646">
        <v>2</v>
      </c>
      <c r="S646" t="s">
        <v>31</v>
      </c>
      <c r="T646">
        <v>3</v>
      </c>
      <c r="U646" t="s">
        <v>31</v>
      </c>
      <c r="V646" s="1">
        <v>43311</v>
      </c>
    </row>
    <row r="647" spans="1:23" x14ac:dyDescent="0.35">
      <c r="A647" t="s">
        <v>703</v>
      </c>
      <c r="B647">
        <v>58</v>
      </c>
      <c r="C647" t="s">
        <v>27</v>
      </c>
      <c r="D647" t="s">
        <v>35</v>
      </c>
      <c r="E647" t="s">
        <v>85</v>
      </c>
      <c r="F647" t="s">
        <v>37</v>
      </c>
      <c r="G647">
        <v>101613</v>
      </c>
      <c r="H647">
        <v>8</v>
      </c>
      <c r="I647">
        <v>34</v>
      </c>
      <c r="J647">
        <v>4</v>
      </c>
      <c r="K647">
        <v>4</v>
      </c>
      <c r="L647">
        <v>4</v>
      </c>
      <c r="M647">
        <v>1</v>
      </c>
      <c r="N647" t="s">
        <v>33</v>
      </c>
      <c r="O647" t="s">
        <v>42</v>
      </c>
      <c r="P647">
        <v>6</v>
      </c>
      <c r="Q647">
        <v>51</v>
      </c>
      <c r="R647">
        <v>4</v>
      </c>
      <c r="S647" t="s">
        <v>33</v>
      </c>
      <c r="T647">
        <v>4</v>
      </c>
      <c r="U647" t="s">
        <v>31</v>
      </c>
      <c r="V647" s="1">
        <v>42299</v>
      </c>
    </row>
    <row r="648" spans="1:23" x14ac:dyDescent="0.35">
      <c r="A648" t="s">
        <v>704</v>
      </c>
      <c r="B648">
        <v>57</v>
      </c>
      <c r="C648" t="s">
        <v>44</v>
      </c>
      <c r="D648" t="s">
        <v>45</v>
      </c>
      <c r="E648" t="s">
        <v>63</v>
      </c>
      <c r="F648" t="s">
        <v>30</v>
      </c>
      <c r="G648">
        <v>127807</v>
      </c>
      <c r="H648">
        <v>12</v>
      </c>
      <c r="I648">
        <v>34</v>
      </c>
      <c r="J648">
        <v>5</v>
      </c>
      <c r="K648">
        <v>4</v>
      </c>
      <c r="L648">
        <v>1</v>
      </c>
      <c r="M648">
        <v>2</v>
      </c>
      <c r="N648" t="s">
        <v>31</v>
      </c>
      <c r="O648" t="s">
        <v>32</v>
      </c>
      <c r="P648">
        <v>28</v>
      </c>
      <c r="Q648">
        <v>17</v>
      </c>
      <c r="R648">
        <v>3</v>
      </c>
      <c r="S648" t="s">
        <v>33</v>
      </c>
      <c r="T648">
        <v>10</v>
      </c>
      <c r="U648" t="s">
        <v>31</v>
      </c>
      <c r="V648" s="1">
        <v>42186</v>
      </c>
    </row>
    <row r="649" spans="1:23" x14ac:dyDescent="0.35">
      <c r="A649" t="s">
        <v>705</v>
      </c>
      <c r="B649">
        <v>36</v>
      </c>
      <c r="C649" t="s">
        <v>27</v>
      </c>
      <c r="D649" t="s">
        <v>28</v>
      </c>
      <c r="E649" t="s">
        <v>29</v>
      </c>
      <c r="F649" t="s">
        <v>56</v>
      </c>
      <c r="G649">
        <v>41939</v>
      </c>
      <c r="H649">
        <v>1</v>
      </c>
      <c r="I649">
        <v>13</v>
      </c>
      <c r="J649">
        <v>1</v>
      </c>
      <c r="K649">
        <v>2</v>
      </c>
      <c r="L649">
        <v>2</v>
      </c>
      <c r="M649">
        <v>1</v>
      </c>
      <c r="N649" t="s">
        <v>33</v>
      </c>
      <c r="O649" t="s">
        <v>47</v>
      </c>
      <c r="P649">
        <v>27</v>
      </c>
      <c r="Q649">
        <v>44</v>
      </c>
      <c r="R649">
        <v>3</v>
      </c>
      <c r="S649" t="s">
        <v>31</v>
      </c>
      <c r="T649">
        <v>4</v>
      </c>
      <c r="U649" t="s">
        <v>31</v>
      </c>
      <c r="V649" s="1">
        <v>43536</v>
      </c>
    </row>
    <row r="650" spans="1:23" x14ac:dyDescent="0.35">
      <c r="A650" t="s">
        <v>706</v>
      </c>
      <c r="B650">
        <v>23</v>
      </c>
      <c r="C650" t="s">
        <v>44</v>
      </c>
      <c r="D650" t="s">
        <v>28</v>
      </c>
      <c r="E650" t="s">
        <v>29</v>
      </c>
      <c r="F650" t="s">
        <v>61</v>
      </c>
      <c r="G650">
        <v>56224</v>
      </c>
      <c r="H650">
        <v>0</v>
      </c>
      <c r="I650">
        <v>1</v>
      </c>
      <c r="J650">
        <v>2</v>
      </c>
      <c r="K650">
        <v>3</v>
      </c>
      <c r="L650">
        <v>2</v>
      </c>
      <c r="M650">
        <v>3</v>
      </c>
      <c r="N650" t="s">
        <v>31</v>
      </c>
      <c r="O650" t="s">
        <v>32</v>
      </c>
      <c r="P650">
        <v>14</v>
      </c>
      <c r="Q650">
        <v>38</v>
      </c>
      <c r="R650">
        <v>3</v>
      </c>
      <c r="S650" t="s">
        <v>31</v>
      </c>
      <c r="T650">
        <v>4</v>
      </c>
      <c r="U650" t="s">
        <v>31</v>
      </c>
      <c r="V650" s="1">
        <v>44591</v>
      </c>
    </row>
    <row r="651" spans="1:23" x14ac:dyDescent="0.35">
      <c r="A651" t="s">
        <v>707</v>
      </c>
      <c r="B651">
        <v>28</v>
      </c>
      <c r="C651" t="s">
        <v>27</v>
      </c>
      <c r="D651" t="s">
        <v>39</v>
      </c>
      <c r="E651" t="s">
        <v>40</v>
      </c>
      <c r="F651" t="s">
        <v>61</v>
      </c>
      <c r="G651">
        <v>53254</v>
      </c>
      <c r="H651">
        <v>0</v>
      </c>
      <c r="I651">
        <v>5</v>
      </c>
      <c r="J651">
        <v>2</v>
      </c>
      <c r="K651">
        <v>4</v>
      </c>
      <c r="L651">
        <v>2</v>
      </c>
      <c r="M651">
        <v>3</v>
      </c>
      <c r="N651" t="s">
        <v>31</v>
      </c>
      <c r="O651" t="s">
        <v>32</v>
      </c>
      <c r="P651">
        <v>26</v>
      </c>
      <c r="Q651">
        <v>17</v>
      </c>
      <c r="R651">
        <v>3</v>
      </c>
      <c r="S651" t="s">
        <v>31</v>
      </c>
      <c r="T651">
        <v>5</v>
      </c>
      <c r="U651" t="s">
        <v>33</v>
      </c>
      <c r="V651" s="1">
        <v>43577</v>
      </c>
      <c r="W651" s="1">
        <v>44516</v>
      </c>
    </row>
    <row r="652" spans="1:23" x14ac:dyDescent="0.35">
      <c r="A652" t="s">
        <v>708</v>
      </c>
      <c r="B652">
        <v>34</v>
      </c>
      <c r="C652" t="s">
        <v>27</v>
      </c>
      <c r="D652" t="s">
        <v>45</v>
      </c>
      <c r="E652" t="s">
        <v>46</v>
      </c>
      <c r="F652" t="s">
        <v>41</v>
      </c>
      <c r="G652">
        <v>54249</v>
      </c>
      <c r="H652">
        <v>1</v>
      </c>
      <c r="I652">
        <v>12</v>
      </c>
      <c r="J652">
        <v>2</v>
      </c>
      <c r="K652">
        <v>1</v>
      </c>
      <c r="L652">
        <v>4</v>
      </c>
      <c r="M652">
        <v>3</v>
      </c>
      <c r="N652" t="s">
        <v>31</v>
      </c>
      <c r="O652" t="s">
        <v>42</v>
      </c>
      <c r="P652">
        <v>12</v>
      </c>
      <c r="Q652">
        <v>46</v>
      </c>
      <c r="R652">
        <v>3</v>
      </c>
      <c r="S652" t="s">
        <v>31</v>
      </c>
      <c r="T652">
        <v>2</v>
      </c>
      <c r="U652" t="s">
        <v>31</v>
      </c>
      <c r="V652" s="1">
        <v>43204</v>
      </c>
    </row>
    <row r="653" spans="1:23" x14ac:dyDescent="0.35">
      <c r="A653" t="s">
        <v>709</v>
      </c>
      <c r="B653">
        <v>27</v>
      </c>
      <c r="C653" t="s">
        <v>44</v>
      </c>
      <c r="D653" t="s">
        <v>52</v>
      </c>
      <c r="E653" t="s">
        <v>53</v>
      </c>
      <c r="F653" t="s">
        <v>56</v>
      </c>
      <c r="G653">
        <v>59586</v>
      </c>
      <c r="H653">
        <v>3</v>
      </c>
      <c r="I653">
        <v>3</v>
      </c>
      <c r="J653">
        <v>2</v>
      </c>
      <c r="K653">
        <v>2</v>
      </c>
      <c r="L653">
        <v>1</v>
      </c>
      <c r="M653">
        <v>1</v>
      </c>
      <c r="N653" t="s">
        <v>31</v>
      </c>
      <c r="O653" t="s">
        <v>47</v>
      </c>
      <c r="P653">
        <v>2</v>
      </c>
      <c r="Q653">
        <v>37</v>
      </c>
      <c r="R653">
        <v>3</v>
      </c>
      <c r="S653" t="s">
        <v>31</v>
      </c>
      <c r="T653">
        <v>9</v>
      </c>
      <c r="U653" t="s">
        <v>33</v>
      </c>
      <c r="V653" s="1">
        <v>41626</v>
      </c>
      <c r="W653" s="1">
        <v>42275</v>
      </c>
    </row>
    <row r="654" spans="1:23" x14ac:dyDescent="0.35">
      <c r="A654" t="s">
        <v>710</v>
      </c>
      <c r="B654">
        <v>43</v>
      </c>
      <c r="C654" t="s">
        <v>44</v>
      </c>
      <c r="D654" t="s">
        <v>39</v>
      </c>
      <c r="E654" t="s">
        <v>74</v>
      </c>
      <c r="F654" t="s">
        <v>78</v>
      </c>
      <c r="G654">
        <v>140200</v>
      </c>
      <c r="H654">
        <v>21</v>
      </c>
      <c r="I654">
        <v>22</v>
      </c>
      <c r="J654">
        <v>5</v>
      </c>
      <c r="K654">
        <v>3</v>
      </c>
      <c r="L654">
        <v>4</v>
      </c>
      <c r="M654">
        <v>2</v>
      </c>
      <c r="N654" t="s">
        <v>31</v>
      </c>
      <c r="O654" t="s">
        <v>32</v>
      </c>
      <c r="P654">
        <v>6</v>
      </c>
      <c r="Q654">
        <v>56</v>
      </c>
      <c r="R654">
        <v>4</v>
      </c>
      <c r="S654" t="s">
        <v>31</v>
      </c>
      <c r="T654">
        <v>6</v>
      </c>
      <c r="U654" t="s">
        <v>31</v>
      </c>
      <c r="V654" s="1">
        <v>43725</v>
      </c>
    </row>
    <row r="655" spans="1:23" x14ac:dyDescent="0.35">
      <c r="A655" t="s">
        <v>711</v>
      </c>
      <c r="B655">
        <v>28</v>
      </c>
      <c r="C655" t="s">
        <v>27</v>
      </c>
      <c r="D655" t="s">
        <v>49</v>
      </c>
      <c r="E655" t="s">
        <v>68</v>
      </c>
      <c r="F655" t="s">
        <v>56</v>
      </c>
      <c r="G655">
        <v>42037</v>
      </c>
      <c r="H655">
        <v>2</v>
      </c>
      <c r="I655">
        <v>6</v>
      </c>
      <c r="J655">
        <v>1</v>
      </c>
      <c r="K655">
        <v>1</v>
      </c>
      <c r="L655">
        <v>4</v>
      </c>
      <c r="M655">
        <v>2</v>
      </c>
      <c r="N655" t="s">
        <v>31</v>
      </c>
      <c r="O655" t="s">
        <v>32</v>
      </c>
      <c r="P655">
        <v>10</v>
      </c>
      <c r="Q655">
        <v>15</v>
      </c>
      <c r="R655">
        <v>3</v>
      </c>
      <c r="S655" t="s">
        <v>31</v>
      </c>
      <c r="T655">
        <v>6</v>
      </c>
      <c r="U655" t="s">
        <v>31</v>
      </c>
      <c r="V655" s="1">
        <v>41662</v>
      </c>
    </row>
    <row r="656" spans="1:23" x14ac:dyDescent="0.35">
      <c r="A656" t="s">
        <v>712</v>
      </c>
      <c r="B656">
        <v>31</v>
      </c>
      <c r="C656" t="s">
        <v>27</v>
      </c>
      <c r="D656" t="s">
        <v>49</v>
      </c>
      <c r="E656" t="s">
        <v>50</v>
      </c>
      <c r="F656" t="s">
        <v>41</v>
      </c>
      <c r="G656">
        <v>56395</v>
      </c>
      <c r="H656">
        <v>2</v>
      </c>
      <c r="I656">
        <v>7</v>
      </c>
      <c r="J656">
        <v>2</v>
      </c>
      <c r="K656">
        <v>2</v>
      </c>
      <c r="L656">
        <v>3</v>
      </c>
      <c r="M656">
        <v>4</v>
      </c>
      <c r="N656" t="s">
        <v>31</v>
      </c>
      <c r="O656" t="s">
        <v>42</v>
      </c>
      <c r="P656">
        <v>9</v>
      </c>
      <c r="Q656">
        <v>36</v>
      </c>
      <c r="R656">
        <v>2</v>
      </c>
      <c r="S656" t="s">
        <v>31</v>
      </c>
      <c r="T656">
        <v>7</v>
      </c>
      <c r="U656" t="s">
        <v>31</v>
      </c>
      <c r="V656" s="1">
        <v>42510</v>
      </c>
    </row>
    <row r="657" spans="1:23" x14ac:dyDescent="0.35">
      <c r="A657" t="s">
        <v>713</v>
      </c>
      <c r="B657">
        <v>26</v>
      </c>
      <c r="C657" t="s">
        <v>44</v>
      </c>
      <c r="D657" t="s">
        <v>45</v>
      </c>
      <c r="E657" t="s">
        <v>46</v>
      </c>
      <c r="F657" t="s">
        <v>61</v>
      </c>
      <c r="G657">
        <v>43439</v>
      </c>
      <c r="H657">
        <v>2</v>
      </c>
      <c r="I657">
        <v>4</v>
      </c>
      <c r="J657">
        <v>1</v>
      </c>
      <c r="K657">
        <v>4</v>
      </c>
      <c r="L657">
        <v>3</v>
      </c>
      <c r="M657">
        <v>4</v>
      </c>
      <c r="N657" t="s">
        <v>31</v>
      </c>
      <c r="O657" t="s">
        <v>42</v>
      </c>
      <c r="P657">
        <v>15</v>
      </c>
      <c r="Q657">
        <v>37</v>
      </c>
      <c r="R657">
        <v>3</v>
      </c>
      <c r="S657" t="s">
        <v>31</v>
      </c>
      <c r="T657">
        <v>2</v>
      </c>
      <c r="U657" t="s">
        <v>31</v>
      </c>
      <c r="V657" s="1">
        <v>41018</v>
      </c>
    </row>
    <row r="658" spans="1:23" x14ac:dyDescent="0.35">
      <c r="A658" t="s">
        <v>714</v>
      </c>
      <c r="B658">
        <v>40</v>
      </c>
      <c r="C658" t="s">
        <v>27</v>
      </c>
      <c r="D658" t="s">
        <v>39</v>
      </c>
      <c r="E658" t="s">
        <v>74</v>
      </c>
      <c r="F658" t="s">
        <v>41</v>
      </c>
      <c r="G658">
        <v>62098</v>
      </c>
      <c r="H658">
        <v>5</v>
      </c>
      <c r="I658">
        <v>17</v>
      </c>
      <c r="J658">
        <v>2</v>
      </c>
      <c r="K658">
        <v>3</v>
      </c>
      <c r="L658">
        <v>3</v>
      </c>
      <c r="M658">
        <v>1</v>
      </c>
      <c r="N658" t="s">
        <v>31</v>
      </c>
      <c r="O658" t="s">
        <v>32</v>
      </c>
      <c r="P658">
        <v>18</v>
      </c>
      <c r="Q658">
        <v>33</v>
      </c>
      <c r="R658">
        <v>3</v>
      </c>
      <c r="S658" t="s">
        <v>33</v>
      </c>
      <c r="T658">
        <v>5</v>
      </c>
      <c r="U658" t="s">
        <v>33</v>
      </c>
      <c r="V658" s="1">
        <v>42866</v>
      </c>
      <c r="W658" s="1">
        <v>43598</v>
      </c>
    </row>
    <row r="659" spans="1:23" x14ac:dyDescent="0.35">
      <c r="A659" t="s">
        <v>715</v>
      </c>
      <c r="B659">
        <v>47</v>
      </c>
      <c r="C659" t="s">
        <v>27</v>
      </c>
      <c r="D659" t="s">
        <v>52</v>
      </c>
      <c r="E659" t="s">
        <v>55</v>
      </c>
      <c r="F659" t="s">
        <v>78</v>
      </c>
      <c r="G659">
        <v>102540</v>
      </c>
      <c r="H659">
        <v>7</v>
      </c>
      <c r="I659">
        <v>25</v>
      </c>
      <c r="J659">
        <v>4</v>
      </c>
      <c r="K659">
        <v>4</v>
      </c>
      <c r="L659">
        <v>3</v>
      </c>
      <c r="M659">
        <v>3</v>
      </c>
      <c r="N659" t="s">
        <v>31</v>
      </c>
      <c r="O659" t="s">
        <v>47</v>
      </c>
      <c r="P659">
        <v>3</v>
      </c>
      <c r="Q659">
        <v>35</v>
      </c>
      <c r="R659">
        <v>3</v>
      </c>
      <c r="S659" t="s">
        <v>31</v>
      </c>
      <c r="T659">
        <v>9</v>
      </c>
      <c r="U659" t="s">
        <v>31</v>
      </c>
      <c r="V659" s="1">
        <v>42896</v>
      </c>
    </row>
    <row r="660" spans="1:23" x14ac:dyDescent="0.35">
      <c r="A660" t="s">
        <v>716</v>
      </c>
      <c r="B660">
        <v>25</v>
      </c>
      <c r="C660" t="s">
        <v>27</v>
      </c>
      <c r="D660" t="s">
        <v>28</v>
      </c>
      <c r="E660" t="s">
        <v>29</v>
      </c>
      <c r="F660" t="s">
        <v>56</v>
      </c>
      <c r="G660">
        <v>37123</v>
      </c>
      <c r="H660">
        <v>0</v>
      </c>
      <c r="I660">
        <v>1</v>
      </c>
      <c r="J660">
        <v>1</v>
      </c>
      <c r="K660">
        <v>4</v>
      </c>
      <c r="L660">
        <v>1</v>
      </c>
      <c r="M660">
        <v>4</v>
      </c>
      <c r="N660" t="s">
        <v>33</v>
      </c>
      <c r="O660" t="s">
        <v>32</v>
      </c>
      <c r="P660">
        <v>19</v>
      </c>
      <c r="Q660">
        <v>11</v>
      </c>
      <c r="R660">
        <v>2</v>
      </c>
      <c r="S660" t="s">
        <v>31</v>
      </c>
      <c r="T660">
        <v>5</v>
      </c>
      <c r="U660" t="s">
        <v>33</v>
      </c>
      <c r="V660" s="1">
        <v>42742</v>
      </c>
      <c r="W660" s="1">
        <v>43132</v>
      </c>
    </row>
    <row r="661" spans="1:23" x14ac:dyDescent="0.35">
      <c r="A661" t="s">
        <v>717</v>
      </c>
      <c r="B661">
        <v>59</v>
      </c>
      <c r="C661" t="s">
        <v>27</v>
      </c>
      <c r="D661" t="s">
        <v>35</v>
      </c>
      <c r="E661" t="s">
        <v>36</v>
      </c>
      <c r="F661" t="s">
        <v>30</v>
      </c>
      <c r="G661">
        <v>144710</v>
      </c>
      <c r="H661">
        <v>21</v>
      </c>
      <c r="I661">
        <v>35</v>
      </c>
      <c r="J661">
        <v>5</v>
      </c>
      <c r="K661">
        <v>1</v>
      </c>
      <c r="L661">
        <v>3</v>
      </c>
      <c r="M661">
        <v>3</v>
      </c>
      <c r="N661" t="s">
        <v>31</v>
      </c>
      <c r="O661" t="s">
        <v>32</v>
      </c>
      <c r="P661">
        <v>26</v>
      </c>
      <c r="Q661">
        <v>22</v>
      </c>
      <c r="R661">
        <v>3</v>
      </c>
      <c r="S661" t="s">
        <v>33</v>
      </c>
      <c r="T661">
        <v>4</v>
      </c>
      <c r="U661" t="s">
        <v>31</v>
      </c>
      <c r="V661" s="1">
        <v>44152</v>
      </c>
    </row>
    <row r="662" spans="1:23" x14ac:dyDescent="0.35">
      <c r="A662" t="s">
        <v>718</v>
      </c>
      <c r="B662">
        <v>24</v>
      </c>
      <c r="C662" t="s">
        <v>44</v>
      </c>
      <c r="D662" t="s">
        <v>39</v>
      </c>
      <c r="E662" t="s">
        <v>74</v>
      </c>
      <c r="F662" t="s">
        <v>41</v>
      </c>
      <c r="G662">
        <v>54065</v>
      </c>
      <c r="H662">
        <v>1</v>
      </c>
      <c r="I662">
        <v>2</v>
      </c>
      <c r="J662">
        <v>2</v>
      </c>
      <c r="K662">
        <v>1</v>
      </c>
      <c r="L662">
        <v>3</v>
      </c>
      <c r="M662">
        <v>3</v>
      </c>
      <c r="N662" t="s">
        <v>33</v>
      </c>
      <c r="O662" t="s">
        <v>32</v>
      </c>
      <c r="P662">
        <v>20</v>
      </c>
      <c r="Q662">
        <v>14</v>
      </c>
      <c r="R662">
        <v>4</v>
      </c>
      <c r="S662" t="s">
        <v>31</v>
      </c>
      <c r="T662">
        <v>6</v>
      </c>
      <c r="U662" t="s">
        <v>31</v>
      </c>
      <c r="V662" s="1">
        <v>41956</v>
      </c>
    </row>
    <row r="663" spans="1:23" x14ac:dyDescent="0.35">
      <c r="A663" t="s">
        <v>719</v>
      </c>
      <c r="B663">
        <v>59</v>
      </c>
      <c r="C663" t="s">
        <v>27</v>
      </c>
      <c r="D663" t="s">
        <v>28</v>
      </c>
      <c r="E663" t="s">
        <v>29</v>
      </c>
      <c r="F663" t="s">
        <v>78</v>
      </c>
      <c r="G663">
        <v>169942</v>
      </c>
      <c r="H663">
        <v>35</v>
      </c>
      <c r="I663">
        <v>37</v>
      </c>
      <c r="J663">
        <v>5</v>
      </c>
      <c r="K663">
        <v>1</v>
      </c>
      <c r="L663">
        <v>2</v>
      </c>
      <c r="M663">
        <v>1</v>
      </c>
      <c r="N663" t="s">
        <v>31</v>
      </c>
      <c r="O663" t="s">
        <v>42</v>
      </c>
      <c r="P663">
        <v>2</v>
      </c>
      <c r="Q663">
        <v>15</v>
      </c>
      <c r="R663">
        <v>3</v>
      </c>
      <c r="S663" t="s">
        <v>33</v>
      </c>
      <c r="T663">
        <v>4</v>
      </c>
      <c r="U663" t="s">
        <v>31</v>
      </c>
      <c r="V663" s="1">
        <v>43399</v>
      </c>
    </row>
    <row r="664" spans="1:23" x14ac:dyDescent="0.35">
      <c r="A664" t="s">
        <v>720</v>
      </c>
      <c r="B664">
        <v>34</v>
      </c>
      <c r="C664" t="s">
        <v>44</v>
      </c>
      <c r="D664" t="s">
        <v>39</v>
      </c>
      <c r="E664" t="s">
        <v>40</v>
      </c>
      <c r="F664" t="s">
        <v>78</v>
      </c>
      <c r="G664">
        <v>43694</v>
      </c>
      <c r="H664">
        <v>1</v>
      </c>
      <c r="I664">
        <v>12</v>
      </c>
      <c r="J664">
        <v>1</v>
      </c>
      <c r="K664">
        <v>3</v>
      </c>
      <c r="L664">
        <v>2</v>
      </c>
      <c r="M664">
        <v>4</v>
      </c>
      <c r="N664" t="s">
        <v>33</v>
      </c>
      <c r="O664" t="s">
        <v>32</v>
      </c>
      <c r="P664">
        <v>10</v>
      </c>
      <c r="Q664">
        <v>26</v>
      </c>
      <c r="R664">
        <v>4</v>
      </c>
      <c r="S664" t="s">
        <v>31</v>
      </c>
      <c r="T664">
        <v>2</v>
      </c>
      <c r="U664" t="s">
        <v>33</v>
      </c>
      <c r="V664" s="1">
        <v>41947</v>
      </c>
      <c r="W664" s="1">
        <v>42074</v>
      </c>
    </row>
    <row r="665" spans="1:23" x14ac:dyDescent="0.35">
      <c r="A665" t="s">
        <v>721</v>
      </c>
      <c r="B665">
        <v>25</v>
      </c>
      <c r="C665" t="s">
        <v>44</v>
      </c>
      <c r="D665" t="s">
        <v>35</v>
      </c>
      <c r="E665" t="s">
        <v>85</v>
      </c>
      <c r="F665" t="s">
        <v>41</v>
      </c>
      <c r="G665">
        <v>40360</v>
      </c>
      <c r="H665">
        <v>1</v>
      </c>
      <c r="I665">
        <v>4</v>
      </c>
      <c r="J665">
        <v>1</v>
      </c>
      <c r="K665">
        <v>3</v>
      </c>
      <c r="L665">
        <v>2</v>
      </c>
      <c r="M665">
        <v>4</v>
      </c>
      <c r="N665" t="s">
        <v>31</v>
      </c>
      <c r="O665" t="s">
        <v>32</v>
      </c>
      <c r="P665">
        <v>4</v>
      </c>
      <c r="Q665">
        <v>14</v>
      </c>
      <c r="R665">
        <v>3</v>
      </c>
      <c r="S665" t="s">
        <v>31</v>
      </c>
      <c r="T665">
        <v>4</v>
      </c>
      <c r="U665" t="s">
        <v>31</v>
      </c>
      <c r="V665" s="1">
        <v>44761</v>
      </c>
    </row>
    <row r="666" spans="1:23" x14ac:dyDescent="0.35">
      <c r="A666" t="s">
        <v>722</v>
      </c>
      <c r="B666">
        <v>33</v>
      </c>
      <c r="C666" t="s">
        <v>44</v>
      </c>
      <c r="D666" t="s">
        <v>49</v>
      </c>
      <c r="E666" t="s">
        <v>68</v>
      </c>
      <c r="F666" t="s">
        <v>37</v>
      </c>
      <c r="G666">
        <v>45409</v>
      </c>
      <c r="H666">
        <v>1</v>
      </c>
      <c r="I666">
        <v>10</v>
      </c>
      <c r="J666">
        <v>1</v>
      </c>
      <c r="K666">
        <v>1</v>
      </c>
      <c r="L666">
        <v>4</v>
      </c>
      <c r="M666">
        <v>2</v>
      </c>
      <c r="N666" t="s">
        <v>31</v>
      </c>
      <c r="O666" t="s">
        <v>32</v>
      </c>
      <c r="P666">
        <v>8</v>
      </c>
      <c r="Q666">
        <v>34</v>
      </c>
      <c r="R666">
        <v>3</v>
      </c>
      <c r="S666" t="s">
        <v>31</v>
      </c>
      <c r="T666">
        <v>5</v>
      </c>
      <c r="U666" t="s">
        <v>31</v>
      </c>
      <c r="V666" s="1">
        <v>43029</v>
      </c>
    </row>
    <row r="667" spans="1:23" x14ac:dyDescent="0.35">
      <c r="A667" t="s">
        <v>723</v>
      </c>
      <c r="B667">
        <v>56</v>
      </c>
      <c r="C667" t="s">
        <v>44</v>
      </c>
      <c r="D667" t="s">
        <v>28</v>
      </c>
      <c r="E667" t="s">
        <v>29</v>
      </c>
      <c r="F667" t="s">
        <v>61</v>
      </c>
      <c r="G667">
        <v>159759</v>
      </c>
      <c r="H667">
        <v>31</v>
      </c>
      <c r="I667">
        <v>34</v>
      </c>
      <c r="J667">
        <v>5</v>
      </c>
      <c r="K667">
        <v>3</v>
      </c>
      <c r="L667">
        <v>1</v>
      </c>
      <c r="M667">
        <v>2</v>
      </c>
      <c r="N667" t="s">
        <v>31</v>
      </c>
      <c r="O667" t="s">
        <v>32</v>
      </c>
      <c r="P667">
        <v>7</v>
      </c>
      <c r="Q667">
        <v>37</v>
      </c>
      <c r="R667">
        <v>3</v>
      </c>
      <c r="S667" t="s">
        <v>31</v>
      </c>
      <c r="T667">
        <v>5</v>
      </c>
      <c r="U667" t="s">
        <v>31</v>
      </c>
      <c r="V667" s="1">
        <v>42479</v>
      </c>
    </row>
    <row r="668" spans="1:23" x14ac:dyDescent="0.35">
      <c r="A668" t="s">
        <v>724</v>
      </c>
      <c r="B668">
        <v>26</v>
      </c>
      <c r="C668" t="s">
        <v>27</v>
      </c>
      <c r="D668" t="s">
        <v>45</v>
      </c>
      <c r="E668" t="s">
        <v>46</v>
      </c>
      <c r="F668" t="s">
        <v>61</v>
      </c>
      <c r="G668">
        <v>59775</v>
      </c>
      <c r="H668">
        <v>1</v>
      </c>
      <c r="I668">
        <v>4</v>
      </c>
      <c r="J668">
        <v>2</v>
      </c>
      <c r="K668">
        <v>4</v>
      </c>
      <c r="L668">
        <v>1</v>
      </c>
      <c r="M668">
        <v>2</v>
      </c>
      <c r="N668" t="s">
        <v>33</v>
      </c>
      <c r="O668" t="s">
        <v>32</v>
      </c>
      <c r="P668">
        <v>28</v>
      </c>
      <c r="Q668">
        <v>34</v>
      </c>
      <c r="R668">
        <v>3</v>
      </c>
      <c r="S668" t="s">
        <v>31</v>
      </c>
      <c r="T668">
        <v>2</v>
      </c>
      <c r="U668" t="s">
        <v>31</v>
      </c>
      <c r="V668" s="1">
        <v>44656</v>
      </c>
    </row>
    <row r="669" spans="1:23" x14ac:dyDescent="0.35">
      <c r="A669" t="s">
        <v>725</v>
      </c>
      <c r="B669">
        <v>39</v>
      </c>
      <c r="C669" t="s">
        <v>27</v>
      </c>
      <c r="D669" t="s">
        <v>49</v>
      </c>
      <c r="E669" t="s">
        <v>68</v>
      </c>
      <c r="F669" t="s">
        <v>37</v>
      </c>
      <c r="G669">
        <v>77066</v>
      </c>
      <c r="H669">
        <v>5</v>
      </c>
      <c r="I669">
        <v>17</v>
      </c>
      <c r="J669">
        <v>3</v>
      </c>
      <c r="K669">
        <v>4</v>
      </c>
      <c r="L669">
        <v>1</v>
      </c>
      <c r="M669">
        <v>4</v>
      </c>
      <c r="N669" t="s">
        <v>33</v>
      </c>
      <c r="O669" t="s">
        <v>32</v>
      </c>
      <c r="P669">
        <v>19</v>
      </c>
      <c r="Q669">
        <v>18</v>
      </c>
      <c r="R669">
        <v>3</v>
      </c>
      <c r="S669" t="s">
        <v>33</v>
      </c>
      <c r="T669">
        <v>4</v>
      </c>
      <c r="U669" t="s">
        <v>33</v>
      </c>
      <c r="V669" s="1">
        <v>42465</v>
      </c>
      <c r="W669" s="1">
        <v>42692</v>
      </c>
    </row>
    <row r="670" spans="1:23" x14ac:dyDescent="0.35">
      <c r="A670" t="s">
        <v>726</v>
      </c>
      <c r="B670">
        <v>24</v>
      </c>
      <c r="C670" t="s">
        <v>27</v>
      </c>
      <c r="D670" t="s">
        <v>35</v>
      </c>
      <c r="E670" t="s">
        <v>85</v>
      </c>
      <c r="F670" t="s">
        <v>37</v>
      </c>
      <c r="G670">
        <v>56669</v>
      </c>
      <c r="H670">
        <v>1</v>
      </c>
      <c r="I670">
        <v>1</v>
      </c>
      <c r="J670">
        <v>2</v>
      </c>
      <c r="K670">
        <v>1</v>
      </c>
      <c r="L670">
        <v>2</v>
      </c>
      <c r="M670">
        <v>2</v>
      </c>
      <c r="N670" t="s">
        <v>31</v>
      </c>
      <c r="O670" t="s">
        <v>32</v>
      </c>
      <c r="P670">
        <v>6</v>
      </c>
      <c r="Q670">
        <v>27</v>
      </c>
      <c r="R670">
        <v>4</v>
      </c>
      <c r="S670" t="s">
        <v>31</v>
      </c>
      <c r="T670">
        <v>3</v>
      </c>
      <c r="U670" t="s">
        <v>31</v>
      </c>
      <c r="V670" s="1">
        <v>41006</v>
      </c>
    </row>
    <row r="671" spans="1:23" x14ac:dyDescent="0.35">
      <c r="A671" t="s">
        <v>727</v>
      </c>
      <c r="B671">
        <v>29</v>
      </c>
      <c r="C671" t="s">
        <v>44</v>
      </c>
      <c r="D671" t="s">
        <v>39</v>
      </c>
      <c r="E671" t="s">
        <v>40</v>
      </c>
      <c r="F671" t="s">
        <v>37</v>
      </c>
      <c r="G671">
        <v>79569</v>
      </c>
      <c r="H671">
        <v>5</v>
      </c>
      <c r="I671">
        <v>7</v>
      </c>
      <c r="J671">
        <v>3</v>
      </c>
      <c r="K671">
        <v>1</v>
      </c>
      <c r="L671">
        <v>1</v>
      </c>
      <c r="M671">
        <v>3</v>
      </c>
      <c r="N671" t="s">
        <v>31</v>
      </c>
      <c r="O671" t="s">
        <v>32</v>
      </c>
      <c r="P671">
        <v>28</v>
      </c>
      <c r="Q671">
        <v>28</v>
      </c>
      <c r="R671">
        <v>4</v>
      </c>
      <c r="S671" t="s">
        <v>31</v>
      </c>
      <c r="T671">
        <v>5</v>
      </c>
      <c r="U671" t="s">
        <v>31</v>
      </c>
      <c r="V671" s="1">
        <v>42146</v>
      </c>
    </row>
    <row r="672" spans="1:23" x14ac:dyDescent="0.35">
      <c r="A672" t="s">
        <v>728</v>
      </c>
      <c r="B672">
        <v>27</v>
      </c>
      <c r="C672" t="s">
        <v>44</v>
      </c>
      <c r="D672" t="s">
        <v>39</v>
      </c>
      <c r="E672" t="s">
        <v>40</v>
      </c>
      <c r="F672" t="s">
        <v>61</v>
      </c>
      <c r="G672">
        <v>84347</v>
      </c>
      <c r="H672">
        <v>5</v>
      </c>
      <c r="I672">
        <v>6</v>
      </c>
      <c r="J672">
        <v>3</v>
      </c>
      <c r="K672">
        <v>1</v>
      </c>
      <c r="L672">
        <v>4</v>
      </c>
      <c r="M672">
        <v>3</v>
      </c>
      <c r="N672" t="s">
        <v>31</v>
      </c>
      <c r="O672" t="s">
        <v>32</v>
      </c>
      <c r="P672">
        <v>5</v>
      </c>
      <c r="Q672">
        <v>26</v>
      </c>
      <c r="R672">
        <v>4</v>
      </c>
      <c r="S672" t="s">
        <v>33</v>
      </c>
      <c r="T672">
        <v>3</v>
      </c>
      <c r="U672" t="s">
        <v>31</v>
      </c>
      <c r="V672" s="1">
        <v>42911</v>
      </c>
    </row>
    <row r="673" spans="1:23" x14ac:dyDescent="0.35">
      <c r="A673" t="s">
        <v>729</v>
      </c>
      <c r="B673">
        <v>49</v>
      </c>
      <c r="C673" t="s">
        <v>27</v>
      </c>
      <c r="D673" t="s">
        <v>39</v>
      </c>
      <c r="E673" t="s">
        <v>74</v>
      </c>
      <c r="F673" t="s">
        <v>78</v>
      </c>
      <c r="G673">
        <v>144785</v>
      </c>
      <c r="H673">
        <v>21</v>
      </c>
      <c r="I673">
        <v>27</v>
      </c>
      <c r="J673">
        <v>5</v>
      </c>
      <c r="K673">
        <v>4</v>
      </c>
      <c r="L673">
        <v>3</v>
      </c>
      <c r="M673">
        <v>3</v>
      </c>
      <c r="N673" t="s">
        <v>33</v>
      </c>
      <c r="O673" t="s">
        <v>32</v>
      </c>
      <c r="P673">
        <v>20</v>
      </c>
      <c r="Q673">
        <v>47</v>
      </c>
      <c r="R673">
        <v>3</v>
      </c>
      <c r="S673" t="s">
        <v>33</v>
      </c>
      <c r="T673">
        <v>1</v>
      </c>
      <c r="U673" t="s">
        <v>33</v>
      </c>
      <c r="V673" s="1">
        <v>43656</v>
      </c>
      <c r="W673" s="1">
        <v>44390</v>
      </c>
    </row>
    <row r="674" spans="1:23" x14ac:dyDescent="0.35">
      <c r="A674" t="s">
        <v>730</v>
      </c>
      <c r="B674">
        <v>33</v>
      </c>
      <c r="C674" t="s">
        <v>27</v>
      </c>
      <c r="D674" t="s">
        <v>49</v>
      </c>
      <c r="E674" t="s">
        <v>68</v>
      </c>
      <c r="F674" t="s">
        <v>41</v>
      </c>
      <c r="G674">
        <v>74884</v>
      </c>
      <c r="H674">
        <v>3</v>
      </c>
      <c r="I674">
        <v>11</v>
      </c>
      <c r="J674">
        <v>3</v>
      </c>
      <c r="K674">
        <v>3</v>
      </c>
      <c r="L674">
        <v>2</v>
      </c>
      <c r="M674">
        <v>2</v>
      </c>
      <c r="N674" t="s">
        <v>31</v>
      </c>
      <c r="O674" t="s">
        <v>32</v>
      </c>
      <c r="P674">
        <v>20</v>
      </c>
      <c r="Q674">
        <v>43</v>
      </c>
      <c r="R674">
        <v>3</v>
      </c>
      <c r="S674" t="s">
        <v>31</v>
      </c>
      <c r="T674">
        <v>2</v>
      </c>
      <c r="U674" t="s">
        <v>33</v>
      </c>
      <c r="V674" s="1">
        <v>43274</v>
      </c>
      <c r="W674" s="1">
        <v>44171</v>
      </c>
    </row>
    <row r="675" spans="1:23" x14ac:dyDescent="0.35">
      <c r="A675" t="s">
        <v>731</v>
      </c>
      <c r="B675">
        <v>52</v>
      </c>
      <c r="C675" t="s">
        <v>44</v>
      </c>
      <c r="D675" t="s">
        <v>35</v>
      </c>
      <c r="E675" t="s">
        <v>85</v>
      </c>
      <c r="F675" t="s">
        <v>56</v>
      </c>
      <c r="G675">
        <v>102131</v>
      </c>
      <c r="H675">
        <v>10</v>
      </c>
      <c r="I675">
        <v>30</v>
      </c>
      <c r="J675">
        <v>4</v>
      </c>
      <c r="K675">
        <v>1</v>
      </c>
      <c r="L675">
        <v>3</v>
      </c>
      <c r="M675">
        <v>2</v>
      </c>
      <c r="N675" t="s">
        <v>33</v>
      </c>
      <c r="O675" t="s">
        <v>32</v>
      </c>
      <c r="P675">
        <v>25</v>
      </c>
      <c r="Q675">
        <v>47</v>
      </c>
      <c r="R675">
        <v>4</v>
      </c>
      <c r="S675" t="s">
        <v>31</v>
      </c>
      <c r="T675">
        <v>1</v>
      </c>
      <c r="U675" t="s">
        <v>31</v>
      </c>
      <c r="V675" s="1">
        <v>41358</v>
      </c>
    </row>
    <row r="676" spans="1:23" x14ac:dyDescent="0.35">
      <c r="A676" t="s">
        <v>732</v>
      </c>
      <c r="B676">
        <v>56</v>
      </c>
      <c r="C676" t="s">
        <v>27</v>
      </c>
      <c r="D676" t="s">
        <v>28</v>
      </c>
      <c r="E676" t="s">
        <v>29</v>
      </c>
      <c r="F676" t="s">
        <v>37</v>
      </c>
      <c r="G676">
        <v>141571</v>
      </c>
      <c r="H676">
        <v>20</v>
      </c>
      <c r="I676">
        <v>34</v>
      </c>
      <c r="J676">
        <v>5</v>
      </c>
      <c r="K676">
        <v>1</v>
      </c>
      <c r="L676">
        <v>4</v>
      </c>
      <c r="M676">
        <v>1</v>
      </c>
      <c r="N676" t="s">
        <v>31</v>
      </c>
      <c r="O676" t="s">
        <v>32</v>
      </c>
      <c r="P676">
        <v>22</v>
      </c>
      <c r="Q676">
        <v>48</v>
      </c>
      <c r="R676">
        <v>2</v>
      </c>
      <c r="S676" t="s">
        <v>31</v>
      </c>
      <c r="T676">
        <v>6</v>
      </c>
      <c r="U676" t="s">
        <v>33</v>
      </c>
      <c r="V676" s="1">
        <v>43899</v>
      </c>
      <c r="W676" s="1">
        <v>44646</v>
      </c>
    </row>
    <row r="677" spans="1:23" x14ac:dyDescent="0.35">
      <c r="A677" t="s">
        <v>733</v>
      </c>
      <c r="B677">
        <v>30</v>
      </c>
      <c r="C677" t="s">
        <v>27</v>
      </c>
      <c r="D677" t="s">
        <v>28</v>
      </c>
      <c r="E677" t="s">
        <v>29</v>
      </c>
      <c r="F677" t="s">
        <v>41</v>
      </c>
      <c r="G677">
        <v>60527</v>
      </c>
      <c r="H677">
        <v>4</v>
      </c>
      <c r="I677">
        <v>6</v>
      </c>
      <c r="J677">
        <v>2</v>
      </c>
      <c r="K677">
        <v>2</v>
      </c>
      <c r="L677">
        <v>3</v>
      </c>
      <c r="M677">
        <v>2</v>
      </c>
      <c r="N677" t="s">
        <v>31</v>
      </c>
      <c r="O677" t="s">
        <v>32</v>
      </c>
      <c r="P677">
        <v>6</v>
      </c>
      <c r="Q677">
        <v>57</v>
      </c>
      <c r="R677">
        <v>3</v>
      </c>
      <c r="S677" t="s">
        <v>31</v>
      </c>
      <c r="T677">
        <v>4</v>
      </c>
      <c r="U677" t="s">
        <v>31</v>
      </c>
      <c r="V677" s="1">
        <v>41469</v>
      </c>
    </row>
    <row r="678" spans="1:23" x14ac:dyDescent="0.35">
      <c r="A678" t="s">
        <v>734</v>
      </c>
      <c r="B678">
        <v>35</v>
      </c>
      <c r="C678" t="s">
        <v>44</v>
      </c>
      <c r="D678" t="s">
        <v>28</v>
      </c>
      <c r="E678" t="s">
        <v>66</v>
      </c>
      <c r="F678" t="s">
        <v>61</v>
      </c>
      <c r="G678">
        <v>102963</v>
      </c>
      <c r="H678">
        <v>8</v>
      </c>
      <c r="I678">
        <v>14</v>
      </c>
      <c r="J678">
        <v>4</v>
      </c>
      <c r="K678">
        <v>4</v>
      </c>
      <c r="L678">
        <v>1</v>
      </c>
      <c r="M678">
        <v>4</v>
      </c>
      <c r="N678" t="s">
        <v>33</v>
      </c>
      <c r="O678" t="s">
        <v>32</v>
      </c>
      <c r="P678">
        <v>11</v>
      </c>
      <c r="Q678">
        <v>16</v>
      </c>
      <c r="R678">
        <v>3</v>
      </c>
      <c r="S678" t="s">
        <v>31</v>
      </c>
      <c r="T678">
        <v>8</v>
      </c>
      <c r="U678" t="s">
        <v>31</v>
      </c>
      <c r="V678" s="1">
        <v>43727</v>
      </c>
    </row>
    <row r="679" spans="1:23" x14ac:dyDescent="0.35">
      <c r="A679" t="s">
        <v>735</v>
      </c>
      <c r="B679">
        <v>35</v>
      </c>
      <c r="C679" t="s">
        <v>27</v>
      </c>
      <c r="D679" t="s">
        <v>52</v>
      </c>
      <c r="E679" t="s">
        <v>55</v>
      </c>
      <c r="F679" t="s">
        <v>56</v>
      </c>
      <c r="G679">
        <v>116516</v>
      </c>
      <c r="H679">
        <v>9</v>
      </c>
      <c r="I679">
        <v>13</v>
      </c>
      <c r="J679">
        <v>5</v>
      </c>
      <c r="K679">
        <v>2</v>
      </c>
      <c r="L679">
        <v>1</v>
      </c>
      <c r="M679">
        <v>3</v>
      </c>
      <c r="N679" t="s">
        <v>31</v>
      </c>
      <c r="O679" t="s">
        <v>42</v>
      </c>
      <c r="P679">
        <v>19</v>
      </c>
      <c r="Q679">
        <v>48</v>
      </c>
      <c r="R679">
        <v>3</v>
      </c>
      <c r="S679" t="s">
        <v>31</v>
      </c>
      <c r="T679">
        <v>7</v>
      </c>
      <c r="U679" t="s">
        <v>31</v>
      </c>
      <c r="V679" s="1">
        <v>43290</v>
      </c>
    </row>
    <row r="680" spans="1:23" x14ac:dyDescent="0.35">
      <c r="A680" t="s">
        <v>736</v>
      </c>
      <c r="B680">
        <v>55</v>
      </c>
      <c r="C680" t="s">
        <v>27</v>
      </c>
      <c r="D680" t="s">
        <v>45</v>
      </c>
      <c r="E680" t="s">
        <v>63</v>
      </c>
      <c r="F680" t="s">
        <v>61</v>
      </c>
      <c r="G680">
        <v>162454</v>
      </c>
      <c r="H680">
        <v>30</v>
      </c>
      <c r="I680">
        <v>34</v>
      </c>
      <c r="J680">
        <v>5</v>
      </c>
      <c r="K680">
        <v>3</v>
      </c>
      <c r="L680">
        <v>4</v>
      </c>
      <c r="M680">
        <v>3</v>
      </c>
      <c r="N680" t="s">
        <v>31</v>
      </c>
      <c r="O680" t="s">
        <v>32</v>
      </c>
      <c r="P680">
        <v>23</v>
      </c>
      <c r="Q680">
        <v>49</v>
      </c>
      <c r="R680">
        <v>3</v>
      </c>
      <c r="S680" t="s">
        <v>31</v>
      </c>
      <c r="T680">
        <v>5</v>
      </c>
      <c r="U680" t="s">
        <v>31</v>
      </c>
      <c r="V680" s="1">
        <v>43577</v>
      </c>
    </row>
    <row r="681" spans="1:23" x14ac:dyDescent="0.35">
      <c r="A681" t="s">
        <v>737</v>
      </c>
      <c r="B681">
        <v>30</v>
      </c>
      <c r="C681" t="s">
        <v>27</v>
      </c>
      <c r="D681" t="s">
        <v>45</v>
      </c>
      <c r="E681" t="s">
        <v>63</v>
      </c>
      <c r="F681" t="s">
        <v>37</v>
      </c>
      <c r="G681">
        <v>75906</v>
      </c>
      <c r="H681">
        <v>3</v>
      </c>
      <c r="I681">
        <v>7</v>
      </c>
      <c r="J681">
        <v>3</v>
      </c>
      <c r="K681">
        <v>2</v>
      </c>
      <c r="L681">
        <v>4</v>
      </c>
      <c r="M681">
        <v>2</v>
      </c>
      <c r="N681" t="s">
        <v>31</v>
      </c>
      <c r="O681" t="s">
        <v>32</v>
      </c>
      <c r="P681">
        <v>4</v>
      </c>
      <c r="Q681">
        <v>45</v>
      </c>
      <c r="R681">
        <v>2</v>
      </c>
      <c r="S681" t="s">
        <v>31</v>
      </c>
      <c r="T681">
        <v>5</v>
      </c>
      <c r="U681" t="s">
        <v>33</v>
      </c>
      <c r="V681" s="1">
        <v>41722</v>
      </c>
      <c r="W681" s="1">
        <v>42000</v>
      </c>
    </row>
    <row r="682" spans="1:23" x14ac:dyDescent="0.35">
      <c r="A682" t="s">
        <v>738</v>
      </c>
      <c r="B682">
        <v>56</v>
      </c>
      <c r="C682" t="s">
        <v>27</v>
      </c>
      <c r="D682" t="s">
        <v>39</v>
      </c>
      <c r="E682" t="s">
        <v>74</v>
      </c>
      <c r="F682" t="s">
        <v>56</v>
      </c>
      <c r="G682">
        <v>106558</v>
      </c>
      <c r="H682">
        <v>10</v>
      </c>
      <c r="I682">
        <v>32</v>
      </c>
      <c r="J682">
        <v>4</v>
      </c>
      <c r="K682">
        <v>2</v>
      </c>
      <c r="L682">
        <v>4</v>
      </c>
      <c r="M682">
        <v>2</v>
      </c>
      <c r="N682" t="s">
        <v>31</v>
      </c>
      <c r="O682" t="s">
        <v>32</v>
      </c>
      <c r="P682">
        <v>13</v>
      </c>
      <c r="Q682">
        <v>42</v>
      </c>
      <c r="R682">
        <v>3</v>
      </c>
      <c r="S682" t="s">
        <v>33</v>
      </c>
      <c r="T682">
        <v>5</v>
      </c>
      <c r="U682" t="s">
        <v>31</v>
      </c>
      <c r="V682" s="1">
        <v>44479</v>
      </c>
    </row>
    <row r="683" spans="1:23" x14ac:dyDescent="0.35">
      <c r="A683" t="s">
        <v>739</v>
      </c>
      <c r="B683">
        <v>59</v>
      </c>
      <c r="C683" t="s">
        <v>27</v>
      </c>
      <c r="D683" t="s">
        <v>39</v>
      </c>
      <c r="E683" t="s">
        <v>59</v>
      </c>
      <c r="F683" t="s">
        <v>30</v>
      </c>
      <c r="G683">
        <v>40471</v>
      </c>
      <c r="H683">
        <v>0</v>
      </c>
      <c r="I683">
        <v>37</v>
      </c>
      <c r="J683">
        <v>1</v>
      </c>
      <c r="K683">
        <v>2</v>
      </c>
      <c r="L683">
        <v>3</v>
      </c>
      <c r="M683">
        <v>3</v>
      </c>
      <c r="N683" t="s">
        <v>31</v>
      </c>
      <c r="O683" t="s">
        <v>32</v>
      </c>
      <c r="P683">
        <v>17</v>
      </c>
      <c r="Q683">
        <v>34</v>
      </c>
      <c r="R683">
        <v>2</v>
      </c>
      <c r="S683" t="s">
        <v>31</v>
      </c>
      <c r="T683">
        <v>5</v>
      </c>
      <c r="U683" t="s">
        <v>31</v>
      </c>
      <c r="V683" s="1">
        <v>40912</v>
      </c>
    </row>
    <row r="684" spans="1:23" x14ac:dyDescent="0.35">
      <c r="A684" t="s">
        <v>740</v>
      </c>
      <c r="B684">
        <v>24</v>
      </c>
      <c r="C684" t="s">
        <v>44</v>
      </c>
      <c r="D684" t="s">
        <v>49</v>
      </c>
      <c r="E684" t="s">
        <v>50</v>
      </c>
      <c r="F684" t="s">
        <v>30</v>
      </c>
      <c r="G684">
        <v>58687</v>
      </c>
      <c r="H684">
        <v>0</v>
      </c>
      <c r="I684">
        <v>3</v>
      </c>
      <c r="J684">
        <v>2</v>
      </c>
      <c r="K684">
        <v>4</v>
      </c>
      <c r="L684">
        <v>3</v>
      </c>
      <c r="M684">
        <v>1</v>
      </c>
      <c r="N684" t="s">
        <v>31</v>
      </c>
      <c r="O684" t="s">
        <v>32</v>
      </c>
      <c r="P684">
        <v>22</v>
      </c>
      <c r="Q684">
        <v>27</v>
      </c>
      <c r="R684">
        <v>3</v>
      </c>
      <c r="S684" t="s">
        <v>31</v>
      </c>
      <c r="T684">
        <v>4</v>
      </c>
      <c r="U684" t="s">
        <v>31</v>
      </c>
      <c r="V684" s="1">
        <v>44221</v>
      </c>
    </row>
    <row r="685" spans="1:23" x14ac:dyDescent="0.35">
      <c r="A685" t="s">
        <v>741</v>
      </c>
      <c r="B685">
        <v>31</v>
      </c>
      <c r="C685" t="s">
        <v>44</v>
      </c>
      <c r="D685" t="s">
        <v>35</v>
      </c>
      <c r="E685" t="s">
        <v>85</v>
      </c>
      <c r="F685" t="s">
        <v>61</v>
      </c>
      <c r="G685">
        <v>100670</v>
      </c>
      <c r="H685">
        <v>6</v>
      </c>
      <c r="I685">
        <v>9</v>
      </c>
      <c r="J685">
        <v>4</v>
      </c>
      <c r="K685">
        <v>4</v>
      </c>
      <c r="L685">
        <v>1</v>
      </c>
      <c r="M685">
        <v>2</v>
      </c>
      <c r="N685" t="s">
        <v>31</v>
      </c>
      <c r="O685" t="s">
        <v>47</v>
      </c>
      <c r="P685">
        <v>2</v>
      </c>
      <c r="Q685">
        <v>44</v>
      </c>
      <c r="R685">
        <v>3</v>
      </c>
      <c r="S685" t="s">
        <v>33</v>
      </c>
      <c r="T685">
        <v>1</v>
      </c>
      <c r="U685" t="s">
        <v>31</v>
      </c>
      <c r="V685" s="1">
        <v>42325</v>
      </c>
    </row>
    <row r="686" spans="1:23" x14ac:dyDescent="0.35">
      <c r="A686" t="s">
        <v>742</v>
      </c>
      <c r="B686">
        <v>52</v>
      </c>
      <c r="C686" t="s">
        <v>27</v>
      </c>
      <c r="D686" t="s">
        <v>28</v>
      </c>
      <c r="E686" t="s">
        <v>66</v>
      </c>
      <c r="F686" t="s">
        <v>37</v>
      </c>
      <c r="G686">
        <v>117503</v>
      </c>
      <c r="H686">
        <v>9</v>
      </c>
      <c r="I686">
        <v>30</v>
      </c>
      <c r="J686">
        <v>5</v>
      </c>
      <c r="K686">
        <v>4</v>
      </c>
      <c r="L686">
        <v>3</v>
      </c>
      <c r="M686">
        <v>2</v>
      </c>
      <c r="N686" t="s">
        <v>33</v>
      </c>
      <c r="O686" t="s">
        <v>32</v>
      </c>
      <c r="P686">
        <v>22</v>
      </c>
      <c r="Q686">
        <v>37</v>
      </c>
      <c r="R686">
        <v>3</v>
      </c>
      <c r="S686" t="s">
        <v>31</v>
      </c>
      <c r="T686">
        <v>7</v>
      </c>
      <c r="U686" t="s">
        <v>31</v>
      </c>
      <c r="V686" s="1">
        <v>42159</v>
      </c>
    </row>
    <row r="687" spans="1:23" x14ac:dyDescent="0.35">
      <c r="A687" t="s">
        <v>743</v>
      </c>
      <c r="B687">
        <v>49</v>
      </c>
      <c r="C687" t="s">
        <v>27</v>
      </c>
      <c r="D687" t="s">
        <v>45</v>
      </c>
      <c r="E687" t="s">
        <v>46</v>
      </c>
      <c r="F687" t="s">
        <v>61</v>
      </c>
      <c r="G687">
        <v>90213</v>
      </c>
      <c r="H687">
        <v>8</v>
      </c>
      <c r="I687">
        <v>26</v>
      </c>
      <c r="J687">
        <v>3</v>
      </c>
      <c r="K687">
        <v>1</v>
      </c>
      <c r="L687">
        <v>1</v>
      </c>
      <c r="M687">
        <v>2</v>
      </c>
      <c r="N687" t="s">
        <v>33</v>
      </c>
      <c r="O687" t="s">
        <v>42</v>
      </c>
      <c r="P687">
        <v>24</v>
      </c>
      <c r="Q687">
        <v>12</v>
      </c>
      <c r="R687">
        <v>2</v>
      </c>
      <c r="S687" t="s">
        <v>31</v>
      </c>
      <c r="T687">
        <v>4</v>
      </c>
      <c r="U687" t="s">
        <v>31</v>
      </c>
      <c r="V687" s="1">
        <v>42401</v>
      </c>
    </row>
    <row r="688" spans="1:23" x14ac:dyDescent="0.35">
      <c r="A688" t="s">
        <v>744</v>
      </c>
      <c r="B688">
        <v>28</v>
      </c>
      <c r="C688" t="s">
        <v>44</v>
      </c>
      <c r="D688" t="s">
        <v>49</v>
      </c>
      <c r="E688" t="s">
        <v>68</v>
      </c>
      <c r="F688" t="s">
        <v>61</v>
      </c>
      <c r="G688">
        <v>86720</v>
      </c>
      <c r="H688">
        <v>6</v>
      </c>
      <c r="I688">
        <v>7</v>
      </c>
      <c r="J688">
        <v>3</v>
      </c>
      <c r="K688">
        <v>1</v>
      </c>
      <c r="L688">
        <v>4</v>
      </c>
      <c r="M688">
        <v>1</v>
      </c>
      <c r="N688" t="s">
        <v>31</v>
      </c>
      <c r="O688" t="s">
        <v>32</v>
      </c>
      <c r="P688">
        <v>19</v>
      </c>
      <c r="Q688">
        <v>52</v>
      </c>
      <c r="R688">
        <v>3</v>
      </c>
      <c r="S688" t="s">
        <v>33</v>
      </c>
      <c r="T688">
        <v>5</v>
      </c>
      <c r="U688" t="s">
        <v>33</v>
      </c>
      <c r="V688" s="1">
        <v>42060</v>
      </c>
      <c r="W688" s="1">
        <v>42858</v>
      </c>
    </row>
    <row r="689" spans="1:23" x14ac:dyDescent="0.35">
      <c r="A689" t="s">
        <v>745</v>
      </c>
      <c r="B689">
        <v>34</v>
      </c>
      <c r="C689" t="s">
        <v>44</v>
      </c>
      <c r="D689" t="s">
        <v>28</v>
      </c>
      <c r="E689" t="s">
        <v>29</v>
      </c>
      <c r="F689" t="s">
        <v>56</v>
      </c>
      <c r="G689">
        <v>103332</v>
      </c>
      <c r="H689">
        <v>10</v>
      </c>
      <c r="I689">
        <v>12</v>
      </c>
      <c r="J689">
        <v>4</v>
      </c>
      <c r="K689">
        <v>4</v>
      </c>
      <c r="L689">
        <v>1</v>
      </c>
      <c r="M689">
        <v>3</v>
      </c>
      <c r="N689" t="s">
        <v>31</v>
      </c>
      <c r="O689" t="s">
        <v>47</v>
      </c>
      <c r="P689">
        <v>28</v>
      </c>
      <c r="Q689">
        <v>53</v>
      </c>
      <c r="R689">
        <v>3</v>
      </c>
      <c r="S689" t="s">
        <v>31</v>
      </c>
      <c r="T689">
        <v>5</v>
      </c>
      <c r="U689" t="s">
        <v>31</v>
      </c>
      <c r="V689" s="1">
        <v>41690</v>
      </c>
    </row>
    <row r="690" spans="1:23" x14ac:dyDescent="0.35">
      <c r="A690" t="s">
        <v>746</v>
      </c>
      <c r="B690">
        <v>47</v>
      </c>
      <c r="C690" t="s">
        <v>27</v>
      </c>
      <c r="D690" t="s">
        <v>45</v>
      </c>
      <c r="E690" t="s">
        <v>46</v>
      </c>
      <c r="F690" t="s">
        <v>61</v>
      </c>
      <c r="G690">
        <v>78839</v>
      </c>
      <c r="H690">
        <v>3</v>
      </c>
      <c r="I690">
        <v>23</v>
      </c>
      <c r="J690">
        <v>3</v>
      </c>
      <c r="K690">
        <v>1</v>
      </c>
      <c r="L690">
        <v>3</v>
      </c>
      <c r="M690">
        <v>3</v>
      </c>
      <c r="N690" t="s">
        <v>33</v>
      </c>
      <c r="O690" t="s">
        <v>32</v>
      </c>
      <c r="P690">
        <v>9</v>
      </c>
      <c r="Q690">
        <v>53</v>
      </c>
      <c r="R690">
        <v>3</v>
      </c>
      <c r="S690" t="s">
        <v>31</v>
      </c>
      <c r="T690">
        <v>5</v>
      </c>
      <c r="U690" t="s">
        <v>31</v>
      </c>
      <c r="V690" s="1">
        <v>41311</v>
      </c>
    </row>
    <row r="691" spans="1:23" x14ac:dyDescent="0.35">
      <c r="A691" t="s">
        <v>747</v>
      </c>
      <c r="B691">
        <v>23</v>
      </c>
      <c r="C691" t="s">
        <v>27</v>
      </c>
      <c r="D691" t="s">
        <v>45</v>
      </c>
      <c r="E691" t="s">
        <v>46</v>
      </c>
      <c r="F691" t="s">
        <v>56</v>
      </c>
      <c r="G691">
        <v>58675</v>
      </c>
      <c r="H691">
        <v>2</v>
      </c>
      <c r="I691">
        <v>2</v>
      </c>
      <c r="J691">
        <v>2</v>
      </c>
      <c r="K691">
        <v>1</v>
      </c>
      <c r="L691">
        <v>3</v>
      </c>
      <c r="M691">
        <v>1</v>
      </c>
      <c r="N691" t="s">
        <v>31</v>
      </c>
      <c r="O691" t="s">
        <v>42</v>
      </c>
      <c r="P691">
        <v>21</v>
      </c>
      <c r="Q691">
        <v>57</v>
      </c>
      <c r="R691">
        <v>3</v>
      </c>
      <c r="S691" t="s">
        <v>31</v>
      </c>
      <c r="T691">
        <v>3</v>
      </c>
      <c r="U691" t="s">
        <v>31</v>
      </c>
      <c r="V691" s="1">
        <v>42369</v>
      </c>
    </row>
    <row r="692" spans="1:23" x14ac:dyDescent="0.35">
      <c r="A692" t="s">
        <v>748</v>
      </c>
      <c r="B692">
        <v>52</v>
      </c>
      <c r="C692" t="s">
        <v>27</v>
      </c>
      <c r="D692" t="s">
        <v>52</v>
      </c>
      <c r="E692" t="s">
        <v>53</v>
      </c>
      <c r="F692" t="s">
        <v>56</v>
      </c>
      <c r="G692">
        <v>147271</v>
      </c>
      <c r="H692">
        <v>25</v>
      </c>
      <c r="I692">
        <v>30</v>
      </c>
      <c r="J692">
        <v>5</v>
      </c>
      <c r="K692">
        <v>1</v>
      </c>
      <c r="L692">
        <v>3</v>
      </c>
      <c r="M692">
        <v>2</v>
      </c>
      <c r="N692" t="s">
        <v>31</v>
      </c>
      <c r="O692" t="s">
        <v>32</v>
      </c>
      <c r="P692">
        <v>11</v>
      </c>
      <c r="Q692">
        <v>34</v>
      </c>
      <c r="R692">
        <v>4</v>
      </c>
      <c r="S692" t="s">
        <v>31</v>
      </c>
      <c r="T692">
        <v>7</v>
      </c>
      <c r="U692" t="s">
        <v>33</v>
      </c>
      <c r="V692" s="1">
        <v>44542</v>
      </c>
      <c r="W692" s="1">
        <v>45013</v>
      </c>
    </row>
    <row r="693" spans="1:23" x14ac:dyDescent="0.35">
      <c r="A693" t="s">
        <v>749</v>
      </c>
      <c r="B693">
        <v>37</v>
      </c>
      <c r="C693" t="s">
        <v>44</v>
      </c>
      <c r="D693" t="s">
        <v>49</v>
      </c>
      <c r="E693" t="s">
        <v>50</v>
      </c>
      <c r="F693" t="s">
        <v>41</v>
      </c>
      <c r="G693">
        <v>81637</v>
      </c>
      <c r="H693">
        <v>7</v>
      </c>
      <c r="I693">
        <v>16</v>
      </c>
      <c r="J693">
        <v>3</v>
      </c>
      <c r="K693">
        <v>1</v>
      </c>
      <c r="L693">
        <v>3</v>
      </c>
      <c r="M693">
        <v>1</v>
      </c>
      <c r="N693" t="s">
        <v>31</v>
      </c>
      <c r="O693" t="s">
        <v>32</v>
      </c>
      <c r="P693">
        <v>11</v>
      </c>
      <c r="Q693">
        <v>42</v>
      </c>
      <c r="R693">
        <v>3</v>
      </c>
      <c r="S693" t="s">
        <v>33</v>
      </c>
      <c r="T693">
        <v>7</v>
      </c>
      <c r="U693" t="s">
        <v>33</v>
      </c>
      <c r="V693" s="1">
        <v>42658</v>
      </c>
      <c r="W693" s="1">
        <v>43204</v>
      </c>
    </row>
    <row r="694" spans="1:23" x14ac:dyDescent="0.35">
      <c r="A694" t="s">
        <v>750</v>
      </c>
      <c r="B694">
        <v>25</v>
      </c>
      <c r="C694" t="s">
        <v>44</v>
      </c>
      <c r="D694" t="s">
        <v>49</v>
      </c>
      <c r="E694" t="s">
        <v>68</v>
      </c>
      <c r="F694" t="s">
        <v>30</v>
      </c>
      <c r="G694">
        <v>46692</v>
      </c>
      <c r="H694">
        <v>2</v>
      </c>
      <c r="I694">
        <v>3</v>
      </c>
      <c r="J694">
        <v>1</v>
      </c>
      <c r="K694">
        <v>3</v>
      </c>
      <c r="L694">
        <v>2</v>
      </c>
      <c r="M694">
        <v>3</v>
      </c>
      <c r="N694" t="s">
        <v>31</v>
      </c>
      <c r="O694" t="s">
        <v>32</v>
      </c>
      <c r="P694">
        <v>8</v>
      </c>
      <c r="Q694">
        <v>41</v>
      </c>
      <c r="R694">
        <v>2</v>
      </c>
      <c r="S694" t="s">
        <v>31</v>
      </c>
      <c r="T694">
        <v>7</v>
      </c>
      <c r="U694" t="s">
        <v>31</v>
      </c>
      <c r="V694" s="1">
        <v>43056</v>
      </c>
    </row>
    <row r="695" spans="1:23" x14ac:dyDescent="0.35">
      <c r="A695" t="s">
        <v>751</v>
      </c>
      <c r="B695">
        <v>24</v>
      </c>
      <c r="C695" t="s">
        <v>27</v>
      </c>
      <c r="D695" t="s">
        <v>28</v>
      </c>
      <c r="E695" t="s">
        <v>66</v>
      </c>
      <c r="F695" t="s">
        <v>30</v>
      </c>
      <c r="G695">
        <v>61435</v>
      </c>
      <c r="H695">
        <v>1</v>
      </c>
      <c r="I695">
        <v>3</v>
      </c>
      <c r="J695">
        <v>2</v>
      </c>
      <c r="K695">
        <v>4</v>
      </c>
      <c r="L695">
        <v>2</v>
      </c>
      <c r="M695">
        <v>2</v>
      </c>
      <c r="N695" t="s">
        <v>31</v>
      </c>
      <c r="O695" t="s">
        <v>32</v>
      </c>
      <c r="P695">
        <v>26</v>
      </c>
      <c r="Q695">
        <v>42</v>
      </c>
      <c r="R695">
        <v>2</v>
      </c>
      <c r="S695" t="s">
        <v>31</v>
      </c>
      <c r="T695">
        <v>9</v>
      </c>
      <c r="U695" t="s">
        <v>31</v>
      </c>
      <c r="V695" s="1">
        <v>44314</v>
      </c>
    </row>
    <row r="696" spans="1:23" x14ac:dyDescent="0.35">
      <c r="A696" t="s">
        <v>752</v>
      </c>
      <c r="B696">
        <v>32</v>
      </c>
      <c r="C696" t="s">
        <v>27</v>
      </c>
      <c r="D696" t="s">
        <v>39</v>
      </c>
      <c r="E696" t="s">
        <v>59</v>
      </c>
      <c r="F696" t="s">
        <v>30</v>
      </c>
      <c r="G696">
        <v>64180</v>
      </c>
      <c r="H696">
        <v>5</v>
      </c>
      <c r="I696">
        <v>10</v>
      </c>
      <c r="J696">
        <v>2</v>
      </c>
      <c r="K696">
        <v>1</v>
      </c>
      <c r="L696">
        <v>3</v>
      </c>
      <c r="M696">
        <v>3</v>
      </c>
      <c r="N696" t="s">
        <v>31</v>
      </c>
      <c r="O696" t="s">
        <v>32</v>
      </c>
      <c r="P696">
        <v>14</v>
      </c>
      <c r="Q696">
        <v>58</v>
      </c>
      <c r="R696">
        <v>3</v>
      </c>
      <c r="S696" t="s">
        <v>31</v>
      </c>
      <c r="T696">
        <v>4</v>
      </c>
      <c r="U696" t="s">
        <v>31</v>
      </c>
      <c r="V696" s="1">
        <v>43157</v>
      </c>
    </row>
    <row r="697" spans="1:23" x14ac:dyDescent="0.35">
      <c r="A697" t="s">
        <v>753</v>
      </c>
      <c r="B697">
        <v>26</v>
      </c>
      <c r="C697" t="s">
        <v>27</v>
      </c>
      <c r="D697" t="s">
        <v>39</v>
      </c>
      <c r="E697" t="s">
        <v>59</v>
      </c>
      <c r="F697" t="s">
        <v>78</v>
      </c>
      <c r="G697">
        <v>54076</v>
      </c>
      <c r="H697">
        <v>0</v>
      </c>
      <c r="I697">
        <v>5</v>
      </c>
      <c r="J697">
        <v>2</v>
      </c>
      <c r="K697">
        <v>2</v>
      </c>
      <c r="L697">
        <v>1</v>
      </c>
      <c r="M697">
        <v>2</v>
      </c>
      <c r="N697" t="s">
        <v>33</v>
      </c>
      <c r="O697" t="s">
        <v>32</v>
      </c>
      <c r="P697">
        <v>13</v>
      </c>
      <c r="Q697">
        <v>47</v>
      </c>
      <c r="R697">
        <v>2</v>
      </c>
      <c r="S697" t="s">
        <v>31</v>
      </c>
      <c r="T697">
        <v>2</v>
      </c>
      <c r="U697" t="s">
        <v>31</v>
      </c>
      <c r="V697" s="1">
        <v>40941</v>
      </c>
    </row>
    <row r="698" spans="1:23" x14ac:dyDescent="0.35">
      <c r="A698" t="s">
        <v>754</v>
      </c>
      <c r="B698">
        <v>28</v>
      </c>
      <c r="C698" t="s">
        <v>27</v>
      </c>
      <c r="D698" t="s">
        <v>28</v>
      </c>
      <c r="E698" t="s">
        <v>66</v>
      </c>
      <c r="F698" t="s">
        <v>78</v>
      </c>
      <c r="G698">
        <v>39871</v>
      </c>
      <c r="H698">
        <v>0</v>
      </c>
      <c r="I698">
        <v>6</v>
      </c>
      <c r="J698">
        <v>1</v>
      </c>
      <c r="K698">
        <v>2</v>
      </c>
      <c r="L698">
        <v>3</v>
      </c>
      <c r="M698">
        <v>2</v>
      </c>
      <c r="N698" t="s">
        <v>31</v>
      </c>
      <c r="O698" t="s">
        <v>32</v>
      </c>
      <c r="P698">
        <v>7</v>
      </c>
      <c r="Q698">
        <v>49</v>
      </c>
      <c r="R698">
        <v>2</v>
      </c>
      <c r="S698" t="s">
        <v>31</v>
      </c>
      <c r="T698">
        <v>4</v>
      </c>
      <c r="U698" t="s">
        <v>31</v>
      </c>
      <c r="V698" s="1">
        <v>44161</v>
      </c>
    </row>
    <row r="699" spans="1:23" x14ac:dyDescent="0.35">
      <c r="A699" t="s">
        <v>755</v>
      </c>
      <c r="B699">
        <v>23</v>
      </c>
      <c r="C699" t="s">
        <v>44</v>
      </c>
      <c r="D699" t="s">
        <v>39</v>
      </c>
      <c r="E699" t="s">
        <v>74</v>
      </c>
      <c r="F699" t="s">
        <v>41</v>
      </c>
      <c r="G699">
        <v>38939</v>
      </c>
      <c r="H699">
        <v>0</v>
      </c>
      <c r="I699">
        <v>1</v>
      </c>
      <c r="J699">
        <v>1</v>
      </c>
      <c r="K699">
        <v>3</v>
      </c>
      <c r="L699">
        <v>2</v>
      </c>
      <c r="M699">
        <v>4</v>
      </c>
      <c r="N699" t="s">
        <v>31</v>
      </c>
      <c r="O699" t="s">
        <v>32</v>
      </c>
      <c r="P699">
        <v>19</v>
      </c>
      <c r="Q699">
        <v>39</v>
      </c>
      <c r="R699">
        <v>3</v>
      </c>
      <c r="S699" t="s">
        <v>31</v>
      </c>
      <c r="T699">
        <v>5</v>
      </c>
      <c r="U699" t="s">
        <v>31</v>
      </c>
      <c r="V699" s="1">
        <v>42397</v>
      </c>
    </row>
    <row r="700" spans="1:23" x14ac:dyDescent="0.35">
      <c r="A700" t="s">
        <v>756</v>
      </c>
      <c r="B700">
        <v>32</v>
      </c>
      <c r="C700" t="s">
        <v>44</v>
      </c>
      <c r="D700" t="s">
        <v>35</v>
      </c>
      <c r="E700" t="s">
        <v>36</v>
      </c>
      <c r="F700" t="s">
        <v>41</v>
      </c>
      <c r="G700">
        <v>55995</v>
      </c>
      <c r="H700">
        <v>1</v>
      </c>
      <c r="I700">
        <v>10</v>
      </c>
      <c r="J700">
        <v>2</v>
      </c>
      <c r="K700">
        <v>4</v>
      </c>
      <c r="L700">
        <v>2</v>
      </c>
      <c r="M700">
        <v>3</v>
      </c>
      <c r="N700" t="s">
        <v>33</v>
      </c>
      <c r="O700" t="s">
        <v>32</v>
      </c>
      <c r="P700">
        <v>10</v>
      </c>
      <c r="Q700">
        <v>52</v>
      </c>
      <c r="R700">
        <v>3</v>
      </c>
      <c r="S700" t="s">
        <v>31</v>
      </c>
      <c r="T700">
        <v>4</v>
      </c>
      <c r="U700" t="s">
        <v>33</v>
      </c>
      <c r="V700" s="1">
        <v>42082</v>
      </c>
      <c r="W700" s="1">
        <v>42520</v>
      </c>
    </row>
    <row r="701" spans="1:23" x14ac:dyDescent="0.35">
      <c r="A701" t="s">
        <v>757</v>
      </c>
      <c r="B701">
        <v>31</v>
      </c>
      <c r="C701" t="s">
        <v>27</v>
      </c>
      <c r="D701" t="s">
        <v>28</v>
      </c>
      <c r="E701" t="s">
        <v>66</v>
      </c>
      <c r="F701" t="s">
        <v>30</v>
      </c>
      <c r="G701">
        <v>103647</v>
      </c>
      <c r="H701">
        <v>10</v>
      </c>
      <c r="I701">
        <v>10</v>
      </c>
      <c r="J701">
        <v>4</v>
      </c>
      <c r="K701">
        <v>3</v>
      </c>
      <c r="L701">
        <v>1</v>
      </c>
      <c r="M701">
        <v>3</v>
      </c>
      <c r="N701" t="s">
        <v>31</v>
      </c>
      <c r="O701" t="s">
        <v>42</v>
      </c>
      <c r="P701">
        <v>26</v>
      </c>
      <c r="Q701">
        <v>34</v>
      </c>
      <c r="R701">
        <v>3</v>
      </c>
      <c r="S701" t="s">
        <v>31</v>
      </c>
      <c r="T701">
        <v>2</v>
      </c>
      <c r="U701" t="s">
        <v>31</v>
      </c>
      <c r="V701" s="1">
        <v>44570</v>
      </c>
    </row>
    <row r="702" spans="1:23" x14ac:dyDescent="0.35">
      <c r="A702" t="s">
        <v>758</v>
      </c>
      <c r="B702">
        <v>38</v>
      </c>
      <c r="C702" t="s">
        <v>27</v>
      </c>
      <c r="D702" t="s">
        <v>39</v>
      </c>
      <c r="E702" t="s">
        <v>74</v>
      </c>
      <c r="F702" t="s">
        <v>56</v>
      </c>
      <c r="G702">
        <v>133735</v>
      </c>
      <c r="H702">
        <v>15</v>
      </c>
      <c r="I702">
        <v>16</v>
      </c>
      <c r="J702">
        <v>5</v>
      </c>
      <c r="K702">
        <v>2</v>
      </c>
      <c r="L702">
        <v>2</v>
      </c>
      <c r="M702">
        <v>4</v>
      </c>
      <c r="N702" t="s">
        <v>31</v>
      </c>
      <c r="O702" t="s">
        <v>42</v>
      </c>
      <c r="P702">
        <v>26</v>
      </c>
      <c r="Q702">
        <v>46</v>
      </c>
      <c r="R702">
        <v>3</v>
      </c>
      <c r="S702" t="s">
        <v>31</v>
      </c>
      <c r="T702">
        <v>5</v>
      </c>
      <c r="U702" t="s">
        <v>31</v>
      </c>
      <c r="V702" s="1">
        <v>44053</v>
      </c>
    </row>
    <row r="703" spans="1:23" x14ac:dyDescent="0.35">
      <c r="A703" t="s">
        <v>759</v>
      </c>
      <c r="B703">
        <v>44</v>
      </c>
      <c r="C703" t="s">
        <v>44</v>
      </c>
      <c r="D703" t="s">
        <v>35</v>
      </c>
      <c r="E703" t="s">
        <v>36</v>
      </c>
      <c r="F703" t="s">
        <v>37</v>
      </c>
      <c r="G703">
        <v>107186</v>
      </c>
      <c r="H703">
        <v>9</v>
      </c>
      <c r="I703">
        <v>22</v>
      </c>
      <c r="J703">
        <v>4</v>
      </c>
      <c r="K703">
        <v>1</v>
      </c>
      <c r="L703">
        <v>3</v>
      </c>
      <c r="M703">
        <v>4</v>
      </c>
      <c r="N703" t="s">
        <v>31</v>
      </c>
      <c r="O703" t="s">
        <v>32</v>
      </c>
      <c r="P703">
        <v>17</v>
      </c>
      <c r="Q703">
        <v>11</v>
      </c>
      <c r="R703">
        <v>2</v>
      </c>
      <c r="S703" t="s">
        <v>31</v>
      </c>
      <c r="T703">
        <v>5</v>
      </c>
      <c r="U703" t="s">
        <v>31</v>
      </c>
      <c r="V703" s="1">
        <v>45247</v>
      </c>
    </row>
    <row r="704" spans="1:23" x14ac:dyDescent="0.35">
      <c r="A704" t="s">
        <v>760</v>
      </c>
      <c r="B704">
        <v>30</v>
      </c>
      <c r="C704" t="s">
        <v>44</v>
      </c>
      <c r="D704" t="s">
        <v>28</v>
      </c>
      <c r="E704" t="s">
        <v>29</v>
      </c>
      <c r="F704" t="s">
        <v>56</v>
      </c>
      <c r="G704">
        <v>82208</v>
      </c>
      <c r="H704">
        <v>7</v>
      </c>
      <c r="I704">
        <v>9</v>
      </c>
      <c r="J704">
        <v>3</v>
      </c>
      <c r="K704">
        <v>3</v>
      </c>
      <c r="L704">
        <v>4</v>
      </c>
      <c r="M704">
        <v>4</v>
      </c>
      <c r="N704" t="s">
        <v>31</v>
      </c>
      <c r="O704" t="s">
        <v>32</v>
      </c>
      <c r="P704">
        <v>7</v>
      </c>
      <c r="Q704">
        <v>16</v>
      </c>
      <c r="R704">
        <v>3</v>
      </c>
      <c r="S704" t="s">
        <v>33</v>
      </c>
      <c r="T704">
        <v>3</v>
      </c>
      <c r="U704" t="s">
        <v>31</v>
      </c>
      <c r="V704" s="1">
        <v>43238</v>
      </c>
    </row>
    <row r="705" spans="1:23" x14ac:dyDescent="0.35">
      <c r="A705" t="s">
        <v>761</v>
      </c>
      <c r="B705">
        <v>57</v>
      </c>
      <c r="C705" t="s">
        <v>44</v>
      </c>
      <c r="D705" t="s">
        <v>49</v>
      </c>
      <c r="E705" t="s">
        <v>50</v>
      </c>
      <c r="F705" t="s">
        <v>37</v>
      </c>
      <c r="G705">
        <v>167605</v>
      </c>
      <c r="H705">
        <v>32</v>
      </c>
      <c r="I705">
        <v>33</v>
      </c>
      <c r="J705">
        <v>5</v>
      </c>
      <c r="K705">
        <v>1</v>
      </c>
      <c r="L705">
        <v>2</v>
      </c>
      <c r="M705">
        <v>1</v>
      </c>
      <c r="N705" t="s">
        <v>31</v>
      </c>
      <c r="O705" t="s">
        <v>42</v>
      </c>
      <c r="P705">
        <v>22</v>
      </c>
      <c r="Q705">
        <v>32</v>
      </c>
      <c r="R705">
        <v>3</v>
      </c>
      <c r="S705" t="s">
        <v>31</v>
      </c>
      <c r="T705">
        <v>5</v>
      </c>
      <c r="U705" t="s">
        <v>33</v>
      </c>
      <c r="V705" s="1">
        <v>44725</v>
      </c>
      <c r="W705" s="1">
        <v>45483</v>
      </c>
    </row>
    <row r="706" spans="1:23" x14ac:dyDescent="0.35">
      <c r="A706" t="s">
        <v>762</v>
      </c>
      <c r="B706">
        <v>59</v>
      </c>
      <c r="C706" t="s">
        <v>27</v>
      </c>
      <c r="D706" t="s">
        <v>49</v>
      </c>
      <c r="E706" t="s">
        <v>68</v>
      </c>
      <c r="F706" t="s">
        <v>61</v>
      </c>
      <c r="G706">
        <v>136675</v>
      </c>
      <c r="H706">
        <v>16</v>
      </c>
      <c r="I706">
        <v>36</v>
      </c>
      <c r="J706">
        <v>5</v>
      </c>
      <c r="K706">
        <v>3</v>
      </c>
      <c r="L706">
        <v>1</v>
      </c>
      <c r="M706">
        <v>3</v>
      </c>
      <c r="N706" t="s">
        <v>31</v>
      </c>
      <c r="O706" t="s">
        <v>32</v>
      </c>
      <c r="P706">
        <v>3</v>
      </c>
      <c r="Q706">
        <v>43</v>
      </c>
      <c r="R706">
        <v>3</v>
      </c>
      <c r="S706" t="s">
        <v>31</v>
      </c>
      <c r="T706">
        <v>0</v>
      </c>
      <c r="U706" t="s">
        <v>31</v>
      </c>
      <c r="V706" s="1">
        <v>43873</v>
      </c>
    </row>
    <row r="707" spans="1:23" x14ac:dyDescent="0.35">
      <c r="A707" t="s">
        <v>763</v>
      </c>
      <c r="B707">
        <v>52</v>
      </c>
      <c r="C707" t="s">
        <v>27</v>
      </c>
      <c r="D707" t="s">
        <v>39</v>
      </c>
      <c r="E707" t="s">
        <v>59</v>
      </c>
      <c r="F707" t="s">
        <v>61</v>
      </c>
      <c r="G707">
        <v>120027</v>
      </c>
      <c r="H707">
        <v>9</v>
      </c>
      <c r="I707">
        <v>29</v>
      </c>
      <c r="J707">
        <v>5</v>
      </c>
      <c r="K707">
        <v>2</v>
      </c>
      <c r="L707">
        <v>3</v>
      </c>
      <c r="M707">
        <v>4</v>
      </c>
      <c r="N707" t="s">
        <v>31</v>
      </c>
      <c r="O707" t="s">
        <v>32</v>
      </c>
      <c r="P707">
        <v>12</v>
      </c>
      <c r="Q707">
        <v>57</v>
      </c>
      <c r="R707">
        <v>4</v>
      </c>
      <c r="S707" t="s">
        <v>33</v>
      </c>
      <c r="T707">
        <v>4</v>
      </c>
      <c r="U707" t="s">
        <v>31</v>
      </c>
      <c r="V707" s="1">
        <v>42872</v>
      </c>
    </row>
    <row r="708" spans="1:23" x14ac:dyDescent="0.35">
      <c r="A708" t="s">
        <v>764</v>
      </c>
      <c r="B708">
        <v>56</v>
      </c>
      <c r="C708" t="s">
        <v>44</v>
      </c>
      <c r="D708" t="s">
        <v>35</v>
      </c>
      <c r="E708" t="s">
        <v>36</v>
      </c>
      <c r="F708" t="s">
        <v>41</v>
      </c>
      <c r="G708">
        <v>119837</v>
      </c>
      <c r="H708">
        <v>11</v>
      </c>
      <c r="I708">
        <v>33</v>
      </c>
      <c r="J708">
        <v>5</v>
      </c>
      <c r="K708">
        <v>4</v>
      </c>
      <c r="L708">
        <v>2</v>
      </c>
      <c r="M708">
        <v>2</v>
      </c>
      <c r="N708" t="s">
        <v>33</v>
      </c>
      <c r="O708" t="s">
        <v>32</v>
      </c>
      <c r="P708">
        <v>16</v>
      </c>
      <c r="Q708">
        <v>20</v>
      </c>
      <c r="R708">
        <v>3</v>
      </c>
      <c r="S708" t="s">
        <v>31</v>
      </c>
      <c r="T708">
        <v>5</v>
      </c>
      <c r="U708" t="s">
        <v>31</v>
      </c>
      <c r="V708" s="1">
        <v>41058</v>
      </c>
    </row>
    <row r="709" spans="1:23" x14ac:dyDescent="0.35">
      <c r="A709" t="s">
        <v>765</v>
      </c>
      <c r="B709">
        <v>34</v>
      </c>
      <c r="C709" t="s">
        <v>27</v>
      </c>
      <c r="D709" t="s">
        <v>35</v>
      </c>
      <c r="E709" t="s">
        <v>36</v>
      </c>
      <c r="F709" t="s">
        <v>41</v>
      </c>
      <c r="G709">
        <v>109743</v>
      </c>
      <c r="H709">
        <v>10</v>
      </c>
      <c r="I709">
        <v>11</v>
      </c>
      <c r="J709">
        <v>4</v>
      </c>
      <c r="K709">
        <v>3</v>
      </c>
      <c r="L709">
        <v>4</v>
      </c>
      <c r="M709">
        <v>2</v>
      </c>
      <c r="N709" t="s">
        <v>31</v>
      </c>
      <c r="O709" t="s">
        <v>32</v>
      </c>
      <c r="P709">
        <v>1</v>
      </c>
      <c r="Q709">
        <v>50</v>
      </c>
      <c r="R709">
        <v>3</v>
      </c>
      <c r="S709" t="s">
        <v>33</v>
      </c>
      <c r="T709">
        <v>5</v>
      </c>
      <c r="U709" t="s">
        <v>31</v>
      </c>
      <c r="V709" s="1">
        <v>43906</v>
      </c>
    </row>
    <row r="710" spans="1:23" x14ac:dyDescent="0.35">
      <c r="A710" t="s">
        <v>766</v>
      </c>
      <c r="B710">
        <v>44</v>
      </c>
      <c r="C710" t="s">
        <v>27</v>
      </c>
      <c r="D710" t="s">
        <v>45</v>
      </c>
      <c r="E710" t="s">
        <v>63</v>
      </c>
      <c r="F710" t="s">
        <v>37</v>
      </c>
      <c r="G710">
        <v>105700</v>
      </c>
      <c r="H710">
        <v>9</v>
      </c>
      <c r="I710">
        <v>20</v>
      </c>
      <c r="J710">
        <v>4</v>
      </c>
      <c r="K710">
        <v>3</v>
      </c>
      <c r="L710">
        <v>1</v>
      </c>
      <c r="M710">
        <v>2</v>
      </c>
      <c r="N710" t="s">
        <v>33</v>
      </c>
      <c r="O710" t="s">
        <v>32</v>
      </c>
      <c r="P710">
        <v>22</v>
      </c>
      <c r="Q710">
        <v>27</v>
      </c>
      <c r="R710">
        <v>3</v>
      </c>
      <c r="S710" t="s">
        <v>31</v>
      </c>
      <c r="T710">
        <v>4</v>
      </c>
      <c r="U710" t="s">
        <v>31</v>
      </c>
      <c r="V710" s="1">
        <v>44696</v>
      </c>
    </row>
    <row r="711" spans="1:23" x14ac:dyDescent="0.35">
      <c r="A711" t="s">
        <v>767</v>
      </c>
      <c r="B711">
        <v>30</v>
      </c>
      <c r="C711" t="s">
        <v>27</v>
      </c>
      <c r="D711" t="s">
        <v>39</v>
      </c>
      <c r="E711" t="s">
        <v>59</v>
      </c>
      <c r="F711" t="s">
        <v>37</v>
      </c>
      <c r="G711">
        <v>58611</v>
      </c>
      <c r="H711">
        <v>3</v>
      </c>
      <c r="I711">
        <v>8</v>
      </c>
      <c r="J711">
        <v>2</v>
      </c>
      <c r="K711">
        <v>4</v>
      </c>
      <c r="L711">
        <v>2</v>
      </c>
      <c r="M711">
        <v>2</v>
      </c>
      <c r="N711" t="s">
        <v>33</v>
      </c>
      <c r="O711" t="s">
        <v>32</v>
      </c>
      <c r="P711">
        <v>2</v>
      </c>
      <c r="Q711">
        <v>38</v>
      </c>
      <c r="R711">
        <v>2</v>
      </c>
      <c r="S711" t="s">
        <v>31</v>
      </c>
      <c r="T711">
        <v>6</v>
      </c>
      <c r="U711" t="s">
        <v>31</v>
      </c>
      <c r="V711" s="1">
        <v>43407</v>
      </c>
    </row>
    <row r="712" spans="1:23" x14ac:dyDescent="0.35">
      <c r="A712" t="s">
        <v>768</v>
      </c>
      <c r="B712">
        <v>27</v>
      </c>
      <c r="C712" t="s">
        <v>44</v>
      </c>
      <c r="D712" t="s">
        <v>45</v>
      </c>
      <c r="E712" t="s">
        <v>46</v>
      </c>
      <c r="F712" t="s">
        <v>41</v>
      </c>
      <c r="G712">
        <v>44709</v>
      </c>
      <c r="H712">
        <v>1</v>
      </c>
      <c r="I712">
        <v>5</v>
      </c>
      <c r="J712">
        <v>1</v>
      </c>
      <c r="K712">
        <v>4</v>
      </c>
      <c r="L712">
        <v>4</v>
      </c>
      <c r="M712">
        <v>3</v>
      </c>
      <c r="N712" t="s">
        <v>31</v>
      </c>
      <c r="O712" t="s">
        <v>47</v>
      </c>
      <c r="P712">
        <v>24</v>
      </c>
      <c r="Q712">
        <v>19</v>
      </c>
      <c r="R712">
        <v>2</v>
      </c>
      <c r="S712" t="s">
        <v>31</v>
      </c>
      <c r="T712">
        <v>3</v>
      </c>
      <c r="U712" t="s">
        <v>31</v>
      </c>
      <c r="V712" s="1">
        <v>42786</v>
      </c>
    </row>
    <row r="713" spans="1:23" x14ac:dyDescent="0.35">
      <c r="A713" t="s">
        <v>769</v>
      </c>
      <c r="B713">
        <v>53</v>
      </c>
      <c r="C713" t="s">
        <v>27</v>
      </c>
      <c r="D713" t="s">
        <v>35</v>
      </c>
      <c r="E713" t="s">
        <v>36</v>
      </c>
      <c r="F713" t="s">
        <v>78</v>
      </c>
      <c r="G713">
        <v>121900</v>
      </c>
      <c r="H713">
        <v>11</v>
      </c>
      <c r="I713">
        <v>31</v>
      </c>
      <c r="J713">
        <v>5</v>
      </c>
      <c r="K713">
        <v>3</v>
      </c>
      <c r="L713">
        <v>2</v>
      </c>
      <c r="M713">
        <v>3</v>
      </c>
      <c r="N713" t="s">
        <v>31</v>
      </c>
      <c r="O713" t="s">
        <v>32</v>
      </c>
      <c r="P713">
        <v>4</v>
      </c>
      <c r="Q713">
        <v>51</v>
      </c>
      <c r="R713">
        <v>4</v>
      </c>
      <c r="S713" t="s">
        <v>31</v>
      </c>
      <c r="T713">
        <v>14</v>
      </c>
      <c r="U713" t="s">
        <v>33</v>
      </c>
      <c r="V713" s="1">
        <v>42612</v>
      </c>
      <c r="W713" s="1">
        <v>42974</v>
      </c>
    </row>
    <row r="714" spans="1:23" x14ac:dyDescent="0.35">
      <c r="A714" t="s">
        <v>770</v>
      </c>
      <c r="B714">
        <v>26</v>
      </c>
      <c r="C714" t="s">
        <v>27</v>
      </c>
      <c r="D714" t="s">
        <v>35</v>
      </c>
      <c r="E714" t="s">
        <v>36</v>
      </c>
      <c r="F714" t="s">
        <v>37</v>
      </c>
      <c r="G714">
        <v>55880</v>
      </c>
      <c r="H714">
        <v>0</v>
      </c>
      <c r="I714">
        <v>5</v>
      </c>
      <c r="J714">
        <v>2</v>
      </c>
      <c r="K714">
        <v>3</v>
      </c>
      <c r="L714">
        <v>2</v>
      </c>
      <c r="M714">
        <v>4</v>
      </c>
      <c r="N714" t="s">
        <v>31</v>
      </c>
      <c r="O714" t="s">
        <v>32</v>
      </c>
      <c r="P714">
        <v>7</v>
      </c>
      <c r="Q714">
        <v>29</v>
      </c>
      <c r="R714">
        <v>2</v>
      </c>
      <c r="S714" t="s">
        <v>31</v>
      </c>
      <c r="T714">
        <v>4</v>
      </c>
      <c r="U714" t="s">
        <v>31</v>
      </c>
      <c r="V714" s="1">
        <v>44824</v>
      </c>
    </row>
    <row r="715" spans="1:23" x14ac:dyDescent="0.35">
      <c r="A715" t="s">
        <v>771</v>
      </c>
      <c r="B715">
        <v>38</v>
      </c>
      <c r="C715" t="s">
        <v>27</v>
      </c>
      <c r="D715" t="s">
        <v>35</v>
      </c>
      <c r="E715" t="s">
        <v>85</v>
      </c>
      <c r="F715" t="s">
        <v>56</v>
      </c>
      <c r="G715">
        <v>105620</v>
      </c>
      <c r="H715">
        <v>9</v>
      </c>
      <c r="I715">
        <v>14</v>
      </c>
      <c r="J715">
        <v>4</v>
      </c>
      <c r="K715">
        <v>3</v>
      </c>
      <c r="L715">
        <v>2</v>
      </c>
      <c r="M715">
        <v>4</v>
      </c>
      <c r="N715" t="s">
        <v>31</v>
      </c>
      <c r="O715" t="s">
        <v>32</v>
      </c>
      <c r="P715">
        <v>12</v>
      </c>
      <c r="Q715">
        <v>50</v>
      </c>
      <c r="R715">
        <v>3</v>
      </c>
      <c r="S715" t="s">
        <v>33</v>
      </c>
      <c r="T715">
        <v>8</v>
      </c>
      <c r="U715" t="s">
        <v>31</v>
      </c>
      <c r="V715" s="1">
        <v>45178</v>
      </c>
    </row>
    <row r="716" spans="1:23" x14ac:dyDescent="0.35">
      <c r="A716" t="s">
        <v>772</v>
      </c>
      <c r="B716">
        <v>47</v>
      </c>
      <c r="C716" t="s">
        <v>27</v>
      </c>
      <c r="D716" t="s">
        <v>28</v>
      </c>
      <c r="E716" t="s">
        <v>66</v>
      </c>
      <c r="F716" t="s">
        <v>41</v>
      </c>
      <c r="G716">
        <v>139667</v>
      </c>
      <c r="H716">
        <v>18</v>
      </c>
      <c r="I716">
        <v>26</v>
      </c>
      <c r="J716">
        <v>5</v>
      </c>
      <c r="K716">
        <v>4</v>
      </c>
      <c r="L716">
        <v>1</v>
      </c>
      <c r="M716">
        <v>4</v>
      </c>
      <c r="N716" t="s">
        <v>31</v>
      </c>
      <c r="O716" t="s">
        <v>32</v>
      </c>
      <c r="P716">
        <v>19</v>
      </c>
      <c r="Q716">
        <v>23</v>
      </c>
      <c r="R716">
        <v>4</v>
      </c>
      <c r="S716" t="s">
        <v>33</v>
      </c>
      <c r="T716">
        <v>6</v>
      </c>
      <c r="U716" t="s">
        <v>31</v>
      </c>
      <c r="V716" s="1">
        <v>42442</v>
      </c>
    </row>
    <row r="717" spans="1:23" x14ac:dyDescent="0.35">
      <c r="A717" t="s">
        <v>773</v>
      </c>
      <c r="B717">
        <v>58</v>
      </c>
      <c r="C717" t="s">
        <v>44</v>
      </c>
      <c r="D717" t="s">
        <v>39</v>
      </c>
      <c r="E717" t="s">
        <v>40</v>
      </c>
      <c r="F717" t="s">
        <v>37</v>
      </c>
      <c r="G717">
        <v>125176</v>
      </c>
      <c r="H717">
        <v>14</v>
      </c>
      <c r="I717">
        <v>36</v>
      </c>
      <c r="J717">
        <v>5</v>
      </c>
      <c r="K717">
        <v>1</v>
      </c>
      <c r="L717">
        <v>1</v>
      </c>
      <c r="M717">
        <v>2</v>
      </c>
      <c r="N717" t="s">
        <v>31</v>
      </c>
      <c r="O717" t="s">
        <v>32</v>
      </c>
      <c r="P717">
        <v>20</v>
      </c>
      <c r="Q717">
        <v>11</v>
      </c>
      <c r="R717">
        <v>3</v>
      </c>
      <c r="S717" t="s">
        <v>33</v>
      </c>
      <c r="T717">
        <v>4</v>
      </c>
      <c r="U717" t="s">
        <v>33</v>
      </c>
      <c r="V717" s="1">
        <v>42657</v>
      </c>
      <c r="W717" s="1">
        <v>42889</v>
      </c>
    </row>
    <row r="718" spans="1:23" x14ac:dyDescent="0.35">
      <c r="A718" t="s">
        <v>774</v>
      </c>
      <c r="B718">
        <v>50</v>
      </c>
      <c r="C718" t="s">
        <v>44</v>
      </c>
      <c r="D718" t="s">
        <v>49</v>
      </c>
      <c r="E718" t="s">
        <v>68</v>
      </c>
      <c r="F718" t="s">
        <v>56</v>
      </c>
      <c r="G718">
        <v>146442</v>
      </c>
      <c r="H718">
        <v>24</v>
      </c>
      <c r="I718">
        <v>28</v>
      </c>
      <c r="J718">
        <v>5</v>
      </c>
      <c r="K718">
        <v>4</v>
      </c>
      <c r="L718">
        <v>2</v>
      </c>
      <c r="M718">
        <v>4</v>
      </c>
      <c r="N718" t="s">
        <v>31</v>
      </c>
      <c r="O718" t="s">
        <v>32</v>
      </c>
      <c r="P718">
        <v>18</v>
      </c>
      <c r="Q718">
        <v>11</v>
      </c>
      <c r="R718">
        <v>4</v>
      </c>
      <c r="S718" t="s">
        <v>33</v>
      </c>
      <c r="T718">
        <v>2</v>
      </c>
      <c r="U718" t="s">
        <v>31</v>
      </c>
      <c r="V718" s="1">
        <v>43648</v>
      </c>
    </row>
    <row r="719" spans="1:23" x14ac:dyDescent="0.35">
      <c r="A719" t="s">
        <v>775</v>
      </c>
      <c r="B719">
        <v>44</v>
      </c>
      <c r="C719" t="s">
        <v>27</v>
      </c>
      <c r="D719" t="s">
        <v>49</v>
      </c>
      <c r="E719" t="s">
        <v>50</v>
      </c>
      <c r="F719" t="s">
        <v>78</v>
      </c>
      <c r="G719">
        <v>42229</v>
      </c>
      <c r="H719">
        <v>0</v>
      </c>
      <c r="I719">
        <v>23</v>
      </c>
      <c r="J719">
        <v>1</v>
      </c>
      <c r="K719">
        <v>1</v>
      </c>
      <c r="L719">
        <v>4</v>
      </c>
      <c r="M719">
        <v>1</v>
      </c>
      <c r="N719" t="s">
        <v>31</v>
      </c>
      <c r="O719" t="s">
        <v>32</v>
      </c>
      <c r="P719">
        <v>19</v>
      </c>
      <c r="Q719">
        <v>36</v>
      </c>
      <c r="R719">
        <v>4</v>
      </c>
      <c r="S719" t="s">
        <v>31</v>
      </c>
      <c r="T719">
        <v>8</v>
      </c>
      <c r="U719" t="s">
        <v>31</v>
      </c>
      <c r="V719" s="1">
        <v>42725</v>
      </c>
    </row>
    <row r="720" spans="1:23" x14ac:dyDescent="0.35">
      <c r="A720" t="s">
        <v>776</v>
      </c>
      <c r="B720">
        <v>29</v>
      </c>
      <c r="C720" t="s">
        <v>44</v>
      </c>
      <c r="D720" t="s">
        <v>49</v>
      </c>
      <c r="E720" t="s">
        <v>50</v>
      </c>
      <c r="F720" t="s">
        <v>37</v>
      </c>
      <c r="G720">
        <v>40082</v>
      </c>
      <c r="H720">
        <v>0</v>
      </c>
      <c r="I720">
        <v>6</v>
      </c>
      <c r="J720">
        <v>1</v>
      </c>
      <c r="K720">
        <v>2</v>
      </c>
      <c r="L720">
        <v>1</v>
      </c>
      <c r="M720">
        <v>2</v>
      </c>
      <c r="N720" t="s">
        <v>31</v>
      </c>
      <c r="O720" t="s">
        <v>32</v>
      </c>
      <c r="P720">
        <v>1</v>
      </c>
      <c r="Q720">
        <v>20</v>
      </c>
      <c r="R720">
        <v>3</v>
      </c>
      <c r="S720" t="s">
        <v>31</v>
      </c>
      <c r="T720">
        <v>8</v>
      </c>
      <c r="U720" t="s">
        <v>31</v>
      </c>
      <c r="V720" s="1">
        <v>42024</v>
      </c>
    </row>
    <row r="721" spans="1:23" x14ac:dyDescent="0.35">
      <c r="A721" t="s">
        <v>777</v>
      </c>
      <c r="B721">
        <v>32</v>
      </c>
      <c r="C721" t="s">
        <v>27</v>
      </c>
      <c r="D721" t="s">
        <v>52</v>
      </c>
      <c r="E721" t="s">
        <v>53</v>
      </c>
      <c r="F721" t="s">
        <v>61</v>
      </c>
      <c r="G721">
        <v>40276</v>
      </c>
      <c r="H721">
        <v>0</v>
      </c>
      <c r="I721">
        <v>8</v>
      </c>
      <c r="J721">
        <v>1</v>
      </c>
      <c r="K721">
        <v>1</v>
      </c>
      <c r="L721">
        <v>2</v>
      </c>
      <c r="M721">
        <v>1</v>
      </c>
      <c r="N721" t="s">
        <v>31</v>
      </c>
      <c r="O721" t="s">
        <v>32</v>
      </c>
      <c r="P721">
        <v>5</v>
      </c>
      <c r="Q721">
        <v>56</v>
      </c>
      <c r="R721">
        <v>3</v>
      </c>
      <c r="S721" t="s">
        <v>31</v>
      </c>
      <c r="T721">
        <v>4</v>
      </c>
      <c r="U721" t="s">
        <v>31</v>
      </c>
      <c r="V721" s="1">
        <v>41978</v>
      </c>
    </row>
    <row r="722" spans="1:23" x14ac:dyDescent="0.35">
      <c r="A722" t="s">
        <v>778</v>
      </c>
      <c r="B722">
        <v>27</v>
      </c>
      <c r="C722" t="s">
        <v>27</v>
      </c>
      <c r="D722" t="s">
        <v>49</v>
      </c>
      <c r="E722" t="s">
        <v>68</v>
      </c>
      <c r="F722" t="s">
        <v>61</v>
      </c>
      <c r="G722">
        <v>67742</v>
      </c>
      <c r="H722">
        <v>4</v>
      </c>
      <c r="I722">
        <v>5</v>
      </c>
      <c r="J722">
        <v>2</v>
      </c>
      <c r="K722">
        <v>4</v>
      </c>
      <c r="L722">
        <v>2</v>
      </c>
      <c r="M722">
        <v>2</v>
      </c>
      <c r="N722" t="s">
        <v>31</v>
      </c>
      <c r="O722" t="s">
        <v>32</v>
      </c>
      <c r="P722">
        <v>6</v>
      </c>
      <c r="Q722">
        <v>33</v>
      </c>
      <c r="R722">
        <v>3</v>
      </c>
      <c r="S722" t="s">
        <v>31</v>
      </c>
      <c r="T722">
        <v>2</v>
      </c>
      <c r="U722" t="s">
        <v>31</v>
      </c>
      <c r="V722" s="1">
        <v>41269</v>
      </c>
    </row>
    <row r="723" spans="1:23" x14ac:dyDescent="0.35">
      <c r="A723" t="s">
        <v>779</v>
      </c>
      <c r="B723">
        <v>51</v>
      </c>
      <c r="C723" t="s">
        <v>27</v>
      </c>
      <c r="D723" t="s">
        <v>39</v>
      </c>
      <c r="E723" t="s">
        <v>40</v>
      </c>
      <c r="F723" t="s">
        <v>61</v>
      </c>
      <c r="G723">
        <v>145877</v>
      </c>
      <c r="H723">
        <v>24</v>
      </c>
      <c r="I723">
        <v>27</v>
      </c>
      <c r="J723">
        <v>5</v>
      </c>
      <c r="K723">
        <v>4</v>
      </c>
      <c r="L723">
        <v>4</v>
      </c>
      <c r="M723">
        <v>4</v>
      </c>
      <c r="N723" t="s">
        <v>31</v>
      </c>
      <c r="O723" t="s">
        <v>32</v>
      </c>
      <c r="P723">
        <v>22</v>
      </c>
      <c r="Q723">
        <v>17</v>
      </c>
      <c r="R723">
        <v>3</v>
      </c>
      <c r="S723" t="s">
        <v>31</v>
      </c>
      <c r="T723">
        <v>2</v>
      </c>
      <c r="U723" t="s">
        <v>31</v>
      </c>
      <c r="V723" s="1">
        <v>44890</v>
      </c>
    </row>
    <row r="724" spans="1:23" x14ac:dyDescent="0.35">
      <c r="A724" t="s">
        <v>780</v>
      </c>
      <c r="B724">
        <v>32</v>
      </c>
      <c r="C724" t="s">
        <v>44</v>
      </c>
      <c r="D724" t="s">
        <v>28</v>
      </c>
      <c r="E724" t="s">
        <v>66</v>
      </c>
      <c r="F724" t="s">
        <v>41</v>
      </c>
      <c r="G724">
        <v>61389</v>
      </c>
      <c r="H724">
        <v>2</v>
      </c>
      <c r="I724">
        <v>11</v>
      </c>
      <c r="J724">
        <v>2</v>
      </c>
      <c r="K724">
        <v>2</v>
      </c>
      <c r="L724">
        <v>1</v>
      </c>
      <c r="M724">
        <v>1</v>
      </c>
      <c r="N724" t="s">
        <v>31</v>
      </c>
      <c r="O724" t="s">
        <v>32</v>
      </c>
      <c r="P724">
        <v>8</v>
      </c>
      <c r="Q724">
        <v>19</v>
      </c>
      <c r="R724">
        <v>2</v>
      </c>
      <c r="S724" t="s">
        <v>31</v>
      </c>
      <c r="T724">
        <v>5</v>
      </c>
      <c r="U724" t="s">
        <v>31</v>
      </c>
      <c r="V724" s="1">
        <v>43055</v>
      </c>
    </row>
    <row r="725" spans="1:23" x14ac:dyDescent="0.35">
      <c r="A725" t="s">
        <v>781</v>
      </c>
      <c r="B725">
        <v>54</v>
      </c>
      <c r="C725" t="s">
        <v>27</v>
      </c>
      <c r="D725" t="s">
        <v>35</v>
      </c>
      <c r="E725" t="s">
        <v>36</v>
      </c>
      <c r="F725" t="s">
        <v>61</v>
      </c>
      <c r="G725">
        <v>161863</v>
      </c>
      <c r="H725">
        <v>30</v>
      </c>
      <c r="I725">
        <v>31</v>
      </c>
      <c r="J725">
        <v>5</v>
      </c>
      <c r="K725">
        <v>4</v>
      </c>
      <c r="L725">
        <v>3</v>
      </c>
      <c r="M725">
        <v>2</v>
      </c>
      <c r="N725" t="s">
        <v>31</v>
      </c>
      <c r="O725" t="s">
        <v>32</v>
      </c>
      <c r="P725">
        <v>10</v>
      </c>
      <c r="Q725">
        <v>55</v>
      </c>
      <c r="R725">
        <v>4</v>
      </c>
      <c r="S725" t="s">
        <v>31</v>
      </c>
      <c r="T725">
        <v>3</v>
      </c>
      <c r="U725" t="s">
        <v>33</v>
      </c>
      <c r="V725" s="1">
        <v>43658</v>
      </c>
      <c r="W725" s="1">
        <v>44394</v>
      </c>
    </row>
    <row r="726" spans="1:23" x14ac:dyDescent="0.35">
      <c r="A726" t="s">
        <v>782</v>
      </c>
      <c r="B726">
        <v>50</v>
      </c>
      <c r="C726" t="s">
        <v>44</v>
      </c>
      <c r="D726" t="s">
        <v>28</v>
      </c>
      <c r="E726" t="s">
        <v>29</v>
      </c>
      <c r="F726" t="s">
        <v>78</v>
      </c>
      <c r="G726">
        <v>140937</v>
      </c>
      <c r="H726">
        <v>18</v>
      </c>
      <c r="I726">
        <v>26</v>
      </c>
      <c r="J726">
        <v>5</v>
      </c>
      <c r="K726">
        <v>1</v>
      </c>
      <c r="L726">
        <v>4</v>
      </c>
      <c r="M726">
        <v>2</v>
      </c>
      <c r="N726" t="s">
        <v>33</v>
      </c>
      <c r="O726" t="s">
        <v>32</v>
      </c>
      <c r="P726">
        <v>9</v>
      </c>
      <c r="Q726">
        <v>41</v>
      </c>
      <c r="R726">
        <v>3</v>
      </c>
      <c r="S726" t="s">
        <v>31</v>
      </c>
      <c r="T726">
        <v>6</v>
      </c>
      <c r="U726" t="s">
        <v>31</v>
      </c>
      <c r="V726" s="1">
        <v>44125</v>
      </c>
    </row>
    <row r="727" spans="1:23" x14ac:dyDescent="0.35">
      <c r="A727" t="s">
        <v>783</v>
      </c>
      <c r="B727">
        <v>45</v>
      </c>
      <c r="C727" t="s">
        <v>27</v>
      </c>
      <c r="D727" t="s">
        <v>39</v>
      </c>
      <c r="E727" t="s">
        <v>40</v>
      </c>
      <c r="F727" t="s">
        <v>56</v>
      </c>
      <c r="G727">
        <v>145548</v>
      </c>
      <c r="H727">
        <v>21</v>
      </c>
      <c r="I727">
        <v>23</v>
      </c>
      <c r="J727">
        <v>5</v>
      </c>
      <c r="K727">
        <v>1</v>
      </c>
      <c r="L727">
        <v>3</v>
      </c>
      <c r="M727">
        <v>2</v>
      </c>
      <c r="N727" t="s">
        <v>31</v>
      </c>
      <c r="O727" t="s">
        <v>32</v>
      </c>
      <c r="P727">
        <v>16</v>
      </c>
      <c r="Q727">
        <v>56</v>
      </c>
      <c r="R727">
        <v>3</v>
      </c>
      <c r="S727" t="s">
        <v>31</v>
      </c>
      <c r="T727">
        <v>3</v>
      </c>
      <c r="U727" t="s">
        <v>31</v>
      </c>
      <c r="V727" s="1">
        <v>43275</v>
      </c>
    </row>
    <row r="728" spans="1:23" x14ac:dyDescent="0.35">
      <c r="A728" t="s">
        <v>784</v>
      </c>
      <c r="B728">
        <v>36</v>
      </c>
      <c r="C728" t="s">
        <v>44</v>
      </c>
      <c r="D728" t="s">
        <v>39</v>
      </c>
      <c r="E728" t="s">
        <v>74</v>
      </c>
      <c r="F728" t="s">
        <v>61</v>
      </c>
      <c r="G728">
        <v>121028</v>
      </c>
      <c r="H728">
        <v>11</v>
      </c>
      <c r="I728">
        <v>13</v>
      </c>
      <c r="J728">
        <v>5</v>
      </c>
      <c r="K728">
        <v>3</v>
      </c>
      <c r="L728">
        <v>2</v>
      </c>
      <c r="M728">
        <v>2</v>
      </c>
      <c r="N728" t="s">
        <v>33</v>
      </c>
      <c r="O728" t="s">
        <v>32</v>
      </c>
      <c r="P728">
        <v>6</v>
      </c>
      <c r="Q728">
        <v>28</v>
      </c>
      <c r="R728">
        <v>3</v>
      </c>
      <c r="S728" t="s">
        <v>31</v>
      </c>
      <c r="T728">
        <v>4</v>
      </c>
      <c r="U728" t="s">
        <v>31</v>
      </c>
      <c r="V728" s="1">
        <v>44160</v>
      </c>
    </row>
    <row r="729" spans="1:23" x14ac:dyDescent="0.35">
      <c r="A729" t="s">
        <v>785</v>
      </c>
      <c r="B729">
        <v>57</v>
      </c>
      <c r="C729" t="s">
        <v>27</v>
      </c>
      <c r="D729" t="s">
        <v>39</v>
      </c>
      <c r="E729" t="s">
        <v>40</v>
      </c>
      <c r="F729" t="s">
        <v>30</v>
      </c>
      <c r="G729">
        <v>43487</v>
      </c>
      <c r="H729">
        <v>0</v>
      </c>
      <c r="I729">
        <v>35</v>
      </c>
      <c r="J729">
        <v>1</v>
      </c>
      <c r="K729">
        <v>2</v>
      </c>
      <c r="L729">
        <v>2</v>
      </c>
      <c r="M729">
        <v>2</v>
      </c>
      <c r="N729" t="s">
        <v>31</v>
      </c>
      <c r="O729" t="s">
        <v>42</v>
      </c>
      <c r="P729">
        <v>27</v>
      </c>
      <c r="Q729">
        <v>11</v>
      </c>
      <c r="R729">
        <v>3</v>
      </c>
      <c r="S729" t="s">
        <v>31</v>
      </c>
      <c r="T729">
        <v>7</v>
      </c>
      <c r="U729" t="s">
        <v>31</v>
      </c>
      <c r="V729" s="1">
        <v>44204</v>
      </c>
    </row>
    <row r="730" spans="1:23" x14ac:dyDescent="0.35">
      <c r="A730" t="s">
        <v>786</v>
      </c>
      <c r="B730">
        <v>29</v>
      </c>
      <c r="C730" t="s">
        <v>44</v>
      </c>
      <c r="D730" t="s">
        <v>39</v>
      </c>
      <c r="E730" t="s">
        <v>40</v>
      </c>
      <c r="F730" t="s">
        <v>56</v>
      </c>
      <c r="G730">
        <v>82700</v>
      </c>
      <c r="H730">
        <v>5</v>
      </c>
      <c r="I730">
        <v>8</v>
      </c>
      <c r="J730">
        <v>3</v>
      </c>
      <c r="K730">
        <v>1</v>
      </c>
      <c r="L730">
        <v>1</v>
      </c>
      <c r="M730">
        <v>1</v>
      </c>
      <c r="N730" t="s">
        <v>31</v>
      </c>
      <c r="O730" t="s">
        <v>32</v>
      </c>
      <c r="P730">
        <v>3</v>
      </c>
      <c r="Q730">
        <v>15</v>
      </c>
      <c r="R730">
        <v>3</v>
      </c>
      <c r="S730" t="s">
        <v>31</v>
      </c>
      <c r="T730">
        <v>3</v>
      </c>
      <c r="U730" t="s">
        <v>31</v>
      </c>
      <c r="V730" s="1">
        <v>42903</v>
      </c>
    </row>
    <row r="731" spans="1:23" x14ac:dyDescent="0.35">
      <c r="A731" t="s">
        <v>787</v>
      </c>
      <c r="B731">
        <v>55</v>
      </c>
      <c r="C731" t="s">
        <v>44</v>
      </c>
      <c r="D731" t="s">
        <v>28</v>
      </c>
      <c r="E731" t="s">
        <v>29</v>
      </c>
      <c r="F731" t="s">
        <v>78</v>
      </c>
      <c r="G731">
        <v>128249</v>
      </c>
      <c r="H731">
        <v>15</v>
      </c>
      <c r="I731">
        <v>31</v>
      </c>
      <c r="J731">
        <v>5</v>
      </c>
      <c r="K731">
        <v>4</v>
      </c>
      <c r="L731">
        <v>1</v>
      </c>
      <c r="M731">
        <v>1</v>
      </c>
      <c r="N731" t="s">
        <v>31</v>
      </c>
      <c r="O731" t="s">
        <v>32</v>
      </c>
      <c r="P731">
        <v>23</v>
      </c>
      <c r="Q731">
        <v>43</v>
      </c>
      <c r="R731">
        <v>3</v>
      </c>
      <c r="S731" t="s">
        <v>31</v>
      </c>
      <c r="T731">
        <v>4</v>
      </c>
      <c r="U731" t="s">
        <v>31</v>
      </c>
      <c r="V731" s="1">
        <v>42513</v>
      </c>
    </row>
    <row r="732" spans="1:23" x14ac:dyDescent="0.35">
      <c r="A732" t="s">
        <v>788</v>
      </c>
      <c r="B732">
        <v>29</v>
      </c>
      <c r="C732" t="s">
        <v>27</v>
      </c>
      <c r="D732" t="s">
        <v>45</v>
      </c>
      <c r="E732" t="s">
        <v>63</v>
      </c>
      <c r="F732" t="s">
        <v>56</v>
      </c>
      <c r="G732">
        <v>42944</v>
      </c>
      <c r="H732">
        <v>1</v>
      </c>
      <c r="I732">
        <v>7</v>
      </c>
      <c r="J732">
        <v>1</v>
      </c>
      <c r="K732">
        <v>1</v>
      </c>
      <c r="L732">
        <v>4</v>
      </c>
      <c r="M732">
        <v>1</v>
      </c>
      <c r="N732" t="s">
        <v>33</v>
      </c>
      <c r="O732" t="s">
        <v>42</v>
      </c>
      <c r="P732">
        <v>15</v>
      </c>
      <c r="Q732">
        <v>28</v>
      </c>
      <c r="R732">
        <v>4</v>
      </c>
      <c r="S732" t="s">
        <v>31</v>
      </c>
      <c r="T732">
        <v>3</v>
      </c>
      <c r="U732" t="s">
        <v>31</v>
      </c>
      <c r="V732" s="1">
        <v>43785</v>
      </c>
    </row>
    <row r="733" spans="1:23" x14ac:dyDescent="0.35">
      <c r="A733" t="s">
        <v>789</v>
      </c>
      <c r="B733">
        <v>37</v>
      </c>
      <c r="C733" t="s">
        <v>44</v>
      </c>
      <c r="D733" t="s">
        <v>28</v>
      </c>
      <c r="E733" t="s">
        <v>29</v>
      </c>
      <c r="F733" t="s">
        <v>78</v>
      </c>
      <c r="G733">
        <v>37125</v>
      </c>
      <c r="H733">
        <v>0</v>
      </c>
      <c r="I733">
        <v>14</v>
      </c>
      <c r="J733">
        <v>1</v>
      </c>
      <c r="K733">
        <v>2</v>
      </c>
      <c r="L733">
        <v>3</v>
      </c>
      <c r="M733">
        <v>4</v>
      </c>
      <c r="N733" t="s">
        <v>31</v>
      </c>
      <c r="O733" t="s">
        <v>32</v>
      </c>
      <c r="P733">
        <v>14</v>
      </c>
      <c r="Q733">
        <v>57</v>
      </c>
      <c r="R733">
        <v>3</v>
      </c>
      <c r="S733" t="s">
        <v>31</v>
      </c>
      <c r="T733">
        <v>9</v>
      </c>
      <c r="U733" t="s">
        <v>31</v>
      </c>
      <c r="V733" s="1">
        <v>44368</v>
      </c>
    </row>
    <row r="734" spans="1:23" x14ac:dyDescent="0.35">
      <c r="A734" t="s">
        <v>790</v>
      </c>
      <c r="B734">
        <v>34</v>
      </c>
      <c r="C734" t="s">
        <v>44</v>
      </c>
      <c r="D734" t="s">
        <v>49</v>
      </c>
      <c r="E734" t="s">
        <v>50</v>
      </c>
      <c r="F734" t="s">
        <v>61</v>
      </c>
      <c r="G734">
        <v>99106</v>
      </c>
      <c r="H734">
        <v>7</v>
      </c>
      <c r="I734">
        <v>13</v>
      </c>
      <c r="J734">
        <v>4</v>
      </c>
      <c r="K734">
        <v>2</v>
      </c>
      <c r="L734">
        <v>1</v>
      </c>
      <c r="M734">
        <v>4</v>
      </c>
      <c r="N734" t="s">
        <v>31</v>
      </c>
      <c r="O734" t="s">
        <v>32</v>
      </c>
      <c r="P734">
        <v>5</v>
      </c>
      <c r="Q734">
        <v>18</v>
      </c>
      <c r="R734">
        <v>3</v>
      </c>
      <c r="S734" t="s">
        <v>31</v>
      </c>
      <c r="T734">
        <v>5</v>
      </c>
      <c r="U734" t="s">
        <v>31</v>
      </c>
      <c r="V734" s="1">
        <v>42987</v>
      </c>
    </row>
    <row r="735" spans="1:23" x14ac:dyDescent="0.35">
      <c r="A735" t="s">
        <v>791</v>
      </c>
      <c r="B735">
        <v>26</v>
      </c>
      <c r="C735" t="s">
        <v>44</v>
      </c>
      <c r="D735" t="s">
        <v>35</v>
      </c>
      <c r="E735" t="s">
        <v>36</v>
      </c>
      <c r="F735" t="s">
        <v>41</v>
      </c>
      <c r="G735">
        <v>63977</v>
      </c>
      <c r="H735">
        <v>4</v>
      </c>
      <c r="I735">
        <v>4</v>
      </c>
      <c r="J735">
        <v>2</v>
      </c>
      <c r="K735">
        <v>3</v>
      </c>
      <c r="L735">
        <v>1</v>
      </c>
      <c r="M735">
        <v>4</v>
      </c>
      <c r="N735" t="s">
        <v>31</v>
      </c>
      <c r="O735" t="s">
        <v>32</v>
      </c>
      <c r="P735">
        <v>14</v>
      </c>
      <c r="Q735">
        <v>20</v>
      </c>
      <c r="R735">
        <v>3</v>
      </c>
      <c r="S735" t="s">
        <v>31</v>
      </c>
      <c r="T735">
        <v>5</v>
      </c>
      <c r="U735" t="s">
        <v>31</v>
      </c>
      <c r="V735" s="1">
        <v>43112</v>
      </c>
    </row>
    <row r="736" spans="1:23" x14ac:dyDescent="0.35">
      <c r="A736" t="s">
        <v>792</v>
      </c>
      <c r="B736">
        <v>25</v>
      </c>
      <c r="C736" t="s">
        <v>27</v>
      </c>
      <c r="D736" t="s">
        <v>52</v>
      </c>
      <c r="E736" t="s">
        <v>55</v>
      </c>
      <c r="F736" t="s">
        <v>78</v>
      </c>
      <c r="G736">
        <v>55133</v>
      </c>
      <c r="H736">
        <v>0</v>
      </c>
      <c r="I736">
        <v>3</v>
      </c>
      <c r="J736">
        <v>2</v>
      </c>
      <c r="K736">
        <v>4</v>
      </c>
      <c r="L736">
        <v>2</v>
      </c>
      <c r="M736">
        <v>4</v>
      </c>
      <c r="N736" t="s">
        <v>31</v>
      </c>
      <c r="O736" t="s">
        <v>32</v>
      </c>
      <c r="P736">
        <v>17</v>
      </c>
      <c r="Q736">
        <v>58</v>
      </c>
      <c r="R736">
        <v>3</v>
      </c>
      <c r="S736" t="s">
        <v>31</v>
      </c>
      <c r="T736">
        <v>8</v>
      </c>
      <c r="U736" t="s">
        <v>33</v>
      </c>
      <c r="V736" s="1">
        <v>42779</v>
      </c>
      <c r="W736" s="1">
        <v>43151</v>
      </c>
    </row>
    <row r="737" spans="1:23" x14ac:dyDescent="0.35">
      <c r="A737" t="s">
        <v>793</v>
      </c>
      <c r="B737">
        <v>28</v>
      </c>
      <c r="C737" t="s">
        <v>44</v>
      </c>
      <c r="D737" t="s">
        <v>39</v>
      </c>
      <c r="E737" t="s">
        <v>74</v>
      </c>
      <c r="F737" t="s">
        <v>56</v>
      </c>
      <c r="G737">
        <v>76764</v>
      </c>
      <c r="H737">
        <v>4</v>
      </c>
      <c r="I737">
        <v>7</v>
      </c>
      <c r="J737">
        <v>3</v>
      </c>
      <c r="K737">
        <v>3</v>
      </c>
      <c r="L737">
        <v>3</v>
      </c>
      <c r="M737">
        <v>3</v>
      </c>
      <c r="N737" t="s">
        <v>31</v>
      </c>
      <c r="O737" t="s">
        <v>42</v>
      </c>
      <c r="P737">
        <v>18</v>
      </c>
      <c r="Q737">
        <v>30</v>
      </c>
      <c r="R737">
        <v>3</v>
      </c>
      <c r="S737" t="s">
        <v>31</v>
      </c>
      <c r="T737">
        <v>7</v>
      </c>
      <c r="U737" t="s">
        <v>31</v>
      </c>
      <c r="V737" s="1">
        <v>44668</v>
      </c>
    </row>
    <row r="738" spans="1:23" x14ac:dyDescent="0.35">
      <c r="A738" t="s">
        <v>794</v>
      </c>
      <c r="B738">
        <v>50</v>
      </c>
      <c r="C738" t="s">
        <v>27</v>
      </c>
      <c r="D738" t="s">
        <v>49</v>
      </c>
      <c r="E738" t="s">
        <v>68</v>
      </c>
      <c r="F738" t="s">
        <v>30</v>
      </c>
      <c r="G738">
        <v>98114</v>
      </c>
      <c r="H738">
        <v>6</v>
      </c>
      <c r="I738">
        <v>29</v>
      </c>
      <c r="J738">
        <v>4</v>
      </c>
      <c r="K738">
        <v>3</v>
      </c>
      <c r="L738">
        <v>4</v>
      </c>
      <c r="M738">
        <v>3</v>
      </c>
      <c r="N738" t="s">
        <v>31</v>
      </c>
      <c r="O738" t="s">
        <v>32</v>
      </c>
      <c r="P738">
        <v>27</v>
      </c>
      <c r="Q738">
        <v>48</v>
      </c>
      <c r="R738">
        <v>3</v>
      </c>
      <c r="S738" t="s">
        <v>33</v>
      </c>
      <c r="T738">
        <v>4</v>
      </c>
      <c r="U738" t="s">
        <v>31</v>
      </c>
      <c r="V738" s="1">
        <v>42085</v>
      </c>
    </row>
    <row r="739" spans="1:23" x14ac:dyDescent="0.35">
      <c r="A739" t="s">
        <v>795</v>
      </c>
      <c r="B739">
        <v>25</v>
      </c>
      <c r="C739" t="s">
        <v>27</v>
      </c>
      <c r="D739" t="s">
        <v>39</v>
      </c>
      <c r="E739" t="s">
        <v>40</v>
      </c>
      <c r="F739" t="s">
        <v>30</v>
      </c>
      <c r="G739">
        <v>59243</v>
      </c>
      <c r="H739">
        <v>0</v>
      </c>
      <c r="I739">
        <v>1</v>
      </c>
      <c r="J739">
        <v>2</v>
      </c>
      <c r="K739">
        <v>3</v>
      </c>
      <c r="L739">
        <v>4</v>
      </c>
      <c r="M739">
        <v>3</v>
      </c>
      <c r="N739" t="s">
        <v>31</v>
      </c>
      <c r="O739" t="s">
        <v>32</v>
      </c>
      <c r="P739">
        <v>12</v>
      </c>
      <c r="Q739">
        <v>42</v>
      </c>
      <c r="R739">
        <v>3</v>
      </c>
      <c r="S739" t="s">
        <v>31</v>
      </c>
      <c r="T739">
        <v>6</v>
      </c>
      <c r="U739" t="s">
        <v>31</v>
      </c>
      <c r="V739" s="1">
        <v>44706</v>
      </c>
    </row>
    <row r="740" spans="1:23" x14ac:dyDescent="0.35">
      <c r="A740" t="s">
        <v>796</v>
      </c>
      <c r="B740">
        <v>57</v>
      </c>
      <c r="C740" t="s">
        <v>27</v>
      </c>
      <c r="D740" t="s">
        <v>39</v>
      </c>
      <c r="E740" t="s">
        <v>59</v>
      </c>
      <c r="F740" t="s">
        <v>61</v>
      </c>
      <c r="G740">
        <v>160619</v>
      </c>
      <c r="H740">
        <v>29</v>
      </c>
      <c r="I740">
        <v>33</v>
      </c>
      <c r="J740">
        <v>5</v>
      </c>
      <c r="K740">
        <v>2</v>
      </c>
      <c r="L740">
        <v>4</v>
      </c>
      <c r="M740">
        <v>2</v>
      </c>
      <c r="N740" t="s">
        <v>31</v>
      </c>
      <c r="O740" t="s">
        <v>32</v>
      </c>
      <c r="P740">
        <v>2</v>
      </c>
      <c r="Q740">
        <v>29</v>
      </c>
      <c r="R740">
        <v>3</v>
      </c>
      <c r="S740" t="s">
        <v>31</v>
      </c>
      <c r="T740">
        <v>9</v>
      </c>
      <c r="U740" t="s">
        <v>33</v>
      </c>
      <c r="V740" s="1">
        <v>45218</v>
      </c>
      <c r="W740" s="1">
        <v>45923</v>
      </c>
    </row>
    <row r="741" spans="1:23" x14ac:dyDescent="0.35">
      <c r="A741" t="s">
        <v>797</v>
      </c>
      <c r="B741">
        <v>51</v>
      </c>
      <c r="C741" t="s">
        <v>27</v>
      </c>
      <c r="D741" t="s">
        <v>49</v>
      </c>
      <c r="E741" t="s">
        <v>68</v>
      </c>
      <c r="F741" t="s">
        <v>78</v>
      </c>
      <c r="G741">
        <v>150661</v>
      </c>
      <c r="H741">
        <v>25</v>
      </c>
      <c r="I741">
        <v>30</v>
      </c>
      <c r="J741">
        <v>5</v>
      </c>
      <c r="K741">
        <v>2</v>
      </c>
      <c r="L741">
        <v>2</v>
      </c>
      <c r="M741">
        <v>1</v>
      </c>
      <c r="N741" t="s">
        <v>31</v>
      </c>
      <c r="O741" t="s">
        <v>42</v>
      </c>
      <c r="P741">
        <v>21</v>
      </c>
      <c r="Q741">
        <v>28</v>
      </c>
      <c r="R741">
        <v>3</v>
      </c>
      <c r="S741" t="s">
        <v>31</v>
      </c>
      <c r="T741">
        <v>9</v>
      </c>
      <c r="U741" t="s">
        <v>31</v>
      </c>
      <c r="V741" s="1">
        <v>42181</v>
      </c>
    </row>
    <row r="742" spans="1:23" x14ac:dyDescent="0.35">
      <c r="A742" t="s">
        <v>798</v>
      </c>
      <c r="B742">
        <v>25</v>
      </c>
      <c r="C742" t="s">
        <v>44</v>
      </c>
      <c r="D742" t="s">
        <v>28</v>
      </c>
      <c r="E742" t="s">
        <v>66</v>
      </c>
      <c r="F742" t="s">
        <v>78</v>
      </c>
      <c r="G742">
        <v>57021</v>
      </c>
      <c r="H742">
        <v>2</v>
      </c>
      <c r="I742">
        <v>2</v>
      </c>
      <c r="J742">
        <v>2</v>
      </c>
      <c r="K742">
        <v>4</v>
      </c>
      <c r="L742">
        <v>2</v>
      </c>
      <c r="M742">
        <v>2</v>
      </c>
      <c r="N742" t="s">
        <v>31</v>
      </c>
      <c r="O742" t="s">
        <v>42</v>
      </c>
      <c r="P742">
        <v>28</v>
      </c>
      <c r="Q742">
        <v>49</v>
      </c>
      <c r="R742">
        <v>3</v>
      </c>
      <c r="S742" t="s">
        <v>31</v>
      </c>
      <c r="T742">
        <v>7</v>
      </c>
      <c r="U742" t="s">
        <v>31</v>
      </c>
      <c r="V742" s="1">
        <v>45068</v>
      </c>
    </row>
    <row r="743" spans="1:23" x14ac:dyDescent="0.35">
      <c r="A743" t="s">
        <v>799</v>
      </c>
      <c r="B743">
        <v>47</v>
      </c>
      <c r="C743" t="s">
        <v>44</v>
      </c>
      <c r="D743" t="s">
        <v>39</v>
      </c>
      <c r="E743" t="s">
        <v>74</v>
      </c>
      <c r="F743" t="s">
        <v>41</v>
      </c>
      <c r="G743">
        <v>126272</v>
      </c>
      <c r="H743">
        <v>12</v>
      </c>
      <c r="I743">
        <v>26</v>
      </c>
      <c r="J743">
        <v>5</v>
      </c>
      <c r="K743">
        <v>3</v>
      </c>
      <c r="L743">
        <v>2</v>
      </c>
      <c r="M743">
        <v>3</v>
      </c>
      <c r="N743" t="s">
        <v>31</v>
      </c>
      <c r="O743" t="s">
        <v>32</v>
      </c>
      <c r="P743">
        <v>4</v>
      </c>
      <c r="Q743">
        <v>42</v>
      </c>
      <c r="R743">
        <v>3</v>
      </c>
      <c r="S743" t="s">
        <v>33</v>
      </c>
      <c r="T743">
        <v>6</v>
      </c>
      <c r="U743" t="s">
        <v>31</v>
      </c>
      <c r="V743" s="1">
        <v>44199</v>
      </c>
    </row>
    <row r="744" spans="1:23" x14ac:dyDescent="0.35">
      <c r="A744" t="s">
        <v>800</v>
      </c>
      <c r="B744">
        <v>59</v>
      </c>
      <c r="C744" t="s">
        <v>27</v>
      </c>
      <c r="D744" t="s">
        <v>52</v>
      </c>
      <c r="E744" t="s">
        <v>55</v>
      </c>
      <c r="F744" t="s">
        <v>56</v>
      </c>
      <c r="G744">
        <v>143923</v>
      </c>
      <c r="H744">
        <v>23</v>
      </c>
      <c r="I744">
        <v>37</v>
      </c>
      <c r="J744">
        <v>5</v>
      </c>
      <c r="K744">
        <v>2</v>
      </c>
      <c r="L744">
        <v>1</v>
      </c>
      <c r="M744">
        <v>4</v>
      </c>
      <c r="N744" t="s">
        <v>33</v>
      </c>
      <c r="O744" t="s">
        <v>32</v>
      </c>
      <c r="P744">
        <v>14</v>
      </c>
      <c r="Q744">
        <v>41</v>
      </c>
      <c r="R744">
        <v>3</v>
      </c>
      <c r="S744" t="s">
        <v>31</v>
      </c>
      <c r="T744">
        <v>3</v>
      </c>
      <c r="U744" t="s">
        <v>31</v>
      </c>
      <c r="V744" s="1">
        <v>43455</v>
      </c>
    </row>
    <row r="745" spans="1:23" x14ac:dyDescent="0.35">
      <c r="A745" t="s">
        <v>801</v>
      </c>
      <c r="B745">
        <v>27</v>
      </c>
      <c r="C745" t="s">
        <v>27</v>
      </c>
      <c r="D745" t="s">
        <v>52</v>
      </c>
      <c r="E745" t="s">
        <v>55</v>
      </c>
      <c r="F745" t="s">
        <v>61</v>
      </c>
      <c r="G745">
        <v>48242</v>
      </c>
      <c r="H745">
        <v>2</v>
      </c>
      <c r="I745">
        <v>3</v>
      </c>
      <c r="J745">
        <v>1</v>
      </c>
      <c r="K745">
        <v>1</v>
      </c>
      <c r="L745">
        <v>3</v>
      </c>
      <c r="M745">
        <v>1</v>
      </c>
      <c r="N745" t="s">
        <v>33</v>
      </c>
      <c r="O745" t="s">
        <v>42</v>
      </c>
      <c r="P745">
        <v>1</v>
      </c>
      <c r="Q745">
        <v>43</v>
      </c>
      <c r="R745">
        <v>3</v>
      </c>
      <c r="S745" t="s">
        <v>31</v>
      </c>
      <c r="T745">
        <v>5</v>
      </c>
      <c r="U745" t="s">
        <v>31</v>
      </c>
      <c r="V745" s="1">
        <v>44245</v>
      </c>
    </row>
    <row r="746" spans="1:23" x14ac:dyDescent="0.35">
      <c r="A746" t="s">
        <v>802</v>
      </c>
      <c r="B746">
        <v>26</v>
      </c>
      <c r="C746" t="s">
        <v>44</v>
      </c>
      <c r="D746" t="s">
        <v>49</v>
      </c>
      <c r="E746" t="s">
        <v>50</v>
      </c>
      <c r="F746" t="s">
        <v>41</v>
      </c>
      <c r="G746">
        <v>38125</v>
      </c>
      <c r="H746">
        <v>0</v>
      </c>
      <c r="I746">
        <v>4</v>
      </c>
      <c r="J746">
        <v>1</v>
      </c>
      <c r="K746">
        <v>4</v>
      </c>
      <c r="L746">
        <v>1</v>
      </c>
      <c r="M746">
        <v>4</v>
      </c>
      <c r="N746" t="s">
        <v>31</v>
      </c>
      <c r="O746" t="s">
        <v>47</v>
      </c>
      <c r="P746">
        <v>23</v>
      </c>
      <c r="Q746">
        <v>20</v>
      </c>
      <c r="R746">
        <v>2</v>
      </c>
      <c r="S746" t="s">
        <v>31</v>
      </c>
      <c r="T746">
        <v>1</v>
      </c>
      <c r="U746" t="s">
        <v>31</v>
      </c>
      <c r="V746" s="1">
        <v>43247</v>
      </c>
    </row>
    <row r="747" spans="1:23" x14ac:dyDescent="0.35">
      <c r="A747" t="s">
        <v>803</v>
      </c>
      <c r="B747">
        <v>42</v>
      </c>
      <c r="C747" t="s">
        <v>27</v>
      </c>
      <c r="D747" t="s">
        <v>39</v>
      </c>
      <c r="E747" t="s">
        <v>74</v>
      </c>
      <c r="F747" t="s">
        <v>41</v>
      </c>
      <c r="G747">
        <v>64915</v>
      </c>
      <c r="H747">
        <v>5</v>
      </c>
      <c r="I747">
        <v>19</v>
      </c>
      <c r="J747">
        <v>2</v>
      </c>
      <c r="K747">
        <v>3</v>
      </c>
      <c r="L747">
        <v>4</v>
      </c>
      <c r="M747">
        <v>1</v>
      </c>
      <c r="N747" t="s">
        <v>31</v>
      </c>
      <c r="O747" t="s">
        <v>32</v>
      </c>
      <c r="P747">
        <v>4</v>
      </c>
      <c r="Q747">
        <v>52</v>
      </c>
      <c r="R747">
        <v>2</v>
      </c>
      <c r="S747" t="s">
        <v>31</v>
      </c>
      <c r="T747">
        <v>2</v>
      </c>
      <c r="U747" t="s">
        <v>31</v>
      </c>
      <c r="V747" s="1">
        <v>41811</v>
      </c>
    </row>
    <row r="748" spans="1:23" x14ac:dyDescent="0.35">
      <c r="A748" t="s">
        <v>804</v>
      </c>
      <c r="B748">
        <v>45</v>
      </c>
      <c r="C748" t="s">
        <v>44</v>
      </c>
      <c r="D748" t="s">
        <v>52</v>
      </c>
      <c r="E748" t="s">
        <v>55</v>
      </c>
      <c r="F748" t="s">
        <v>30</v>
      </c>
      <c r="G748">
        <v>128625</v>
      </c>
      <c r="H748">
        <v>12</v>
      </c>
      <c r="I748">
        <v>21</v>
      </c>
      <c r="J748">
        <v>5</v>
      </c>
      <c r="K748">
        <v>1</v>
      </c>
      <c r="L748">
        <v>1</v>
      </c>
      <c r="M748">
        <v>1</v>
      </c>
      <c r="N748" t="s">
        <v>31</v>
      </c>
      <c r="O748" t="s">
        <v>32</v>
      </c>
      <c r="P748">
        <v>12</v>
      </c>
      <c r="Q748">
        <v>25</v>
      </c>
      <c r="R748">
        <v>4</v>
      </c>
      <c r="S748" t="s">
        <v>31</v>
      </c>
      <c r="T748">
        <v>4</v>
      </c>
      <c r="U748" t="s">
        <v>33</v>
      </c>
      <c r="V748" s="1">
        <v>43749</v>
      </c>
      <c r="W748" s="1">
        <v>43974</v>
      </c>
    </row>
    <row r="749" spans="1:23" x14ac:dyDescent="0.35">
      <c r="A749" t="s">
        <v>805</v>
      </c>
      <c r="B749">
        <v>29</v>
      </c>
      <c r="C749" t="s">
        <v>27</v>
      </c>
      <c r="D749" t="s">
        <v>45</v>
      </c>
      <c r="E749" t="s">
        <v>63</v>
      </c>
      <c r="F749" t="s">
        <v>56</v>
      </c>
      <c r="G749">
        <v>78859</v>
      </c>
      <c r="H749">
        <v>3</v>
      </c>
      <c r="I749">
        <v>7</v>
      </c>
      <c r="J749">
        <v>3</v>
      </c>
      <c r="K749">
        <v>2</v>
      </c>
      <c r="L749">
        <v>3</v>
      </c>
      <c r="M749">
        <v>2</v>
      </c>
      <c r="N749" t="s">
        <v>31</v>
      </c>
      <c r="O749" t="s">
        <v>32</v>
      </c>
      <c r="P749">
        <v>6</v>
      </c>
      <c r="Q749">
        <v>35</v>
      </c>
      <c r="R749">
        <v>3</v>
      </c>
      <c r="S749" t="s">
        <v>31</v>
      </c>
      <c r="T749">
        <v>6</v>
      </c>
      <c r="U749" t="s">
        <v>31</v>
      </c>
      <c r="V749" s="1">
        <v>41925</v>
      </c>
    </row>
    <row r="750" spans="1:23" x14ac:dyDescent="0.35">
      <c r="A750" t="s">
        <v>806</v>
      </c>
      <c r="B750">
        <v>56</v>
      </c>
      <c r="C750" t="s">
        <v>44</v>
      </c>
      <c r="D750" t="s">
        <v>28</v>
      </c>
      <c r="E750" t="s">
        <v>66</v>
      </c>
      <c r="F750" t="s">
        <v>37</v>
      </c>
      <c r="G750">
        <v>60299</v>
      </c>
      <c r="H750">
        <v>1</v>
      </c>
      <c r="I750">
        <v>35</v>
      </c>
      <c r="J750">
        <v>2</v>
      </c>
      <c r="K750">
        <v>3</v>
      </c>
      <c r="L750">
        <v>4</v>
      </c>
      <c r="M750">
        <v>1</v>
      </c>
      <c r="N750" t="s">
        <v>31</v>
      </c>
      <c r="O750" t="s">
        <v>42</v>
      </c>
      <c r="P750">
        <v>3</v>
      </c>
      <c r="Q750">
        <v>53</v>
      </c>
      <c r="R750">
        <v>2</v>
      </c>
      <c r="S750" t="s">
        <v>31</v>
      </c>
      <c r="T750">
        <v>1</v>
      </c>
      <c r="U750" t="s">
        <v>31</v>
      </c>
      <c r="V750" s="1">
        <v>41513</v>
      </c>
    </row>
    <row r="751" spans="1:23" x14ac:dyDescent="0.35">
      <c r="A751" t="s">
        <v>807</v>
      </c>
      <c r="B751">
        <v>26</v>
      </c>
      <c r="C751" t="s">
        <v>44</v>
      </c>
      <c r="D751" t="s">
        <v>28</v>
      </c>
      <c r="E751" t="s">
        <v>29</v>
      </c>
      <c r="F751" t="s">
        <v>56</v>
      </c>
      <c r="G751">
        <v>80477</v>
      </c>
      <c r="H751">
        <v>4</v>
      </c>
      <c r="I751">
        <v>5</v>
      </c>
      <c r="J751">
        <v>3</v>
      </c>
      <c r="K751">
        <v>3</v>
      </c>
      <c r="L751">
        <v>4</v>
      </c>
      <c r="M751">
        <v>2</v>
      </c>
      <c r="N751" t="s">
        <v>33</v>
      </c>
      <c r="O751" t="s">
        <v>32</v>
      </c>
      <c r="P751">
        <v>2</v>
      </c>
      <c r="Q751">
        <v>51</v>
      </c>
      <c r="R751">
        <v>3</v>
      </c>
      <c r="S751" t="s">
        <v>31</v>
      </c>
      <c r="T751">
        <v>6</v>
      </c>
      <c r="U751" t="s">
        <v>31</v>
      </c>
      <c r="V751" s="1">
        <v>42521</v>
      </c>
    </row>
    <row r="752" spans="1:23" x14ac:dyDescent="0.35">
      <c r="A752" t="s">
        <v>808</v>
      </c>
      <c r="B752">
        <v>42</v>
      </c>
      <c r="C752" t="s">
        <v>27</v>
      </c>
      <c r="D752" t="s">
        <v>49</v>
      </c>
      <c r="E752" t="s">
        <v>68</v>
      </c>
      <c r="F752" t="s">
        <v>56</v>
      </c>
      <c r="G752">
        <v>57260</v>
      </c>
      <c r="H752">
        <v>1</v>
      </c>
      <c r="I752">
        <v>19</v>
      </c>
      <c r="J752">
        <v>2</v>
      </c>
      <c r="K752">
        <v>4</v>
      </c>
      <c r="L752">
        <v>3</v>
      </c>
      <c r="M752">
        <v>1</v>
      </c>
      <c r="N752" t="s">
        <v>33</v>
      </c>
      <c r="O752" t="s">
        <v>32</v>
      </c>
      <c r="P752">
        <v>17</v>
      </c>
      <c r="Q752">
        <v>14</v>
      </c>
      <c r="R752">
        <v>4</v>
      </c>
      <c r="S752" t="s">
        <v>31</v>
      </c>
      <c r="T752">
        <v>1</v>
      </c>
      <c r="U752" t="s">
        <v>31</v>
      </c>
      <c r="V752" s="1">
        <v>43803</v>
      </c>
    </row>
    <row r="753" spans="1:23" x14ac:dyDescent="0.35">
      <c r="A753" t="s">
        <v>809</v>
      </c>
      <c r="B753">
        <v>47</v>
      </c>
      <c r="C753" t="s">
        <v>44</v>
      </c>
      <c r="D753" t="s">
        <v>35</v>
      </c>
      <c r="E753" t="s">
        <v>36</v>
      </c>
      <c r="F753" t="s">
        <v>56</v>
      </c>
      <c r="G753">
        <v>136862</v>
      </c>
      <c r="H753">
        <v>16</v>
      </c>
      <c r="I753">
        <v>26</v>
      </c>
      <c r="J753">
        <v>5</v>
      </c>
      <c r="K753">
        <v>1</v>
      </c>
      <c r="L753">
        <v>1</v>
      </c>
      <c r="M753">
        <v>2</v>
      </c>
      <c r="N753" t="s">
        <v>31</v>
      </c>
      <c r="O753" t="s">
        <v>42</v>
      </c>
      <c r="P753">
        <v>16</v>
      </c>
      <c r="Q753">
        <v>11</v>
      </c>
      <c r="R753">
        <v>3</v>
      </c>
      <c r="S753" t="s">
        <v>31</v>
      </c>
      <c r="T753">
        <v>8</v>
      </c>
      <c r="U753" t="s">
        <v>31</v>
      </c>
      <c r="V753" s="1">
        <v>43590</v>
      </c>
    </row>
    <row r="754" spans="1:23" x14ac:dyDescent="0.35">
      <c r="A754" t="s">
        <v>810</v>
      </c>
      <c r="B754">
        <v>37</v>
      </c>
      <c r="C754" t="s">
        <v>27</v>
      </c>
      <c r="D754" t="s">
        <v>28</v>
      </c>
      <c r="E754" t="s">
        <v>29</v>
      </c>
      <c r="F754" t="s">
        <v>41</v>
      </c>
      <c r="G754">
        <v>82452</v>
      </c>
      <c r="H754">
        <v>7</v>
      </c>
      <c r="I754">
        <v>13</v>
      </c>
      <c r="J754">
        <v>3</v>
      </c>
      <c r="K754">
        <v>4</v>
      </c>
      <c r="L754">
        <v>3</v>
      </c>
      <c r="M754">
        <v>3</v>
      </c>
      <c r="N754" t="s">
        <v>33</v>
      </c>
      <c r="O754" t="s">
        <v>32</v>
      </c>
      <c r="P754">
        <v>7</v>
      </c>
      <c r="Q754">
        <v>27</v>
      </c>
      <c r="R754">
        <v>3</v>
      </c>
      <c r="S754" t="s">
        <v>31</v>
      </c>
      <c r="T754">
        <v>4</v>
      </c>
      <c r="U754" t="s">
        <v>31</v>
      </c>
      <c r="V754" s="1">
        <v>42533</v>
      </c>
    </row>
    <row r="755" spans="1:23" x14ac:dyDescent="0.35">
      <c r="A755" t="s">
        <v>811</v>
      </c>
      <c r="B755">
        <v>24</v>
      </c>
      <c r="C755" t="s">
        <v>44</v>
      </c>
      <c r="D755" t="s">
        <v>28</v>
      </c>
      <c r="E755" t="s">
        <v>66</v>
      </c>
      <c r="F755" t="s">
        <v>56</v>
      </c>
      <c r="G755">
        <v>61235</v>
      </c>
      <c r="H755">
        <v>1</v>
      </c>
      <c r="I755">
        <v>1</v>
      </c>
      <c r="J755">
        <v>2</v>
      </c>
      <c r="K755">
        <v>2</v>
      </c>
      <c r="L755">
        <v>3</v>
      </c>
      <c r="M755">
        <v>3</v>
      </c>
      <c r="N755" t="s">
        <v>31</v>
      </c>
      <c r="O755" t="s">
        <v>32</v>
      </c>
      <c r="P755">
        <v>9</v>
      </c>
      <c r="Q755">
        <v>30</v>
      </c>
      <c r="R755">
        <v>3</v>
      </c>
      <c r="S755" t="s">
        <v>31</v>
      </c>
      <c r="T755">
        <v>4</v>
      </c>
      <c r="U755" t="s">
        <v>33</v>
      </c>
      <c r="V755" s="1">
        <v>41884</v>
      </c>
      <c r="W755" s="1">
        <v>42014</v>
      </c>
    </row>
    <row r="756" spans="1:23" x14ac:dyDescent="0.35">
      <c r="A756" t="s">
        <v>812</v>
      </c>
      <c r="B756">
        <v>52</v>
      </c>
      <c r="C756" t="s">
        <v>27</v>
      </c>
      <c r="D756" t="s">
        <v>39</v>
      </c>
      <c r="E756" t="s">
        <v>74</v>
      </c>
      <c r="F756" t="s">
        <v>41</v>
      </c>
      <c r="G756">
        <v>89664</v>
      </c>
      <c r="H756">
        <v>8</v>
      </c>
      <c r="I756">
        <v>30</v>
      </c>
      <c r="J756">
        <v>3</v>
      </c>
      <c r="K756">
        <v>3</v>
      </c>
      <c r="L756">
        <v>2</v>
      </c>
      <c r="M756">
        <v>4</v>
      </c>
      <c r="N756" t="s">
        <v>33</v>
      </c>
      <c r="O756" t="s">
        <v>47</v>
      </c>
      <c r="P756">
        <v>16</v>
      </c>
      <c r="Q756">
        <v>38</v>
      </c>
      <c r="R756">
        <v>4</v>
      </c>
      <c r="S756" t="s">
        <v>31</v>
      </c>
      <c r="T756">
        <v>14</v>
      </c>
      <c r="U756" t="s">
        <v>31</v>
      </c>
      <c r="V756" s="1">
        <v>41169</v>
      </c>
    </row>
    <row r="757" spans="1:23" x14ac:dyDescent="0.35">
      <c r="A757" t="s">
        <v>813</v>
      </c>
      <c r="B757">
        <v>47</v>
      </c>
      <c r="C757" t="s">
        <v>44</v>
      </c>
      <c r="D757" t="s">
        <v>49</v>
      </c>
      <c r="E757" t="s">
        <v>50</v>
      </c>
      <c r="F757" t="s">
        <v>41</v>
      </c>
      <c r="G757">
        <v>63476</v>
      </c>
      <c r="H757">
        <v>2</v>
      </c>
      <c r="I757">
        <v>23</v>
      </c>
      <c r="J757">
        <v>2</v>
      </c>
      <c r="K757">
        <v>3</v>
      </c>
      <c r="L757">
        <v>1</v>
      </c>
      <c r="M757">
        <v>1</v>
      </c>
      <c r="N757" t="s">
        <v>31</v>
      </c>
      <c r="O757" t="s">
        <v>32</v>
      </c>
      <c r="P757">
        <v>15</v>
      </c>
      <c r="Q757">
        <v>59</v>
      </c>
      <c r="R757">
        <v>3</v>
      </c>
      <c r="S757" t="s">
        <v>31</v>
      </c>
      <c r="T757">
        <v>8</v>
      </c>
      <c r="U757" t="s">
        <v>31</v>
      </c>
      <c r="V757" s="1">
        <v>45279</v>
      </c>
    </row>
    <row r="758" spans="1:23" x14ac:dyDescent="0.35">
      <c r="A758" t="s">
        <v>814</v>
      </c>
      <c r="B758">
        <v>59</v>
      </c>
      <c r="C758" t="s">
        <v>27</v>
      </c>
      <c r="D758" t="s">
        <v>49</v>
      </c>
      <c r="E758" t="s">
        <v>68</v>
      </c>
      <c r="F758" t="s">
        <v>37</v>
      </c>
      <c r="G758">
        <v>163663</v>
      </c>
      <c r="H758">
        <v>33</v>
      </c>
      <c r="I758">
        <v>37</v>
      </c>
      <c r="J758">
        <v>5</v>
      </c>
      <c r="K758">
        <v>2</v>
      </c>
      <c r="L758">
        <v>1</v>
      </c>
      <c r="M758">
        <v>4</v>
      </c>
      <c r="N758" t="s">
        <v>31</v>
      </c>
      <c r="O758" t="s">
        <v>32</v>
      </c>
      <c r="P758">
        <v>21</v>
      </c>
      <c r="Q758">
        <v>43</v>
      </c>
      <c r="R758">
        <v>3</v>
      </c>
      <c r="S758" t="s">
        <v>33</v>
      </c>
      <c r="T758">
        <v>12</v>
      </c>
      <c r="U758" t="s">
        <v>31</v>
      </c>
      <c r="V758" s="1">
        <v>43753</v>
      </c>
    </row>
    <row r="759" spans="1:23" x14ac:dyDescent="0.35">
      <c r="A759" t="s">
        <v>815</v>
      </c>
      <c r="B759">
        <v>26</v>
      </c>
      <c r="C759" t="s">
        <v>44</v>
      </c>
      <c r="D759" t="s">
        <v>49</v>
      </c>
      <c r="E759" t="s">
        <v>50</v>
      </c>
      <c r="F759" t="s">
        <v>41</v>
      </c>
      <c r="G759">
        <v>40524</v>
      </c>
      <c r="H759">
        <v>0</v>
      </c>
      <c r="I759">
        <v>5</v>
      </c>
      <c r="J759">
        <v>1</v>
      </c>
      <c r="K759">
        <v>1</v>
      </c>
      <c r="L759">
        <v>4</v>
      </c>
      <c r="M759">
        <v>1</v>
      </c>
      <c r="N759" t="s">
        <v>31</v>
      </c>
      <c r="O759" t="s">
        <v>32</v>
      </c>
      <c r="P759">
        <v>18</v>
      </c>
      <c r="Q759">
        <v>11</v>
      </c>
      <c r="R759">
        <v>3</v>
      </c>
      <c r="S759" t="s">
        <v>31</v>
      </c>
      <c r="T759">
        <v>4</v>
      </c>
      <c r="U759" t="s">
        <v>31</v>
      </c>
      <c r="V759" s="1">
        <v>42879</v>
      </c>
    </row>
    <row r="760" spans="1:23" x14ac:dyDescent="0.35">
      <c r="A760" t="s">
        <v>816</v>
      </c>
      <c r="B760">
        <v>46</v>
      </c>
      <c r="C760" t="s">
        <v>27</v>
      </c>
      <c r="D760" t="s">
        <v>49</v>
      </c>
      <c r="E760" t="s">
        <v>50</v>
      </c>
      <c r="F760" t="s">
        <v>41</v>
      </c>
      <c r="G760">
        <v>131825</v>
      </c>
      <c r="H760">
        <v>16</v>
      </c>
      <c r="I760">
        <v>23</v>
      </c>
      <c r="J760">
        <v>5</v>
      </c>
      <c r="K760">
        <v>1</v>
      </c>
      <c r="L760">
        <v>4</v>
      </c>
      <c r="M760">
        <v>3</v>
      </c>
      <c r="N760" t="s">
        <v>31</v>
      </c>
      <c r="O760" t="s">
        <v>32</v>
      </c>
      <c r="P760">
        <v>6</v>
      </c>
      <c r="Q760">
        <v>21</v>
      </c>
      <c r="R760">
        <v>4</v>
      </c>
      <c r="S760" t="s">
        <v>33</v>
      </c>
      <c r="T760">
        <v>5</v>
      </c>
      <c r="U760" t="s">
        <v>31</v>
      </c>
      <c r="V760" s="1">
        <v>44815</v>
      </c>
    </row>
    <row r="761" spans="1:23" x14ac:dyDescent="0.35">
      <c r="A761" t="s">
        <v>817</v>
      </c>
      <c r="B761">
        <v>37</v>
      </c>
      <c r="C761" t="s">
        <v>27</v>
      </c>
      <c r="D761" t="s">
        <v>28</v>
      </c>
      <c r="E761" t="s">
        <v>66</v>
      </c>
      <c r="F761" t="s">
        <v>30</v>
      </c>
      <c r="G761">
        <v>47595</v>
      </c>
      <c r="H761">
        <v>2</v>
      </c>
      <c r="I761">
        <v>15</v>
      </c>
      <c r="J761">
        <v>1</v>
      </c>
      <c r="K761">
        <v>3</v>
      </c>
      <c r="L761">
        <v>2</v>
      </c>
      <c r="M761">
        <v>2</v>
      </c>
      <c r="N761" t="s">
        <v>33</v>
      </c>
      <c r="O761" t="s">
        <v>32</v>
      </c>
      <c r="P761">
        <v>10</v>
      </c>
      <c r="Q761">
        <v>28</v>
      </c>
      <c r="R761">
        <v>4</v>
      </c>
      <c r="S761" t="s">
        <v>31</v>
      </c>
      <c r="T761">
        <v>2</v>
      </c>
      <c r="U761" t="s">
        <v>31</v>
      </c>
      <c r="V761" s="1">
        <v>44906</v>
      </c>
    </row>
    <row r="762" spans="1:23" x14ac:dyDescent="0.35">
      <c r="A762" t="s">
        <v>818</v>
      </c>
      <c r="B762">
        <v>27</v>
      </c>
      <c r="C762" t="s">
        <v>27</v>
      </c>
      <c r="D762" t="s">
        <v>52</v>
      </c>
      <c r="E762" t="s">
        <v>53</v>
      </c>
      <c r="F762" t="s">
        <v>30</v>
      </c>
      <c r="G762">
        <v>69419</v>
      </c>
      <c r="H762">
        <v>5</v>
      </c>
      <c r="I762">
        <v>6</v>
      </c>
      <c r="J762">
        <v>2</v>
      </c>
      <c r="K762">
        <v>3</v>
      </c>
      <c r="L762">
        <v>4</v>
      </c>
      <c r="M762">
        <v>4</v>
      </c>
      <c r="N762" t="s">
        <v>33</v>
      </c>
      <c r="O762" t="s">
        <v>42</v>
      </c>
      <c r="P762">
        <v>14</v>
      </c>
      <c r="Q762">
        <v>26</v>
      </c>
      <c r="R762">
        <v>2</v>
      </c>
      <c r="S762" t="s">
        <v>33</v>
      </c>
      <c r="T762">
        <v>1</v>
      </c>
      <c r="U762" t="s">
        <v>31</v>
      </c>
      <c r="V762" s="1">
        <v>44521</v>
      </c>
    </row>
    <row r="763" spans="1:23" x14ac:dyDescent="0.35">
      <c r="A763" t="s">
        <v>819</v>
      </c>
      <c r="B763">
        <v>56</v>
      </c>
      <c r="C763" t="s">
        <v>44</v>
      </c>
      <c r="D763" t="s">
        <v>45</v>
      </c>
      <c r="E763" t="s">
        <v>46</v>
      </c>
      <c r="F763" t="s">
        <v>78</v>
      </c>
      <c r="G763">
        <v>128504</v>
      </c>
      <c r="H763">
        <v>15</v>
      </c>
      <c r="I763">
        <v>33</v>
      </c>
      <c r="J763">
        <v>5</v>
      </c>
      <c r="K763">
        <v>2</v>
      </c>
      <c r="L763">
        <v>3</v>
      </c>
      <c r="M763">
        <v>1</v>
      </c>
      <c r="N763" t="s">
        <v>33</v>
      </c>
      <c r="O763" t="s">
        <v>32</v>
      </c>
      <c r="P763">
        <v>1</v>
      </c>
      <c r="Q763">
        <v>37</v>
      </c>
      <c r="R763">
        <v>4</v>
      </c>
      <c r="S763" t="s">
        <v>33</v>
      </c>
      <c r="T763">
        <v>6</v>
      </c>
      <c r="U763" t="s">
        <v>31</v>
      </c>
      <c r="V763" s="1">
        <v>41604</v>
      </c>
    </row>
    <row r="764" spans="1:23" x14ac:dyDescent="0.35">
      <c r="A764" t="s">
        <v>820</v>
      </c>
      <c r="B764">
        <v>50</v>
      </c>
      <c r="C764" t="s">
        <v>27</v>
      </c>
      <c r="D764" t="s">
        <v>39</v>
      </c>
      <c r="E764" t="s">
        <v>59</v>
      </c>
      <c r="F764" t="s">
        <v>41</v>
      </c>
      <c r="G764">
        <v>149073</v>
      </c>
      <c r="H764">
        <v>26</v>
      </c>
      <c r="I764">
        <v>29</v>
      </c>
      <c r="J764">
        <v>5</v>
      </c>
      <c r="K764">
        <v>4</v>
      </c>
      <c r="L764">
        <v>1</v>
      </c>
      <c r="M764">
        <v>1</v>
      </c>
      <c r="N764" t="s">
        <v>33</v>
      </c>
      <c r="O764" t="s">
        <v>32</v>
      </c>
      <c r="P764">
        <v>2</v>
      </c>
      <c r="Q764">
        <v>20</v>
      </c>
      <c r="R764">
        <v>3</v>
      </c>
      <c r="S764" t="s">
        <v>33</v>
      </c>
      <c r="T764">
        <v>5</v>
      </c>
      <c r="U764" t="s">
        <v>31</v>
      </c>
      <c r="V764" s="1">
        <v>44877</v>
      </c>
    </row>
    <row r="765" spans="1:23" x14ac:dyDescent="0.35">
      <c r="A765" t="s">
        <v>821</v>
      </c>
      <c r="B765">
        <v>31</v>
      </c>
      <c r="C765" t="s">
        <v>44</v>
      </c>
      <c r="D765" t="s">
        <v>45</v>
      </c>
      <c r="E765" t="s">
        <v>63</v>
      </c>
      <c r="F765" t="s">
        <v>37</v>
      </c>
      <c r="G765">
        <v>80571</v>
      </c>
      <c r="H765">
        <v>6</v>
      </c>
      <c r="I765">
        <v>8</v>
      </c>
      <c r="J765">
        <v>3</v>
      </c>
      <c r="K765">
        <v>2</v>
      </c>
      <c r="L765">
        <v>1</v>
      </c>
      <c r="M765">
        <v>2</v>
      </c>
      <c r="N765" t="s">
        <v>31</v>
      </c>
      <c r="O765" t="s">
        <v>32</v>
      </c>
      <c r="P765">
        <v>18</v>
      </c>
      <c r="Q765">
        <v>39</v>
      </c>
      <c r="R765">
        <v>3</v>
      </c>
      <c r="S765" t="s">
        <v>33</v>
      </c>
      <c r="T765">
        <v>5</v>
      </c>
      <c r="U765" t="s">
        <v>31</v>
      </c>
      <c r="V765" s="1">
        <v>45234</v>
      </c>
    </row>
    <row r="766" spans="1:23" x14ac:dyDescent="0.35">
      <c r="A766" t="s">
        <v>822</v>
      </c>
      <c r="B766">
        <v>44</v>
      </c>
      <c r="C766" t="s">
        <v>27</v>
      </c>
      <c r="D766" t="s">
        <v>28</v>
      </c>
      <c r="E766" t="s">
        <v>29</v>
      </c>
      <c r="F766" t="s">
        <v>61</v>
      </c>
      <c r="G766">
        <v>130867</v>
      </c>
      <c r="H766">
        <v>15</v>
      </c>
      <c r="I766">
        <v>20</v>
      </c>
      <c r="J766">
        <v>5</v>
      </c>
      <c r="K766">
        <v>3</v>
      </c>
      <c r="L766">
        <v>4</v>
      </c>
      <c r="M766">
        <v>4</v>
      </c>
      <c r="N766" t="s">
        <v>31</v>
      </c>
      <c r="O766" t="s">
        <v>32</v>
      </c>
      <c r="P766">
        <v>12</v>
      </c>
      <c r="Q766">
        <v>47</v>
      </c>
      <c r="R766">
        <v>2</v>
      </c>
      <c r="S766" t="s">
        <v>31</v>
      </c>
      <c r="T766">
        <v>5</v>
      </c>
      <c r="U766" t="s">
        <v>31</v>
      </c>
      <c r="V766" s="1">
        <v>43124</v>
      </c>
    </row>
    <row r="767" spans="1:23" x14ac:dyDescent="0.35">
      <c r="A767" t="s">
        <v>823</v>
      </c>
      <c r="B767">
        <v>38</v>
      </c>
      <c r="C767" t="s">
        <v>44</v>
      </c>
      <c r="D767" t="s">
        <v>35</v>
      </c>
      <c r="E767" t="s">
        <v>85</v>
      </c>
      <c r="F767" t="s">
        <v>30</v>
      </c>
      <c r="G767">
        <v>87878</v>
      </c>
      <c r="H767">
        <v>7</v>
      </c>
      <c r="I767">
        <v>17</v>
      </c>
      <c r="J767">
        <v>3</v>
      </c>
      <c r="K767">
        <v>2</v>
      </c>
      <c r="L767">
        <v>1</v>
      </c>
      <c r="M767">
        <v>4</v>
      </c>
      <c r="N767" t="s">
        <v>31</v>
      </c>
      <c r="O767" t="s">
        <v>32</v>
      </c>
      <c r="P767">
        <v>12</v>
      </c>
      <c r="Q767">
        <v>32</v>
      </c>
      <c r="R767">
        <v>3</v>
      </c>
      <c r="S767" t="s">
        <v>33</v>
      </c>
      <c r="T767">
        <v>7</v>
      </c>
      <c r="U767" t="s">
        <v>31</v>
      </c>
      <c r="V767" s="1">
        <v>43394</v>
      </c>
    </row>
    <row r="768" spans="1:23" x14ac:dyDescent="0.35">
      <c r="A768" t="s">
        <v>824</v>
      </c>
      <c r="B768">
        <v>55</v>
      </c>
      <c r="C768" t="s">
        <v>44</v>
      </c>
      <c r="D768" t="s">
        <v>45</v>
      </c>
      <c r="E768" t="s">
        <v>63</v>
      </c>
      <c r="F768" t="s">
        <v>41</v>
      </c>
      <c r="G768">
        <v>123571</v>
      </c>
      <c r="H768">
        <v>12</v>
      </c>
      <c r="I768">
        <v>32</v>
      </c>
      <c r="J768">
        <v>5</v>
      </c>
      <c r="K768">
        <v>2</v>
      </c>
      <c r="L768">
        <v>4</v>
      </c>
      <c r="M768">
        <v>1</v>
      </c>
      <c r="N768" t="s">
        <v>33</v>
      </c>
      <c r="O768" t="s">
        <v>32</v>
      </c>
      <c r="P768">
        <v>8</v>
      </c>
      <c r="Q768">
        <v>51</v>
      </c>
      <c r="R768">
        <v>3</v>
      </c>
      <c r="S768" t="s">
        <v>31</v>
      </c>
      <c r="T768">
        <v>8</v>
      </c>
      <c r="U768" t="s">
        <v>31</v>
      </c>
      <c r="V768" s="1">
        <v>42681</v>
      </c>
    </row>
    <row r="769" spans="1:23" x14ac:dyDescent="0.35">
      <c r="A769" t="s">
        <v>825</v>
      </c>
      <c r="B769">
        <v>52</v>
      </c>
      <c r="C769" t="s">
        <v>44</v>
      </c>
      <c r="D769" t="s">
        <v>35</v>
      </c>
      <c r="E769" t="s">
        <v>85</v>
      </c>
      <c r="F769" t="s">
        <v>37</v>
      </c>
      <c r="G769">
        <v>128769</v>
      </c>
      <c r="H769">
        <v>13</v>
      </c>
      <c r="I769">
        <v>29</v>
      </c>
      <c r="J769">
        <v>5</v>
      </c>
      <c r="K769">
        <v>1</v>
      </c>
      <c r="L769">
        <v>1</v>
      </c>
      <c r="M769">
        <v>4</v>
      </c>
      <c r="N769" t="s">
        <v>31</v>
      </c>
      <c r="O769" t="s">
        <v>32</v>
      </c>
      <c r="P769">
        <v>9</v>
      </c>
      <c r="Q769">
        <v>33</v>
      </c>
      <c r="R769">
        <v>3</v>
      </c>
      <c r="S769" t="s">
        <v>33</v>
      </c>
      <c r="T769">
        <v>4</v>
      </c>
      <c r="U769" t="s">
        <v>31</v>
      </c>
      <c r="V769" s="1">
        <v>42224</v>
      </c>
    </row>
    <row r="770" spans="1:23" x14ac:dyDescent="0.35">
      <c r="A770" t="s">
        <v>826</v>
      </c>
      <c r="B770">
        <v>30</v>
      </c>
      <c r="C770" t="s">
        <v>44</v>
      </c>
      <c r="D770" t="s">
        <v>49</v>
      </c>
      <c r="E770" t="s">
        <v>50</v>
      </c>
      <c r="F770" t="s">
        <v>30</v>
      </c>
      <c r="G770">
        <v>47883</v>
      </c>
      <c r="H770">
        <v>2</v>
      </c>
      <c r="I770">
        <v>8</v>
      </c>
      <c r="J770">
        <v>1</v>
      </c>
      <c r="K770">
        <v>1</v>
      </c>
      <c r="L770">
        <v>4</v>
      </c>
      <c r="M770">
        <v>2</v>
      </c>
      <c r="N770" t="s">
        <v>31</v>
      </c>
      <c r="O770" t="s">
        <v>32</v>
      </c>
      <c r="P770">
        <v>15</v>
      </c>
      <c r="Q770">
        <v>16</v>
      </c>
      <c r="R770">
        <v>3</v>
      </c>
      <c r="S770" t="s">
        <v>31</v>
      </c>
      <c r="T770">
        <v>5</v>
      </c>
      <c r="U770" t="s">
        <v>31</v>
      </c>
      <c r="V770" s="1">
        <v>44258</v>
      </c>
    </row>
    <row r="771" spans="1:23" x14ac:dyDescent="0.35">
      <c r="A771" t="s">
        <v>827</v>
      </c>
      <c r="B771">
        <v>31</v>
      </c>
      <c r="C771" t="s">
        <v>27</v>
      </c>
      <c r="D771" t="s">
        <v>28</v>
      </c>
      <c r="E771" t="s">
        <v>66</v>
      </c>
      <c r="F771" t="s">
        <v>56</v>
      </c>
      <c r="G771">
        <v>64946</v>
      </c>
      <c r="H771">
        <v>3</v>
      </c>
      <c r="I771">
        <v>7</v>
      </c>
      <c r="J771">
        <v>2</v>
      </c>
      <c r="K771">
        <v>1</v>
      </c>
      <c r="L771">
        <v>1</v>
      </c>
      <c r="M771">
        <v>1</v>
      </c>
      <c r="N771" t="s">
        <v>33</v>
      </c>
      <c r="O771" t="s">
        <v>32</v>
      </c>
      <c r="P771">
        <v>8</v>
      </c>
      <c r="Q771">
        <v>15</v>
      </c>
      <c r="R771">
        <v>3</v>
      </c>
      <c r="S771" t="s">
        <v>31</v>
      </c>
      <c r="T771">
        <v>9</v>
      </c>
      <c r="U771" t="s">
        <v>31</v>
      </c>
      <c r="V771" s="1">
        <v>42945</v>
      </c>
    </row>
    <row r="772" spans="1:23" x14ac:dyDescent="0.35">
      <c r="A772" t="s">
        <v>828</v>
      </c>
      <c r="B772">
        <v>28</v>
      </c>
      <c r="C772" t="s">
        <v>27</v>
      </c>
      <c r="D772" t="s">
        <v>45</v>
      </c>
      <c r="E772" t="s">
        <v>63</v>
      </c>
      <c r="F772" t="s">
        <v>56</v>
      </c>
      <c r="G772">
        <v>60456</v>
      </c>
      <c r="H772">
        <v>3</v>
      </c>
      <c r="I772">
        <v>6</v>
      </c>
      <c r="J772">
        <v>2</v>
      </c>
      <c r="K772">
        <v>3</v>
      </c>
      <c r="L772">
        <v>3</v>
      </c>
      <c r="M772">
        <v>2</v>
      </c>
      <c r="N772" t="s">
        <v>31</v>
      </c>
      <c r="O772" t="s">
        <v>32</v>
      </c>
      <c r="P772">
        <v>5</v>
      </c>
      <c r="Q772">
        <v>12</v>
      </c>
      <c r="R772">
        <v>3</v>
      </c>
      <c r="S772" t="s">
        <v>31</v>
      </c>
      <c r="T772">
        <v>4</v>
      </c>
      <c r="U772" t="s">
        <v>31</v>
      </c>
      <c r="V772" s="1">
        <v>44199</v>
      </c>
    </row>
    <row r="773" spans="1:23" x14ac:dyDescent="0.35">
      <c r="A773" t="s">
        <v>829</v>
      </c>
      <c r="B773">
        <v>39</v>
      </c>
      <c r="C773" t="s">
        <v>44</v>
      </c>
      <c r="D773" t="s">
        <v>45</v>
      </c>
      <c r="E773" t="s">
        <v>46</v>
      </c>
      <c r="F773" t="s">
        <v>78</v>
      </c>
      <c r="G773">
        <v>127870</v>
      </c>
      <c r="H773">
        <v>12</v>
      </c>
      <c r="I773">
        <v>17</v>
      </c>
      <c r="J773">
        <v>5</v>
      </c>
      <c r="K773">
        <v>4</v>
      </c>
      <c r="L773">
        <v>1</v>
      </c>
      <c r="M773">
        <v>1</v>
      </c>
      <c r="N773" t="s">
        <v>33</v>
      </c>
      <c r="O773" t="s">
        <v>32</v>
      </c>
      <c r="P773">
        <v>12</v>
      </c>
      <c r="Q773">
        <v>11</v>
      </c>
      <c r="R773">
        <v>3</v>
      </c>
      <c r="S773" t="s">
        <v>33</v>
      </c>
      <c r="T773">
        <v>4</v>
      </c>
      <c r="U773" t="s">
        <v>33</v>
      </c>
      <c r="V773" s="1">
        <v>42446</v>
      </c>
      <c r="W773" s="1">
        <v>42795</v>
      </c>
    </row>
    <row r="774" spans="1:23" x14ac:dyDescent="0.35">
      <c r="A774" t="s">
        <v>830</v>
      </c>
      <c r="B774">
        <v>51</v>
      </c>
      <c r="C774" t="s">
        <v>44</v>
      </c>
      <c r="D774" t="s">
        <v>49</v>
      </c>
      <c r="E774" t="s">
        <v>68</v>
      </c>
      <c r="F774" t="s">
        <v>78</v>
      </c>
      <c r="G774">
        <v>137599</v>
      </c>
      <c r="H774">
        <v>17</v>
      </c>
      <c r="I774">
        <v>27</v>
      </c>
      <c r="J774">
        <v>5</v>
      </c>
      <c r="K774">
        <v>4</v>
      </c>
      <c r="L774">
        <v>2</v>
      </c>
      <c r="M774">
        <v>3</v>
      </c>
      <c r="N774" t="s">
        <v>31</v>
      </c>
      <c r="O774" t="s">
        <v>47</v>
      </c>
      <c r="P774">
        <v>23</v>
      </c>
      <c r="Q774">
        <v>59</v>
      </c>
      <c r="R774">
        <v>3</v>
      </c>
      <c r="S774" t="s">
        <v>31</v>
      </c>
      <c r="T774">
        <v>8</v>
      </c>
      <c r="U774" t="s">
        <v>31</v>
      </c>
      <c r="V774" s="1">
        <v>41020</v>
      </c>
    </row>
    <row r="775" spans="1:23" x14ac:dyDescent="0.35">
      <c r="A775" t="s">
        <v>831</v>
      </c>
      <c r="B775">
        <v>41</v>
      </c>
      <c r="C775" t="s">
        <v>44</v>
      </c>
      <c r="D775" t="s">
        <v>39</v>
      </c>
      <c r="E775" t="s">
        <v>74</v>
      </c>
      <c r="F775" t="s">
        <v>37</v>
      </c>
      <c r="G775">
        <v>81908</v>
      </c>
      <c r="H775">
        <v>5</v>
      </c>
      <c r="I775">
        <v>17</v>
      </c>
      <c r="J775">
        <v>3</v>
      </c>
      <c r="K775">
        <v>4</v>
      </c>
      <c r="L775">
        <v>4</v>
      </c>
      <c r="M775">
        <v>1</v>
      </c>
      <c r="N775" t="s">
        <v>31</v>
      </c>
      <c r="O775" t="s">
        <v>32</v>
      </c>
      <c r="P775">
        <v>28</v>
      </c>
      <c r="Q775">
        <v>45</v>
      </c>
      <c r="R775">
        <v>2</v>
      </c>
      <c r="S775" t="s">
        <v>33</v>
      </c>
      <c r="T775">
        <v>4</v>
      </c>
      <c r="U775" t="s">
        <v>31</v>
      </c>
      <c r="V775" s="1">
        <v>42891</v>
      </c>
    </row>
    <row r="776" spans="1:23" x14ac:dyDescent="0.35">
      <c r="A776" t="s">
        <v>832</v>
      </c>
      <c r="B776">
        <v>46</v>
      </c>
      <c r="C776" t="s">
        <v>44</v>
      </c>
      <c r="D776" t="s">
        <v>49</v>
      </c>
      <c r="E776" t="s">
        <v>50</v>
      </c>
      <c r="F776" t="s">
        <v>41</v>
      </c>
      <c r="G776">
        <v>41132</v>
      </c>
      <c r="H776">
        <v>2</v>
      </c>
      <c r="I776">
        <v>25</v>
      </c>
      <c r="J776">
        <v>1</v>
      </c>
      <c r="K776">
        <v>1</v>
      </c>
      <c r="L776">
        <v>4</v>
      </c>
      <c r="M776">
        <v>3</v>
      </c>
      <c r="N776" t="s">
        <v>31</v>
      </c>
      <c r="O776" t="s">
        <v>32</v>
      </c>
      <c r="P776">
        <v>5</v>
      </c>
      <c r="Q776">
        <v>13</v>
      </c>
      <c r="R776">
        <v>3</v>
      </c>
      <c r="S776" t="s">
        <v>31</v>
      </c>
      <c r="T776">
        <v>8</v>
      </c>
      <c r="U776" t="s">
        <v>31</v>
      </c>
      <c r="V776" s="1">
        <v>42131</v>
      </c>
    </row>
    <row r="777" spans="1:23" x14ac:dyDescent="0.35">
      <c r="A777" t="s">
        <v>833</v>
      </c>
      <c r="B777">
        <v>30</v>
      </c>
      <c r="C777" t="s">
        <v>27</v>
      </c>
      <c r="D777" t="s">
        <v>35</v>
      </c>
      <c r="E777" t="s">
        <v>36</v>
      </c>
      <c r="F777" t="s">
        <v>61</v>
      </c>
      <c r="G777">
        <v>81714</v>
      </c>
      <c r="H777">
        <v>7</v>
      </c>
      <c r="I777">
        <v>9</v>
      </c>
      <c r="J777">
        <v>3</v>
      </c>
      <c r="K777">
        <v>4</v>
      </c>
      <c r="L777">
        <v>1</v>
      </c>
      <c r="M777">
        <v>2</v>
      </c>
      <c r="N777" t="s">
        <v>31</v>
      </c>
      <c r="O777" t="s">
        <v>42</v>
      </c>
      <c r="P777">
        <v>19</v>
      </c>
      <c r="Q777">
        <v>40</v>
      </c>
      <c r="R777">
        <v>4</v>
      </c>
      <c r="S777" t="s">
        <v>31</v>
      </c>
      <c r="T777">
        <v>6</v>
      </c>
      <c r="U777" t="s">
        <v>31</v>
      </c>
      <c r="V777" s="1">
        <v>44056</v>
      </c>
    </row>
    <row r="778" spans="1:23" x14ac:dyDescent="0.35">
      <c r="A778" t="s">
        <v>834</v>
      </c>
      <c r="B778">
        <v>45</v>
      </c>
      <c r="C778" t="s">
        <v>27</v>
      </c>
      <c r="D778" t="s">
        <v>49</v>
      </c>
      <c r="E778" t="s">
        <v>68</v>
      </c>
      <c r="F778" t="s">
        <v>37</v>
      </c>
      <c r="G778">
        <v>137197</v>
      </c>
      <c r="H778">
        <v>17</v>
      </c>
      <c r="I778">
        <v>21</v>
      </c>
      <c r="J778">
        <v>5</v>
      </c>
      <c r="K778">
        <v>3</v>
      </c>
      <c r="L778">
        <v>4</v>
      </c>
      <c r="M778">
        <v>1</v>
      </c>
      <c r="N778" t="s">
        <v>31</v>
      </c>
      <c r="O778" t="s">
        <v>32</v>
      </c>
      <c r="P778">
        <v>26</v>
      </c>
      <c r="Q778">
        <v>57</v>
      </c>
      <c r="R778">
        <v>3</v>
      </c>
      <c r="S778" t="s">
        <v>31</v>
      </c>
      <c r="T778">
        <v>3</v>
      </c>
      <c r="U778" t="s">
        <v>31</v>
      </c>
      <c r="V778" s="1">
        <v>42129</v>
      </c>
    </row>
    <row r="779" spans="1:23" x14ac:dyDescent="0.35">
      <c r="A779" t="s">
        <v>835</v>
      </c>
      <c r="B779">
        <v>30</v>
      </c>
      <c r="C779" t="s">
        <v>27</v>
      </c>
      <c r="D779" t="s">
        <v>52</v>
      </c>
      <c r="E779" t="s">
        <v>55</v>
      </c>
      <c r="F779" t="s">
        <v>41</v>
      </c>
      <c r="G779">
        <v>60576</v>
      </c>
      <c r="H779">
        <v>3</v>
      </c>
      <c r="I779">
        <v>6</v>
      </c>
      <c r="J779">
        <v>2</v>
      </c>
      <c r="K779">
        <v>2</v>
      </c>
      <c r="L779">
        <v>4</v>
      </c>
      <c r="M779">
        <v>4</v>
      </c>
      <c r="N779" t="s">
        <v>31</v>
      </c>
      <c r="O779" t="s">
        <v>42</v>
      </c>
      <c r="P779">
        <v>19</v>
      </c>
      <c r="Q779">
        <v>34</v>
      </c>
      <c r="R779">
        <v>4</v>
      </c>
      <c r="S779" t="s">
        <v>31</v>
      </c>
      <c r="T779">
        <v>6</v>
      </c>
      <c r="U779" t="s">
        <v>31</v>
      </c>
      <c r="V779" s="1">
        <v>41302</v>
      </c>
    </row>
    <row r="780" spans="1:23" x14ac:dyDescent="0.35">
      <c r="A780" t="s">
        <v>836</v>
      </c>
      <c r="B780">
        <v>55</v>
      </c>
      <c r="C780" t="s">
        <v>27</v>
      </c>
      <c r="D780" t="s">
        <v>49</v>
      </c>
      <c r="E780" t="s">
        <v>68</v>
      </c>
      <c r="F780" t="s">
        <v>61</v>
      </c>
      <c r="G780">
        <v>132509</v>
      </c>
      <c r="H780">
        <v>14</v>
      </c>
      <c r="I780">
        <v>33</v>
      </c>
      <c r="J780">
        <v>5</v>
      </c>
      <c r="K780">
        <v>1</v>
      </c>
      <c r="L780">
        <v>2</v>
      </c>
      <c r="M780">
        <v>4</v>
      </c>
      <c r="N780" t="s">
        <v>31</v>
      </c>
      <c r="O780" t="s">
        <v>32</v>
      </c>
      <c r="P780">
        <v>10</v>
      </c>
      <c r="Q780">
        <v>39</v>
      </c>
      <c r="R780">
        <v>3</v>
      </c>
      <c r="S780" t="s">
        <v>33</v>
      </c>
      <c r="T780">
        <v>5</v>
      </c>
      <c r="U780" t="s">
        <v>31</v>
      </c>
      <c r="V780" s="1">
        <v>43525</v>
      </c>
    </row>
    <row r="781" spans="1:23" x14ac:dyDescent="0.35">
      <c r="A781" t="s">
        <v>837</v>
      </c>
      <c r="B781">
        <v>37</v>
      </c>
      <c r="C781" t="s">
        <v>44</v>
      </c>
      <c r="D781" t="s">
        <v>35</v>
      </c>
      <c r="E781" t="s">
        <v>85</v>
      </c>
      <c r="F781" t="s">
        <v>37</v>
      </c>
      <c r="G781">
        <v>126522</v>
      </c>
      <c r="H781">
        <v>13</v>
      </c>
      <c r="I781">
        <v>14</v>
      </c>
      <c r="J781">
        <v>5</v>
      </c>
      <c r="K781">
        <v>4</v>
      </c>
      <c r="L781">
        <v>1</v>
      </c>
      <c r="M781">
        <v>4</v>
      </c>
      <c r="N781" t="s">
        <v>33</v>
      </c>
      <c r="O781" t="s">
        <v>32</v>
      </c>
      <c r="P781">
        <v>22</v>
      </c>
      <c r="Q781">
        <v>26</v>
      </c>
      <c r="R781">
        <v>3</v>
      </c>
      <c r="S781" t="s">
        <v>31</v>
      </c>
      <c r="T781">
        <v>2</v>
      </c>
      <c r="U781" t="s">
        <v>31</v>
      </c>
      <c r="V781" s="1">
        <v>42554</v>
      </c>
    </row>
    <row r="782" spans="1:23" x14ac:dyDescent="0.35">
      <c r="A782" t="s">
        <v>838</v>
      </c>
      <c r="B782">
        <v>26</v>
      </c>
      <c r="C782" t="s">
        <v>44</v>
      </c>
      <c r="D782" t="s">
        <v>52</v>
      </c>
      <c r="E782" t="s">
        <v>55</v>
      </c>
      <c r="F782" t="s">
        <v>30</v>
      </c>
      <c r="G782">
        <v>46416</v>
      </c>
      <c r="H782">
        <v>1</v>
      </c>
      <c r="I782">
        <v>3</v>
      </c>
      <c r="J782">
        <v>1</v>
      </c>
      <c r="K782">
        <v>3</v>
      </c>
      <c r="L782">
        <v>2</v>
      </c>
      <c r="M782">
        <v>4</v>
      </c>
      <c r="N782" t="s">
        <v>33</v>
      </c>
      <c r="O782" t="s">
        <v>32</v>
      </c>
      <c r="P782">
        <v>7</v>
      </c>
      <c r="Q782">
        <v>31</v>
      </c>
      <c r="R782">
        <v>3</v>
      </c>
      <c r="S782" t="s">
        <v>31</v>
      </c>
      <c r="T782">
        <v>7</v>
      </c>
      <c r="U782" t="s">
        <v>31</v>
      </c>
      <c r="V782" s="1">
        <v>41244</v>
      </c>
    </row>
    <row r="783" spans="1:23" x14ac:dyDescent="0.35">
      <c r="A783" t="s">
        <v>839</v>
      </c>
      <c r="B783">
        <v>47</v>
      </c>
      <c r="C783" t="s">
        <v>27</v>
      </c>
      <c r="D783" t="s">
        <v>39</v>
      </c>
      <c r="E783" t="s">
        <v>40</v>
      </c>
      <c r="F783" t="s">
        <v>61</v>
      </c>
      <c r="G783">
        <v>59514</v>
      </c>
      <c r="H783">
        <v>2</v>
      </c>
      <c r="I783">
        <v>23</v>
      </c>
      <c r="J783">
        <v>2</v>
      </c>
      <c r="K783">
        <v>2</v>
      </c>
      <c r="L783">
        <v>3</v>
      </c>
      <c r="M783">
        <v>2</v>
      </c>
      <c r="N783" t="s">
        <v>33</v>
      </c>
      <c r="O783" t="s">
        <v>32</v>
      </c>
      <c r="P783">
        <v>10</v>
      </c>
      <c r="Q783">
        <v>50</v>
      </c>
      <c r="R783">
        <v>2</v>
      </c>
      <c r="S783" t="s">
        <v>31</v>
      </c>
      <c r="T783">
        <v>4</v>
      </c>
      <c r="U783" t="s">
        <v>31</v>
      </c>
      <c r="V783" s="1">
        <v>42043</v>
      </c>
    </row>
    <row r="784" spans="1:23" x14ac:dyDescent="0.35">
      <c r="A784" t="s">
        <v>840</v>
      </c>
      <c r="B784">
        <v>37</v>
      </c>
      <c r="C784" t="s">
        <v>44</v>
      </c>
      <c r="D784" t="s">
        <v>35</v>
      </c>
      <c r="E784" t="s">
        <v>36</v>
      </c>
      <c r="F784" t="s">
        <v>56</v>
      </c>
      <c r="G784">
        <v>59999</v>
      </c>
      <c r="H784">
        <v>1</v>
      </c>
      <c r="I784">
        <v>14</v>
      </c>
      <c r="J784">
        <v>2</v>
      </c>
      <c r="K784">
        <v>1</v>
      </c>
      <c r="L784">
        <v>3</v>
      </c>
      <c r="M784">
        <v>2</v>
      </c>
      <c r="N784" t="s">
        <v>33</v>
      </c>
      <c r="O784" t="s">
        <v>42</v>
      </c>
      <c r="P784">
        <v>6</v>
      </c>
      <c r="Q784">
        <v>32</v>
      </c>
      <c r="R784">
        <v>3</v>
      </c>
      <c r="S784" t="s">
        <v>31</v>
      </c>
      <c r="T784">
        <v>3</v>
      </c>
      <c r="U784" t="s">
        <v>31</v>
      </c>
      <c r="V784" s="1">
        <v>42262</v>
      </c>
    </row>
    <row r="785" spans="1:23" x14ac:dyDescent="0.35">
      <c r="A785" t="s">
        <v>841</v>
      </c>
      <c r="B785">
        <v>22</v>
      </c>
      <c r="C785" t="s">
        <v>27</v>
      </c>
      <c r="D785" t="s">
        <v>28</v>
      </c>
      <c r="E785" t="s">
        <v>29</v>
      </c>
      <c r="F785" t="s">
        <v>37</v>
      </c>
      <c r="G785">
        <v>38484</v>
      </c>
      <c r="H785">
        <v>0</v>
      </c>
      <c r="I785">
        <v>1</v>
      </c>
      <c r="J785">
        <v>1</v>
      </c>
      <c r="K785">
        <v>3</v>
      </c>
      <c r="L785">
        <v>3</v>
      </c>
      <c r="M785">
        <v>3</v>
      </c>
      <c r="N785" t="s">
        <v>31</v>
      </c>
      <c r="O785" t="s">
        <v>32</v>
      </c>
      <c r="P785">
        <v>24</v>
      </c>
      <c r="Q785">
        <v>50</v>
      </c>
      <c r="R785">
        <v>3</v>
      </c>
      <c r="S785" t="s">
        <v>31</v>
      </c>
      <c r="T785">
        <v>5</v>
      </c>
      <c r="U785" t="s">
        <v>31</v>
      </c>
      <c r="V785" s="1">
        <v>44083</v>
      </c>
    </row>
    <row r="786" spans="1:23" x14ac:dyDescent="0.35">
      <c r="A786" t="s">
        <v>842</v>
      </c>
      <c r="B786">
        <v>52</v>
      </c>
      <c r="C786" t="s">
        <v>27</v>
      </c>
      <c r="D786" t="s">
        <v>49</v>
      </c>
      <c r="E786" t="s">
        <v>68</v>
      </c>
      <c r="F786" t="s">
        <v>78</v>
      </c>
      <c r="G786">
        <v>149443</v>
      </c>
      <c r="H786">
        <v>23</v>
      </c>
      <c r="I786">
        <v>31</v>
      </c>
      <c r="J786">
        <v>5</v>
      </c>
      <c r="K786">
        <v>2</v>
      </c>
      <c r="L786">
        <v>3</v>
      </c>
      <c r="M786">
        <v>1</v>
      </c>
      <c r="N786" t="s">
        <v>31</v>
      </c>
      <c r="O786" t="s">
        <v>32</v>
      </c>
      <c r="P786">
        <v>16</v>
      </c>
      <c r="Q786">
        <v>58</v>
      </c>
      <c r="R786">
        <v>2</v>
      </c>
      <c r="S786" t="s">
        <v>31</v>
      </c>
      <c r="T786">
        <v>5</v>
      </c>
      <c r="U786" t="s">
        <v>31</v>
      </c>
      <c r="V786" s="1">
        <v>44120</v>
      </c>
    </row>
    <row r="787" spans="1:23" x14ac:dyDescent="0.35">
      <c r="A787" t="s">
        <v>843</v>
      </c>
      <c r="B787">
        <v>48</v>
      </c>
      <c r="C787" t="s">
        <v>44</v>
      </c>
      <c r="D787" t="s">
        <v>52</v>
      </c>
      <c r="E787" t="s">
        <v>55</v>
      </c>
      <c r="F787" t="s">
        <v>30</v>
      </c>
      <c r="G787">
        <v>139231</v>
      </c>
      <c r="H787">
        <v>19</v>
      </c>
      <c r="I787">
        <v>24</v>
      </c>
      <c r="J787">
        <v>5</v>
      </c>
      <c r="K787">
        <v>1</v>
      </c>
      <c r="L787">
        <v>1</v>
      </c>
      <c r="M787">
        <v>1</v>
      </c>
      <c r="N787" t="s">
        <v>31</v>
      </c>
      <c r="O787" t="s">
        <v>32</v>
      </c>
      <c r="P787">
        <v>1</v>
      </c>
      <c r="Q787">
        <v>38</v>
      </c>
      <c r="R787">
        <v>4</v>
      </c>
      <c r="S787" t="s">
        <v>31</v>
      </c>
      <c r="T787">
        <v>3</v>
      </c>
      <c r="U787" t="s">
        <v>31</v>
      </c>
      <c r="V787" s="1">
        <v>44703</v>
      </c>
    </row>
    <row r="788" spans="1:23" x14ac:dyDescent="0.35">
      <c r="A788" t="s">
        <v>844</v>
      </c>
      <c r="B788">
        <v>45</v>
      </c>
      <c r="C788" t="s">
        <v>44</v>
      </c>
      <c r="D788" t="s">
        <v>28</v>
      </c>
      <c r="E788" t="s">
        <v>29</v>
      </c>
      <c r="F788" t="s">
        <v>78</v>
      </c>
      <c r="G788">
        <v>143881</v>
      </c>
      <c r="H788">
        <v>23</v>
      </c>
      <c r="I788">
        <v>24</v>
      </c>
      <c r="J788">
        <v>5</v>
      </c>
      <c r="K788">
        <v>3</v>
      </c>
      <c r="L788">
        <v>2</v>
      </c>
      <c r="M788">
        <v>4</v>
      </c>
      <c r="N788" t="s">
        <v>33</v>
      </c>
      <c r="O788" t="s">
        <v>32</v>
      </c>
      <c r="P788">
        <v>26</v>
      </c>
      <c r="Q788">
        <v>27</v>
      </c>
      <c r="R788">
        <v>2</v>
      </c>
      <c r="S788" t="s">
        <v>31</v>
      </c>
      <c r="T788">
        <v>2</v>
      </c>
      <c r="U788" t="s">
        <v>33</v>
      </c>
      <c r="V788" s="1">
        <v>44557</v>
      </c>
      <c r="W788" s="1">
        <v>44945</v>
      </c>
    </row>
    <row r="789" spans="1:23" x14ac:dyDescent="0.35">
      <c r="A789" t="s">
        <v>845</v>
      </c>
      <c r="B789">
        <v>25</v>
      </c>
      <c r="C789" t="s">
        <v>27</v>
      </c>
      <c r="D789" t="s">
        <v>28</v>
      </c>
      <c r="E789" t="s">
        <v>66</v>
      </c>
      <c r="F789" t="s">
        <v>41</v>
      </c>
      <c r="G789">
        <v>59285</v>
      </c>
      <c r="H789">
        <v>3</v>
      </c>
      <c r="I789">
        <v>4</v>
      </c>
      <c r="J789">
        <v>2</v>
      </c>
      <c r="K789">
        <v>1</v>
      </c>
      <c r="L789">
        <v>3</v>
      </c>
      <c r="M789">
        <v>3</v>
      </c>
      <c r="N789" t="s">
        <v>31</v>
      </c>
      <c r="O789" t="s">
        <v>32</v>
      </c>
      <c r="P789">
        <v>5</v>
      </c>
      <c r="Q789">
        <v>54</v>
      </c>
      <c r="R789">
        <v>2</v>
      </c>
      <c r="S789" t="s">
        <v>31</v>
      </c>
      <c r="T789">
        <v>4</v>
      </c>
      <c r="U789" t="s">
        <v>33</v>
      </c>
      <c r="V789" s="1">
        <v>42223</v>
      </c>
      <c r="W789" s="1">
        <v>42889</v>
      </c>
    </row>
    <row r="790" spans="1:23" x14ac:dyDescent="0.35">
      <c r="A790" t="s">
        <v>846</v>
      </c>
      <c r="B790">
        <v>46</v>
      </c>
      <c r="C790" t="s">
        <v>27</v>
      </c>
      <c r="D790" t="s">
        <v>49</v>
      </c>
      <c r="E790" t="s">
        <v>68</v>
      </c>
      <c r="F790" t="s">
        <v>41</v>
      </c>
      <c r="G790">
        <v>46064</v>
      </c>
      <c r="H790">
        <v>2</v>
      </c>
      <c r="I790">
        <v>24</v>
      </c>
      <c r="J790">
        <v>1</v>
      </c>
      <c r="K790">
        <v>1</v>
      </c>
      <c r="L790">
        <v>1</v>
      </c>
      <c r="M790">
        <v>2</v>
      </c>
      <c r="N790" t="s">
        <v>33</v>
      </c>
      <c r="O790" t="s">
        <v>32</v>
      </c>
      <c r="P790">
        <v>19</v>
      </c>
      <c r="Q790">
        <v>37</v>
      </c>
      <c r="R790">
        <v>3</v>
      </c>
      <c r="S790" t="s">
        <v>31</v>
      </c>
      <c r="T790">
        <v>4</v>
      </c>
      <c r="U790" t="s">
        <v>31</v>
      </c>
      <c r="V790" s="1">
        <v>44862</v>
      </c>
    </row>
    <row r="791" spans="1:23" x14ac:dyDescent="0.35">
      <c r="A791" t="s">
        <v>847</v>
      </c>
      <c r="B791">
        <v>59</v>
      </c>
      <c r="C791" t="s">
        <v>44</v>
      </c>
      <c r="D791" t="s">
        <v>52</v>
      </c>
      <c r="E791" t="s">
        <v>53</v>
      </c>
      <c r="F791" t="s">
        <v>56</v>
      </c>
      <c r="G791">
        <v>173942</v>
      </c>
      <c r="H791">
        <v>38</v>
      </c>
      <c r="I791">
        <v>38</v>
      </c>
      <c r="J791">
        <v>5</v>
      </c>
      <c r="K791">
        <v>4</v>
      </c>
      <c r="L791">
        <v>1</v>
      </c>
      <c r="M791">
        <v>3</v>
      </c>
      <c r="N791" t="s">
        <v>33</v>
      </c>
      <c r="O791" t="s">
        <v>42</v>
      </c>
      <c r="P791">
        <v>22</v>
      </c>
      <c r="Q791">
        <v>49</v>
      </c>
      <c r="R791">
        <v>3</v>
      </c>
      <c r="S791" t="s">
        <v>31</v>
      </c>
      <c r="T791">
        <v>5</v>
      </c>
      <c r="U791" t="s">
        <v>31</v>
      </c>
      <c r="V791" s="1">
        <v>41265</v>
      </c>
    </row>
    <row r="792" spans="1:23" x14ac:dyDescent="0.35">
      <c r="A792" t="s">
        <v>848</v>
      </c>
      <c r="B792">
        <v>44</v>
      </c>
      <c r="C792" t="s">
        <v>27</v>
      </c>
      <c r="D792" t="s">
        <v>39</v>
      </c>
      <c r="E792" t="s">
        <v>40</v>
      </c>
      <c r="F792" t="s">
        <v>37</v>
      </c>
      <c r="G792">
        <v>61059</v>
      </c>
      <c r="H792">
        <v>1</v>
      </c>
      <c r="I792">
        <v>22</v>
      </c>
      <c r="J792">
        <v>2</v>
      </c>
      <c r="K792">
        <v>2</v>
      </c>
      <c r="L792">
        <v>4</v>
      </c>
      <c r="M792">
        <v>2</v>
      </c>
      <c r="N792" t="s">
        <v>31</v>
      </c>
      <c r="O792" t="s">
        <v>42</v>
      </c>
      <c r="P792">
        <v>6</v>
      </c>
      <c r="Q792">
        <v>46</v>
      </c>
      <c r="R792">
        <v>3</v>
      </c>
      <c r="S792" t="s">
        <v>31</v>
      </c>
      <c r="T792">
        <v>7</v>
      </c>
      <c r="U792" t="s">
        <v>31</v>
      </c>
      <c r="V792" s="1">
        <v>44683</v>
      </c>
    </row>
    <row r="793" spans="1:23" x14ac:dyDescent="0.35">
      <c r="A793" t="s">
        <v>849</v>
      </c>
      <c r="B793">
        <v>28</v>
      </c>
      <c r="C793" t="s">
        <v>27</v>
      </c>
      <c r="D793" t="s">
        <v>45</v>
      </c>
      <c r="E793" t="s">
        <v>46</v>
      </c>
      <c r="F793" t="s">
        <v>56</v>
      </c>
      <c r="G793">
        <v>42070</v>
      </c>
      <c r="H793">
        <v>2</v>
      </c>
      <c r="I793">
        <v>4</v>
      </c>
      <c r="J793">
        <v>1</v>
      </c>
      <c r="K793">
        <v>1</v>
      </c>
      <c r="L793">
        <v>2</v>
      </c>
      <c r="M793">
        <v>2</v>
      </c>
      <c r="N793" t="s">
        <v>31</v>
      </c>
      <c r="O793" t="s">
        <v>32</v>
      </c>
      <c r="P793">
        <v>3</v>
      </c>
      <c r="Q793">
        <v>10</v>
      </c>
      <c r="R793">
        <v>3</v>
      </c>
      <c r="S793" t="s">
        <v>31</v>
      </c>
      <c r="T793">
        <v>3</v>
      </c>
      <c r="U793" t="s">
        <v>31</v>
      </c>
      <c r="V793" s="1">
        <v>41451</v>
      </c>
    </row>
    <row r="794" spans="1:23" x14ac:dyDescent="0.35">
      <c r="A794" t="s">
        <v>850</v>
      </c>
      <c r="B794">
        <v>23</v>
      </c>
      <c r="C794" t="s">
        <v>27</v>
      </c>
      <c r="D794" t="s">
        <v>28</v>
      </c>
      <c r="E794" t="s">
        <v>29</v>
      </c>
      <c r="F794" t="s">
        <v>30</v>
      </c>
      <c r="G794">
        <v>42909</v>
      </c>
      <c r="H794">
        <v>0</v>
      </c>
      <c r="I794">
        <v>1</v>
      </c>
      <c r="J794">
        <v>1</v>
      </c>
      <c r="K794">
        <v>2</v>
      </c>
      <c r="L794">
        <v>4</v>
      </c>
      <c r="M794">
        <v>2</v>
      </c>
      <c r="N794" t="s">
        <v>31</v>
      </c>
      <c r="O794" t="s">
        <v>32</v>
      </c>
      <c r="P794">
        <v>29</v>
      </c>
      <c r="Q794">
        <v>55</v>
      </c>
      <c r="R794">
        <v>2</v>
      </c>
      <c r="S794" t="s">
        <v>31</v>
      </c>
      <c r="T794">
        <v>4</v>
      </c>
      <c r="U794" t="s">
        <v>31</v>
      </c>
      <c r="V794" s="1">
        <v>43534</v>
      </c>
    </row>
    <row r="795" spans="1:23" x14ac:dyDescent="0.35">
      <c r="A795" t="s">
        <v>851</v>
      </c>
      <c r="B795">
        <v>53</v>
      </c>
      <c r="C795" t="s">
        <v>27</v>
      </c>
      <c r="D795" t="s">
        <v>45</v>
      </c>
      <c r="E795" t="s">
        <v>46</v>
      </c>
      <c r="F795" t="s">
        <v>37</v>
      </c>
      <c r="G795">
        <v>136878</v>
      </c>
      <c r="H795">
        <v>17</v>
      </c>
      <c r="I795">
        <v>31</v>
      </c>
      <c r="J795">
        <v>5</v>
      </c>
      <c r="K795">
        <v>2</v>
      </c>
      <c r="L795">
        <v>3</v>
      </c>
      <c r="M795">
        <v>3</v>
      </c>
      <c r="N795" t="s">
        <v>33</v>
      </c>
      <c r="O795" t="s">
        <v>47</v>
      </c>
      <c r="P795">
        <v>16</v>
      </c>
      <c r="Q795">
        <v>48</v>
      </c>
      <c r="R795">
        <v>3</v>
      </c>
      <c r="S795" t="s">
        <v>31</v>
      </c>
      <c r="T795">
        <v>6</v>
      </c>
      <c r="U795" t="s">
        <v>31</v>
      </c>
      <c r="V795" s="1">
        <v>43211</v>
      </c>
    </row>
    <row r="796" spans="1:23" x14ac:dyDescent="0.35">
      <c r="A796" t="s">
        <v>852</v>
      </c>
      <c r="B796">
        <v>25</v>
      </c>
      <c r="C796" t="s">
        <v>44</v>
      </c>
      <c r="D796" t="s">
        <v>35</v>
      </c>
      <c r="E796" t="s">
        <v>36</v>
      </c>
      <c r="F796" t="s">
        <v>37</v>
      </c>
      <c r="G796">
        <v>43707</v>
      </c>
      <c r="H796">
        <v>2</v>
      </c>
      <c r="I796">
        <v>2</v>
      </c>
      <c r="J796">
        <v>1</v>
      </c>
      <c r="K796">
        <v>3</v>
      </c>
      <c r="L796">
        <v>4</v>
      </c>
      <c r="M796">
        <v>2</v>
      </c>
      <c r="N796" t="s">
        <v>31</v>
      </c>
      <c r="O796" t="s">
        <v>32</v>
      </c>
      <c r="P796">
        <v>1</v>
      </c>
      <c r="Q796">
        <v>49</v>
      </c>
      <c r="R796">
        <v>3</v>
      </c>
      <c r="S796" t="s">
        <v>31</v>
      </c>
      <c r="T796">
        <v>5</v>
      </c>
      <c r="U796" t="s">
        <v>31</v>
      </c>
      <c r="V796" s="1">
        <v>41453</v>
      </c>
    </row>
    <row r="797" spans="1:23" x14ac:dyDescent="0.35">
      <c r="A797" t="s">
        <v>853</v>
      </c>
      <c r="B797">
        <v>29</v>
      </c>
      <c r="C797" t="s">
        <v>27</v>
      </c>
      <c r="D797" t="s">
        <v>39</v>
      </c>
      <c r="E797" t="s">
        <v>59</v>
      </c>
      <c r="F797" t="s">
        <v>78</v>
      </c>
      <c r="G797">
        <v>101938</v>
      </c>
      <c r="H797">
        <v>8</v>
      </c>
      <c r="I797">
        <v>8</v>
      </c>
      <c r="J797">
        <v>4</v>
      </c>
      <c r="K797">
        <v>2</v>
      </c>
      <c r="L797">
        <v>2</v>
      </c>
      <c r="M797">
        <v>3</v>
      </c>
      <c r="N797" t="s">
        <v>33</v>
      </c>
      <c r="O797" t="s">
        <v>32</v>
      </c>
      <c r="P797">
        <v>19</v>
      </c>
      <c r="Q797">
        <v>21</v>
      </c>
      <c r="R797">
        <v>2</v>
      </c>
      <c r="S797" t="s">
        <v>33</v>
      </c>
      <c r="T797">
        <v>4</v>
      </c>
      <c r="U797" t="s">
        <v>31</v>
      </c>
      <c r="V797" s="1">
        <v>42352</v>
      </c>
    </row>
    <row r="798" spans="1:23" x14ac:dyDescent="0.35">
      <c r="A798" t="s">
        <v>854</v>
      </c>
      <c r="B798">
        <v>30</v>
      </c>
      <c r="C798" t="s">
        <v>27</v>
      </c>
      <c r="D798" t="s">
        <v>49</v>
      </c>
      <c r="E798" t="s">
        <v>68</v>
      </c>
      <c r="F798" t="s">
        <v>78</v>
      </c>
      <c r="G798">
        <v>80310</v>
      </c>
      <c r="H798">
        <v>4</v>
      </c>
      <c r="I798">
        <v>9</v>
      </c>
      <c r="J798">
        <v>3</v>
      </c>
      <c r="K798">
        <v>1</v>
      </c>
      <c r="L798">
        <v>1</v>
      </c>
      <c r="M798">
        <v>1</v>
      </c>
      <c r="N798" t="s">
        <v>31</v>
      </c>
      <c r="O798" t="s">
        <v>32</v>
      </c>
      <c r="P798">
        <v>28</v>
      </c>
      <c r="Q798">
        <v>51</v>
      </c>
      <c r="R798">
        <v>3</v>
      </c>
      <c r="S798" t="s">
        <v>31</v>
      </c>
      <c r="T798">
        <v>7</v>
      </c>
      <c r="U798" t="s">
        <v>31</v>
      </c>
      <c r="V798" s="1">
        <v>41011</v>
      </c>
    </row>
    <row r="799" spans="1:23" x14ac:dyDescent="0.35">
      <c r="A799" t="s">
        <v>855</v>
      </c>
      <c r="B799">
        <v>50</v>
      </c>
      <c r="C799" t="s">
        <v>27</v>
      </c>
      <c r="D799" t="s">
        <v>35</v>
      </c>
      <c r="E799" t="s">
        <v>36</v>
      </c>
      <c r="F799" t="s">
        <v>78</v>
      </c>
      <c r="G799">
        <v>160485</v>
      </c>
      <c r="H799">
        <v>29</v>
      </c>
      <c r="I799">
        <v>29</v>
      </c>
      <c r="J799">
        <v>5</v>
      </c>
      <c r="K799">
        <v>4</v>
      </c>
      <c r="L799">
        <v>2</v>
      </c>
      <c r="M799">
        <v>3</v>
      </c>
      <c r="N799" t="s">
        <v>31</v>
      </c>
      <c r="O799" t="s">
        <v>32</v>
      </c>
      <c r="P799">
        <v>3</v>
      </c>
      <c r="Q799">
        <v>45</v>
      </c>
      <c r="R799">
        <v>3</v>
      </c>
      <c r="S799" t="s">
        <v>33</v>
      </c>
      <c r="T799">
        <v>5</v>
      </c>
      <c r="U799" t="s">
        <v>33</v>
      </c>
      <c r="V799" s="1">
        <v>43691</v>
      </c>
      <c r="W799" s="1">
        <v>43860</v>
      </c>
    </row>
    <row r="800" spans="1:23" x14ac:dyDescent="0.35">
      <c r="A800" t="s">
        <v>856</v>
      </c>
      <c r="B800">
        <v>56</v>
      </c>
      <c r="C800" t="s">
        <v>27</v>
      </c>
      <c r="D800" t="s">
        <v>52</v>
      </c>
      <c r="E800" t="s">
        <v>55</v>
      </c>
      <c r="F800" t="s">
        <v>41</v>
      </c>
      <c r="G800">
        <v>43233</v>
      </c>
      <c r="H800">
        <v>0</v>
      </c>
      <c r="I800">
        <v>35</v>
      </c>
      <c r="J800">
        <v>1</v>
      </c>
      <c r="K800">
        <v>2</v>
      </c>
      <c r="L800">
        <v>3</v>
      </c>
      <c r="M800">
        <v>2</v>
      </c>
      <c r="N800" t="s">
        <v>33</v>
      </c>
      <c r="O800" t="s">
        <v>47</v>
      </c>
      <c r="P800">
        <v>26</v>
      </c>
      <c r="Q800">
        <v>55</v>
      </c>
      <c r="R800">
        <v>3</v>
      </c>
      <c r="S800" t="s">
        <v>31</v>
      </c>
      <c r="T800">
        <v>3</v>
      </c>
      <c r="U800" t="s">
        <v>31</v>
      </c>
      <c r="V800" s="1">
        <v>42287</v>
      </c>
    </row>
    <row r="801" spans="1:23" x14ac:dyDescent="0.35">
      <c r="A801" t="s">
        <v>857</v>
      </c>
      <c r="B801">
        <v>55</v>
      </c>
      <c r="C801" t="s">
        <v>27</v>
      </c>
      <c r="D801" t="s">
        <v>49</v>
      </c>
      <c r="E801" t="s">
        <v>68</v>
      </c>
      <c r="F801" t="s">
        <v>56</v>
      </c>
      <c r="G801">
        <v>161776</v>
      </c>
      <c r="H801">
        <v>29</v>
      </c>
      <c r="I801">
        <v>33</v>
      </c>
      <c r="J801">
        <v>5</v>
      </c>
      <c r="K801">
        <v>4</v>
      </c>
      <c r="L801">
        <v>3</v>
      </c>
      <c r="M801">
        <v>2</v>
      </c>
      <c r="N801" t="s">
        <v>33</v>
      </c>
      <c r="O801" t="s">
        <v>32</v>
      </c>
      <c r="P801">
        <v>5</v>
      </c>
      <c r="Q801">
        <v>27</v>
      </c>
      <c r="R801">
        <v>4</v>
      </c>
      <c r="S801" t="s">
        <v>33</v>
      </c>
      <c r="T801">
        <v>2</v>
      </c>
      <c r="U801" t="s">
        <v>31</v>
      </c>
      <c r="V801" s="1">
        <v>44342</v>
      </c>
    </row>
    <row r="802" spans="1:23" x14ac:dyDescent="0.35">
      <c r="A802" t="s">
        <v>858</v>
      </c>
      <c r="B802">
        <v>46</v>
      </c>
      <c r="C802" t="s">
        <v>27</v>
      </c>
      <c r="D802" t="s">
        <v>52</v>
      </c>
      <c r="E802" t="s">
        <v>53</v>
      </c>
      <c r="F802" t="s">
        <v>41</v>
      </c>
      <c r="G802">
        <v>101608</v>
      </c>
      <c r="H802">
        <v>9</v>
      </c>
      <c r="I802">
        <v>23</v>
      </c>
      <c r="J802">
        <v>4</v>
      </c>
      <c r="K802">
        <v>3</v>
      </c>
      <c r="L802">
        <v>2</v>
      </c>
      <c r="M802">
        <v>1</v>
      </c>
      <c r="N802" t="s">
        <v>31</v>
      </c>
      <c r="O802" t="s">
        <v>32</v>
      </c>
      <c r="P802">
        <v>29</v>
      </c>
      <c r="Q802">
        <v>30</v>
      </c>
      <c r="R802">
        <v>4</v>
      </c>
      <c r="S802" t="s">
        <v>33</v>
      </c>
      <c r="T802">
        <v>7</v>
      </c>
      <c r="U802" t="s">
        <v>33</v>
      </c>
      <c r="V802" s="1">
        <v>41600</v>
      </c>
      <c r="W802" s="1">
        <v>42333</v>
      </c>
    </row>
    <row r="803" spans="1:23" x14ac:dyDescent="0.35">
      <c r="A803" t="s">
        <v>859</v>
      </c>
      <c r="B803">
        <v>33</v>
      </c>
      <c r="C803" t="s">
        <v>44</v>
      </c>
      <c r="D803" t="s">
        <v>52</v>
      </c>
      <c r="E803" t="s">
        <v>53</v>
      </c>
      <c r="F803" t="s">
        <v>41</v>
      </c>
      <c r="G803">
        <v>67649</v>
      </c>
      <c r="H803">
        <v>4</v>
      </c>
      <c r="I803">
        <v>12</v>
      </c>
      <c r="J803">
        <v>2</v>
      </c>
      <c r="K803">
        <v>4</v>
      </c>
      <c r="L803">
        <v>2</v>
      </c>
      <c r="M803">
        <v>3</v>
      </c>
      <c r="N803" t="s">
        <v>31</v>
      </c>
      <c r="O803" t="s">
        <v>32</v>
      </c>
      <c r="P803">
        <v>14</v>
      </c>
      <c r="Q803">
        <v>46</v>
      </c>
      <c r="R803">
        <v>3</v>
      </c>
      <c r="S803" t="s">
        <v>31</v>
      </c>
      <c r="T803">
        <v>8</v>
      </c>
      <c r="U803" t="s">
        <v>31</v>
      </c>
      <c r="V803" s="1">
        <v>41536</v>
      </c>
    </row>
    <row r="804" spans="1:23" x14ac:dyDescent="0.35">
      <c r="A804" t="s">
        <v>860</v>
      </c>
      <c r="B804">
        <v>47</v>
      </c>
      <c r="C804" t="s">
        <v>44</v>
      </c>
      <c r="D804" t="s">
        <v>39</v>
      </c>
      <c r="E804" t="s">
        <v>40</v>
      </c>
      <c r="F804" t="s">
        <v>37</v>
      </c>
      <c r="G804">
        <v>125600</v>
      </c>
      <c r="H804">
        <v>13</v>
      </c>
      <c r="I804">
        <v>23</v>
      </c>
      <c r="J804">
        <v>5</v>
      </c>
      <c r="K804">
        <v>1</v>
      </c>
      <c r="L804">
        <v>4</v>
      </c>
      <c r="M804">
        <v>1</v>
      </c>
      <c r="N804" t="s">
        <v>31</v>
      </c>
      <c r="O804" t="s">
        <v>32</v>
      </c>
      <c r="P804">
        <v>10</v>
      </c>
      <c r="Q804">
        <v>32</v>
      </c>
      <c r="R804">
        <v>3</v>
      </c>
      <c r="S804" t="s">
        <v>31</v>
      </c>
      <c r="T804">
        <v>7</v>
      </c>
      <c r="U804" t="s">
        <v>33</v>
      </c>
      <c r="V804" s="1">
        <v>44006</v>
      </c>
      <c r="W804" s="1">
        <v>44357</v>
      </c>
    </row>
    <row r="805" spans="1:23" x14ac:dyDescent="0.35">
      <c r="A805" t="s">
        <v>861</v>
      </c>
      <c r="B805">
        <v>24</v>
      </c>
      <c r="C805" t="s">
        <v>44</v>
      </c>
      <c r="D805" t="s">
        <v>39</v>
      </c>
      <c r="E805" t="s">
        <v>59</v>
      </c>
      <c r="F805" t="s">
        <v>41</v>
      </c>
      <c r="G805">
        <v>43563</v>
      </c>
      <c r="H805">
        <v>1</v>
      </c>
      <c r="I805">
        <v>3</v>
      </c>
      <c r="J805">
        <v>1</v>
      </c>
      <c r="K805">
        <v>2</v>
      </c>
      <c r="L805">
        <v>1</v>
      </c>
      <c r="M805">
        <v>4</v>
      </c>
      <c r="N805" t="s">
        <v>31</v>
      </c>
      <c r="O805" t="s">
        <v>32</v>
      </c>
      <c r="P805">
        <v>28</v>
      </c>
      <c r="Q805">
        <v>14</v>
      </c>
      <c r="R805">
        <v>3</v>
      </c>
      <c r="S805" t="s">
        <v>31</v>
      </c>
      <c r="T805">
        <v>7</v>
      </c>
      <c r="U805" t="s">
        <v>33</v>
      </c>
      <c r="V805" s="1">
        <v>40953</v>
      </c>
      <c r="W805" s="1">
        <v>41755</v>
      </c>
    </row>
    <row r="806" spans="1:23" x14ac:dyDescent="0.35">
      <c r="A806" t="s">
        <v>862</v>
      </c>
      <c r="B806">
        <v>49</v>
      </c>
      <c r="C806" t="s">
        <v>27</v>
      </c>
      <c r="D806" t="s">
        <v>28</v>
      </c>
      <c r="E806" t="s">
        <v>66</v>
      </c>
      <c r="F806" t="s">
        <v>61</v>
      </c>
      <c r="G806">
        <v>138875</v>
      </c>
      <c r="H806">
        <v>17</v>
      </c>
      <c r="I806">
        <v>28</v>
      </c>
      <c r="J806">
        <v>5</v>
      </c>
      <c r="K806">
        <v>2</v>
      </c>
      <c r="L806">
        <v>3</v>
      </c>
      <c r="M806">
        <v>1</v>
      </c>
      <c r="N806" t="s">
        <v>31</v>
      </c>
      <c r="O806" t="s">
        <v>42</v>
      </c>
      <c r="P806">
        <v>19</v>
      </c>
      <c r="Q806">
        <v>18</v>
      </c>
      <c r="R806">
        <v>3</v>
      </c>
      <c r="S806" t="s">
        <v>33</v>
      </c>
      <c r="T806">
        <v>6</v>
      </c>
      <c r="U806" t="s">
        <v>33</v>
      </c>
      <c r="V806" s="1">
        <v>44114</v>
      </c>
      <c r="W806" s="1">
        <v>45015</v>
      </c>
    </row>
    <row r="807" spans="1:23" x14ac:dyDescent="0.35">
      <c r="A807" t="s">
        <v>863</v>
      </c>
      <c r="B807">
        <v>53</v>
      </c>
      <c r="C807" t="s">
        <v>44</v>
      </c>
      <c r="D807" t="s">
        <v>28</v>
      </c>
      <c r="E807" t="s">
        <v>29</v>
      </c>
      <c r="F807" t="s">
        <v>56</v>
      </c>
      <c r="G807">
        <v>58983</v>
      </c>
      <c r="H807">
        <v>1</v>
      </c>
      <c r="I807">
        <v>31</v>
      </c>
      <c r="J807">
        <v>2</v>
      </c>
      <c r="K807">
        <v>1</v>
      </c>
      <c r="L807">
        <v>3</v>
      </c>
      <c r="M807">
        <v>3</v>
      </c>
      <c r="N807" t="s">
        <v>31</v>
      </c>
      <c r="O807" t="s">
        <v>32</v>
      </c>
      <c r="P807">
        <v>12</v>
      </c>
      <c r="Q807">
        <v>44</v>
      </c>
      <c r="R807">
        <v>3</v>
      </c>
      <c r="S807" t="s">
        <v>31</v>
      </c>
      <c r="T807">
        <v>6</v>
      </c>
      <c r="U807" t="s">
        <v>31</v>
      </c>
      <c r="V807" s="1">
        <v>44526</v>
      </c>
    </row>
    <row r="808" spans="1:23" x14ac:dyDescent="0.35">
      <c r="A808" t="s">
        <v>864</v>
      </c>
      <c r="B808">
        <v>58</v>
      </c>
      <c r="C808" t="s">
        <v>44</v>
      </c>
      <c r="D808" t="s">
        <v>52</v>
      </c>
      <c r="E808" t="s">
        <v>53</v>
      </c>
      <c r="F808" t="s">
        <v>61</v>
      </c>
      <c r="G808">
        <v>162903</v>
      </c>
      <c r="H808">
        <v>32</v>
      </c>
      <c r="I808">
        <v>34</v>
      </c>
      <c r="J808">
        <v>5</v>
      </c>
      <c r="K808">
        <v>3</v>
      </c>
      <c r="L808">
        <v>1</v>
      </c>
      <c r="M808">
        <v>2</v>
      </c>
      <c r="N808" t="s">
        <v>31</v>
      </c>
      <c r="O808" t="s">
        <v>32</v>
      </c>
      <c r="P808">
        <v>7</v>
      </c>
      <c r="Q808">
        <v>32</v>
      </c>
      <c r="R808">
        <v>3</v>
      </c>
      <c r="S808" t="s">
        <v>31</v>
      </c>
      <c r="T808">
        <v>4</v>
      </c>
      <c r="U808" t="s">
        <v>31</v>
      </c>
      <c r="V808" s="1">
        <v>42867</v>
      </c>
    </row>
    <row r="809" spans="1:23" x14ac:dyDescent="0.35">
      <c r="A809" t="s">
        <v>865</v>
      </c>
      <c r="B809">
        <v>49</v>
      </c>
      <c r="C809" t="s">
        <v>44</v>
      </c>
      <c r="D809" t="s">
        <v>49</v>
      </c>
      <c r="E809" t="s">
        <v>50</v>
      </c>
      <c r="F809" t="s">
        <v>56</v>
      </c>
      <c r="G809">
        <v>144193</v>
      </c>
      <c r="H809">
        <v>20</v>
      </c>
      <c r="I809">
        <v>27</v>
      </c>
      <c r="J809">
        <v>5</v>
      </c>
      <c r="K809">
        <v>3</v>
      </c>
      <c r="L809">
        <v>1</v>
      </c>
      <c r="M809">
        <v>2</v>
      </c>
      <c r="N809" t="s">
        <v>31</v>
      </c>
      <c r="O809" t="s">
        <v>42</v>
      </c>
      <c r="P809">
        <v>27</v>
      </c>
      <c r="Q809">
        <v>45</v>
      </c>
      <c r="R809">
        <v>2</v>
      </c>
      <c r="S809" t="s">
        <v>31</v>
      </c>
      <c r="T809">
        <v>6</v>
      </c>
      <c r="U809" t="s">
        <v>31</v>
      </c>
      <c r="V809" s="1">
        <v>41016</v>
      </c>
    </row>
    <row r="810" spans="1:23" x14ac:dyDescent="0.35">
      <c r="A810" t="s">
        <v>866</v>
      </c>
      <c r="B810">
        <v>26</v>
      </c>
      <c r="C810" t="s">
        <v>44</v>
      </c>
      <c r="D810" t="s">
        <v>45</v>
      </c>
      <c r="E810" t="s">
        <v>63</v>
      </c>
      <c r="F810" t="s">
        <v>30</v>
      </c>
      <c r="G810">
        <v>55575</v>
      </c>
      <c r="H810">
        <v>0</v>
      </c>
      <c r="I810">
        <v>2</v>
      </c>
      <c r="J810">
        <v>2</v>
      </c>
      <c r="K810">
        <v>4</v>
      </c>
      <c r="L810">
        <v>2</v>
      </c>
      <c r="M810">
        <v>3</v>
      </c>
      <c r="N810" t="s">
        <v>31</v>
      </c>
      <c r="O810" t="s">
        <v>42</v>
      </c>
      <c r="P810">
        <v>18</v>
      </c>
      <c r="Q810">
        <v>26</v>
      </c>
      <c r="R810">
        <v>3</v>
      </c>
      <c r="S810" t="s">
        <v>31</v>
      </c>
      <c r="T810">
        <v>3</v>
      </c>
      <c r="U810" t="s">
        <v>31</v>
      </c>
      <c r="V810" s="1">
        <v>41597</v>
      </c>
    </row>
    <row r="811" spans="1:23" x14ac:dyDescent="0.35">
      <c r="A811" t="s">
        <v>867</v>
      </c>
      <c r="B811">
        <v>43</v>
      </c>
      <c r="C811" t="s">
        <v>27</v>
      </c>
      <c r="D811" t="s">
        <v>49</v>
      </c>
      <c r="E811" t="s">
        <v>50</v>
      </c>
      <c r="F811" t="s">
        <v>41</v>
      </c>
      <c r="G811">
        <v>122539</v>
      </c>
      <c r="H811">
        <v>11</v>
      </c>
      <c r="I811">
        <v>19</v>
      </c>
      <c r="J811">
        <v>5</v>
      </c>
      <c r="K811">
        <v>2</v>
      </c>
      <c r="L811">
        <v>3</v>
      </c>
      <c r="M811">
        <v>2</v>
      </c>
      <c r="N811" t="s">
        <v>31</v>
      </c>
      <c r="O811" t="s">
        <v>32</v>
      </c>
      <c r="P811">
        <v>17</v>
      </c>
      <c r="Q811">
        <v>39</v>
      </c>
      <c r="R811">
        <v>3</v>
      </c>
      <c r="S811" t="s">
        <v>33</v>
      </c>
      <c r="T811">
        <v>1</v>
      </c>
      <c r="U811" t="s">
        <v>31</v>
      </c>
      <c r="V811" s="1">
        <v>42285</v>
      </c>
    </row>
    <row r="812" spans="1:23" x14ac:dyDescent="0.35">
      <c r="A812" t="s">
        <v>868</v>
      </c>
      <c r="B812">
        <v>32</v>
      </c>
      <c r="C812" t="s">
        <v>27</v>
      </c>
      <c r="D812" t="s">
        <v>45</v>
      </c>
      <c r="E812" t="s">
        <v>46</v>
      </c>
      <c r="F812" t="s">
        <v>41</v>
      </c>
      <c r="G812">
        <v>77887</v>
      </c>
      <c r="H812">
        <v>4</v>
      </c>
      <c r="I812">
        <v>11</v>
      </c>
      <c r="J812">
        <v>3</v>
      </c>
      <c r="K812">
        <v>3</v>
      </c>
      <c r="L812">
        <v>2</v>
      </c>
      <c r="M812">
        <v>1</v>
      </c>
      <c r="N812" t="s">
        <v>33</v>
      </c>
      <c r="O812" t="s">
        <v>32</v>
      </c>
      <c r="P812">
        <v>1</v>
      </c>
      <c r="Q812">
        <v>20</v>
      </c>
      <c r="R812">
        <v>3</v>
      </c>
      <c r="S812" t="s">
        <v>31</v>
      </c>
      <c r="T812">
        <v>5</v>
      </c>
      <c r="U812" t="s">
        <v>31</v>
      </c>
      <c r="V812" s="1">
        <v>45184</v>
      </c>
    </row>
    <row r="813" spans="1:23" x14ac:dyDescent="0.35">
      <c r="A813" t="s">
        <v>869</v>
      </c>
      <c r="B813">
        <v>23</v>
      </c>
      <c r="C813" t="s">
        <v>44</v>
      </c>
      <c r="D813" t="s">
        <v>49</v>
      </c>
      <c r="E813" t="s">
        <v>68</v>
      </c>
      <c r="F813" t="s">
        <v>37</v>
      </c>
      <c r="G813">
        <v>44637</v>
      </c>
      <c r="H813">
        <v>1</v>
      </c>
      <c r="I813">
        <v>2</v>
      </c>
      <c r="J813">
        <v>1</v>
      </c>
      <c r="K813">
        <v>3</v>
      </c>
      <c r="L813">
        <v>2</v>
      </c>
      <c r="M813">
        <v>3</v>
      </c>
      <c r="N813" t="s">
        <v>31</v>
      </c>
      <c r="O813" t="s">
        <v>32</v>
      </c>
      <c r="P813">
        <v>28</v>
      </c>
      <c r="Q813">
        <v>39</v>
      </c>
      <c r="R813">
        <v>3</v>
      </c>
      <c r="S813" t="s">
        <v>31</v>
      </c>
      <c r="T813">
        <v>6</v>
      </c>
      <c r="U813" t="s">
        <v>33</v>
      </c>
      <c r="V813" s="1">
        <v>41919</v>
      </c>
      <c r="W813" s="1">
        <v>42762</v>
      </c>
    </row>
    <row r="814" spans="1:23" x14ac:dyDescent="0.35">
      <c r="A814" t="s">
        <v>870</v>
      </c>
      <c r="B814">
        <v>34</v>
      </c>
      <c r="C814" t="s">
        <v>27</v>
      </c>
      <c r="D814" t="s">
        <v>35</v>
      </c>
      <c r="E814" t="s">
        <v>85</v>
      </c>
      <c r="F814" t="s">
        <v>61</v>
      </c>
      <c r="G814">
        <v>117993</v>
      </c>
      <c r="H814">
        <v>9</v>
      </c>
      <c r="I814">
        <v>10</v>
      </c>
      <c r="J814">
        <v>5</v>
      </c>
      <c r="K814">
        <v>3</v>
      </c>
      <c r="L814">
        <v>1</v>
      </c>
      <c r="M814">
        <v>1</v>
      </c>
      <c r="N814" t="s">
        <v>31</v>
      </c>
      <c r="O814" t="s">
        <v>47</v>
      </c>
      <c r="P814">
        <v>4</v>
      </c>
      <c r="Q814">
        <v>41</v>
      </c>
      <c r="R814">
        <v>3</v>
      </c>
      <c r="S814" t="s">
        <v>31</v>
      </c>
      <c r="T814">
        <v>6</v>
      </c>
      <c r="U814" t="s">
        <v>31</v>
      </c>
      <c r="V814" s="1">
        <v>41591</v>
      </c>
    </row>
    <row r="815" spans="1:23" x14ac:dyDescent="0.35">
      <c r="A815" t="s">
        <v>871</v>
      </c>
      <c r="B815">
        <v>22</v>
      </c>
      <c r="C815" t="s">
        <v>44</v>
      </c>
      <c r="D815" t="s">
        <v>35</v>
      </c>
      <c r="E815" t="s">
        <v>36</v>
      </c>
      <c r="F815" t="s">
        <v>30</v>
      </c>
      <c r="G815">
        <v>57324</v>
      </c>
      <c r="H815">
        <v>0</v>
      </c>
      <c r="I815">
        <v>1</v>
      </c>
      <c r="J815">
        <v>2</v>
      </c>
      <c r="K815">
        <v>4</v>
      </c>
      <c r="L815">
        <v>1</v>
      </c>
      <c r="M815">
        <v>3</v>
      </c>
      <c r="N815" t="s">
        <v>31</v>
      </c>
      <c r="O815" t="s">
        <v>47</v>
      </c>
      <c r="P815">
        <v>5</v>
      </c>
      <c r="Q815">
        <v>48</v>
      </c>
      <c r="R815">
        <v>4</v>
      </c>
      <c r="S815" t="s">
        <v>31</v>
      </c>
      <c r="T815">
        <v>3</v>
      </c>
      <c r="U815" t="s">
        <v>33</v>
      </c>
      <c r="V815" s="1">
        <v>41096</v>
      </c>
      <c r="W815" s="1">
        <v>41969</v>
      </c>
    </row>
    <row r="816" spans="1:23" x14ac:dyDescent="0.35">
      <c r="A816" t="s">
        <v>872</v>
      </c>
      <c r="B816">
        <v>33</v>
      </c>
      <c r="C816" t="s">
        <v>27</v>
      </c>
      <c r="D816" t="s">
        <v>49</v>
      </c>
      <c r="E816" t="s">
        <v>68</v>
      </c>
      <c r="F816" t="s">
        <v>61</v>
      </c>
      <c r="G816">
        <v>83031</v>
      </c>
      <c r="H816">
        <v>6</v>
      </c>
      <c r="I816">
        <v>11</v>
      </c>
      <c r="J816">
        <v>3</v>
      </c>
      <c r="K816">
        <v>4</v>
      </c>
      <c r="L816">
        <v>1</v>
      </c>
      <c r="M816">
        <v>3</v>
      </c>
      <c r="N816" t="s">
        <v>31</v>
      </c>
      <c r="O816" t="s">
        <v>32</v>
      </c>
      <c r="P816">
        <v>10</v>
      </c>
      <c r="Q816">
        <v>39</v>
      </c>
      <c r="R816">
        <v>3</v>
      </c>
      <c r="S816" t="s">
        <v>33</v>
      </c>
      <c r="T816">
        <v>2</v>
      </c>
      <c r="U816" t="s">
        <v>31</v>
      </c>
      <c r="V816" s="1">
        <v>44442</v>
      </c>
    </row>
    <row r="817" spans="1:23" x14ac:dyDescent="0.35">
      <c r="A817" t="s">
        <v>873</v>
      </c>
      <c r="B817">
        <v>32</v>
      </c>
      <c r="C817" t="s">
        <v>44</v>
      </c>
      <c r="D817" t="s">
        <v>52</v>
      </c>
      <c r="E817" t="s">
        <v>53</v>
      </c>
      <c r="F817" t="s">
        <v>37</v>
      </c>
      <c r="G817">
        <v>101366</v>
      </c>
      <c r="H817">
        <v>6</v>
      </c>
      <c r="I817">
        <v>8</v>
      </c>
      <c r="J817">
        <v>4</v>
      </c>
      <c r="K817">
        <v>2</v>
      </c>
      <c r="L817">
        <v>2</v>
      </c>
      <c r="M817">
        <v>4</v>
      </c>
      <c r="N817" t="s">
        <v>33</v>
      </c>
      <c r="O817" t="s">
        <v>42</v>
      </c>
      <c r="P817">
        <v>17</v>
      </c>
      <c r="Q817">
        <v>56</v>
      </c>
      <c r="R817">
        <v>3</v>
      </c>
      <c r="S817" t="s">
        <v>31</v>
      </c>
      <c r="T817">
        <v>3</v>
      </c>
      <c r="U817" t="s">
        <v>31</v>
      </c>
      <c r="V817" s="1">
        <v>41278</v>
      </c>
    </row>
    <row r="818" spans="1:23" x14ac:dyDescent="0.35">
      <c r="A818" t="s">
        <v>874</v>
      </c>
      <c r="B818">
        <v>35</v>
      </c>
      <c r="C818" t="s">
        <v>27</v>
      </c>
      <c r="D818" t="s">
        <v>52</v>
      </c>
      <c r="E818" t="s">
        <v>55</v>
      </c>
      <c r="F818" t="s">
        <v>37</v>
      </c>
      <c r="G818">
        <v>76702</v>
      </c>
      <c r="H818">
        <v>4</v>
      </c>
      <c r="I818">
        <v>12</v>
      </c>
      <c r="J818">
        <v>3</v>
      </c>
      <c r="K818">
        <v>2</v>
      </c>
      <c r="L818">
        <v>1</v>
      </c>
      <c r="M818">
        <v>4</v>
      </c>
      <c r="N818" t="s">
        <v>33</v>
      </c>
      <c r="O818" t="s">
        <v>32</v>
      </c>
      <c r="P818">
        <v>3</v>
      </c>
      <c r="Q818">
        <v>30</v>
      </c>
      <c r="R818">
        <v>3</v>
      </c>
      <c r="S818" t="s">
        <v>31</v>
      </c>
      <c r="T818">
        <v>5</v>
      </c>
      <c r="U818" t="s">
        <v>31</v>
      </c>
      <c r="V818" s="1">
        <v>43129</v>
      </c>
    </row>
    <row r="819" spans="1:23" x14ac:dyDescent="0.35">
      <c r="A819" t="s">
        <v>875</v>
      </c>
      <c r="B819">
        <v>25</v>
      </c>
      <c r="C819" t="s">
        <v>27</v>
      </c>
      <c r="D819" t="s">
        <v>52</v>
      </c>
      <c r="E819" t="s">
        <v>53</v>
      </c>
      <c r="F819" t="s">
        <v>30</v>
      </c>
      <c r="G819">
        <v>73166</v>
      </c>
      <c r="H819">
        <v>3</v>
      </c>
      <c r="I819">
        <v>4</v>
      </c>
      <c r="J819">
        <v>3</v>
      </c>
      <c r="K819">
        <v>4</v>
      </c>
      <c r="L819">
        <v>1</v>
      </c>
      <c r="M819">
        <v>2</v>
      </c>
      <c r="N819" t="s">
        <v>31</v>
      </c>
      <c r="O819" t="s">
        <v>32</v>
      </c>
      <c r="P819">
        <v>3</v>
      </c>
      <c r="Q819">
        <v>48</v>
      </c>
      <c r="R819">
        <v>3</v>
      </c>
      <c r="S819" t="s">
        <v>31</v>
      </c>
      <c r="T819">
        <v>5</v>
      </c>
      <c r="U819" t="s">
        <v>31</v>
      </c>
      <c r="V819" s="1">
        <v>40979</v>
      </c>
    </row>
    <row r="820" spans="1:23" x14ac:dyDescent="0.35">
      <c r="A820" t="s">
        <v>876</v>
      </c>
      <c r="B820">
        <v>33</v>
      </c>
      <c r="C820" t="s">
        <v>44</v>
      </c>
      <c r="D820" t="s">
        <v>45</v>
      </c>
      <c r="E820" t="s">
        <v>63</v>
      </c>
      <c r="F820" t="s">
        <v>56</v>
      </c>
      <c r="G820">
        <v>57402</v>
      </c>
      <c r="H820">
        <v>2</v>
      </c>
      <c r="I820">
        <v>11</v>
      </c>
      <c r="J820">
        <v>2</v>
      </c>
      <c r="K820">
        <v>2</v>
      </c>
      <c r="L820">
        <v>3</v>
      </c>
      <c r="M820">
        <v>4</v>
      </c>
      <c r="N820" t="s">
        <v>31</v>
      </c>
      <c r="O820" t="s">
        <v>32</v>
      </c>
      <c r="P820">
        <v>17</v>
      </c>
      <c r="Q820">
        <v>51</v>
      </c>
      <c r="R820">
        <v>3</v>
      </c>
      <c r="S820" t="s">
        <v>31</v>
      </c>
      <c r="T820">
        <v>3</v>
      </c>
      <c r="U820" t="s">
        <v>31</v>
      </c>
      <c r="V820" s="1">
        <v>42697</v>
      </c>
    </row>
    <row r="821" spans="1:23" x14ac:dyDescent="0.35">
      <c r="A821" t="s">
        <v>877</v>
      </c>
      <c r="B821">
        <v>51</v>
      </c>
      <c r="C821" t="s">
        <v>27</v>
      </c>
      <c r="D821" t="s">
        <v>28</v>
      </c>
      <c r="E821" t="s">
        <v>66</v>
      </c>
      <c r="F821" t="s">
        <v>61</v>
      </c>
      <c r="G821">
        <v>79904</v>
      </c>
      <c r="H821">
        <v>4</v>
      </c>
      <c r="I821">
        <v>28</v>
      </c>
      <c r="J821">
        <v>3</v>
      </c>
      <c r="K821">
        <v>2</v>
      </c>
      <c r="L821">
        <v>4</v>
      </c>
      <c r="M821">
        <v>3</v>
      </c>
      <c r="N821" t="s">
        <v>33</v>
      </c>
      <c r="O821" t="s">
        <v>47</v>
      </c>
      <c r="P821">
        <v>5</v>
      </c>
      <c r="Q821">
        <v>24</v>
      </c>
      <c r="R821">
        <v>3</v>
      </c>
      <c r="S821" t="s">
        <v>31</v>
      </c>
      <c r="T821">
        <v>5</v>
      </c>
      <c r="U821" t="s">
        <v>31</v>
      </c>
      <c r="V821" s="1">
        <v>45100</v>
      </c>
    </row>
    <row r="822" spans="1:23" x14ac:dyDescent="0.35">
      <c r="A822" t="s">
        <v>878</v>
      </c>
      <c r="B822">
        <v>36</v>
      </c>
      <c r="C822" t="s">
        <v>44</v>
      </c>
      <c r="D822" t="s">
        <v>45</v>
      </c>
      <c r="E822" t="s">
        <v>63</v>
      </c>
      <c r="F822" t="s">
        <v>37</v>
      </c>
      <c r="G822">
        <v>69821</v>
      </c>
      <c r="H822">
        <v>5</v>
      </c>
      <c r="I822">
        <v>12</v>
      </c>
      <c r="J822">
        <v>2</v>
      </c>
      <c r="K822">
        <v>2</v>
      </c>
      <c r="L822">
        <v>1</v>
      </c>
      <c r="M822">
        <v>4</v>
      </c>
      <c r="N822" t="s">
        <v>31</v>
      </c>
      <c r="O822" t="s">
        <v>32</v>
      </c>
      <c r="P822">
        <v>9</v>
      </c>
      <c r="Q822">
        <v>48</v>
      </c>
      <c r="R822">
        <v>3</v>
      </c>
      <c r="S822" t="s">
        <v>31</v>
      </c>
      <c r="T822">
        <v>4</v>
      </c>
      <c r="U822" t="s">
        <v>31</v>
      </c>
      <c r="V822" s="1">
        <v>43507</v>
      </c>
    </row>
    <row r="823" spans="1:23" x14ac:dyDescent="0.35">
      <c r="A823" t="s">
        <v>879</v>
      </c>
      <c r="B823">
        <v>31</v>
      </c>
      <c r="C823" t="s">
        <v>27</v>
      </c>
      <c r="D823" t="s">
        <v>35</v>
      </c>
      <c r="E823" t="s">
        <v>36</v>
      </c>
      <c r="F823" t="s">
        <v>30</v>
      </c>
      <c r="G823">
        <v>60504</v>
      </c>
      <c r="H823">
        <v>3</v>
      </c>
      <c r="I823">
        <v>8</v>
      </c>
      <c r="J823">
        <v>2</v>
      </c>
      <c r="K823">
        <v>3</v>
      </c>
      <c r="L823">
        <v>2</v>
      </c>
      <c r="M823">
        <v>3</v>
      </c>
      <c r="N823" t="s">
        <v>31</v>
      </c>
      <c r="O823" t="s">
        <v>42</v>
      </c>
      <c r="P823">
        <v>21</v>
      </c>
      <c r="Q823">
        <v>36</v>
      </c>
      <c r="R823">
        <v>3</v>
      </c>
      <c r="S823" t="s">
        <v>31</v>
      </c>
      <c r="T823">
        <v>3</v>
      </c>
      <c r="U823" t="s">
        <v>31</v>
      </c>
      <c r="V823" s="1">
        <v>43937</v>
      </c>
    </row>
    <row r="824" spans="1:23" x14ac:dyDescent="0.35">
      <c r="A824" t="s">
        <v>880</v>
      </c>
      <c r="B824">
        <v>54</v>
      </c>
      <c r="C824" t="s">
        <v>27</v>
      </c>
      <c r="D824" t="s">
        <v>45</v>
      </c>
      <c r="E824" t="s">
        <v>63</v>
      </c>
      <c r="F824" t="s">
        <v>56</v>
      </c>
      <c r="G824">
        <v>57513</v>
      </c>
      <c r="H824">
        <v>2</v>
      </c>
      <c r="I824">
        <v>31</v>
      </c>
      <c r="J824">
        <v>2</v>
      </c>
      <c r="K824">
        <v>3</v>
      </c>
      <c r="L824">
        <v>1</v>
      </c>
      <c r="M824">
        <v>1</v>
      </c>
      <c r="N824" t="s">
        <v>33</v>
      </c>
      <c r="O824" t="s">
        <v>32</v>
      </c>
      <c r="P824">
        <v>24</v>
      </c>
      <c r="Q824">
        <v>47</v>
      </c>
      <c r="R824">
        <v>3</v>
      </c>
      <c r="S824" t="s">
        <v>31</v>
      </c>
      <c r="T824">
        <v>5</v>
      </c>
      <c r="U824" t="s">
        <v>31</v>
      </c>
      <c r="V824" s="1">
        <v>41062</v>
      </c>
    </row>
    <row r="825" spans="1:23" x14ac:dyDescent="0.35">
      <c r="A825" t="s">
        <v>881</v>
      </c>
      <c r="B825">
        <v>32</v>
      </c>
      <c r="C825" t="s">
        <v>44</v>
      </c>
      <c r="D825" t="s">
        <v>28</v>
      </c>
      <c r="E825" t="s">
        <v>29</v>
      </c>
      <c r="F825" t="s">
        <v>37</v>
      </c>
      <c r="G825">
        <v>56429</v>
      </c>
      <c r="H825">
        <v>2</v>
      </c>
      <c r="I825">
        <v>9</v>
      </c>
      <c r="J825">
        <v>2</v>
      </c>
      <c r="K825">
        <v>2</v>
      </c>
      <c r="L825">
        <v>1</v>
      </c>
      <c r="M825">
        <v>1</v>
      </c>
      <c r="N825" t="s">
        <v>31</v>
      </c>
      <c r="O825" t="s">
        <v>32</v>
      </c>
      <c r="P825">
        <v>12</v>
      </c>
      <c r="Q825">
        <v>11</v>
      </c>
      <c r="R825">
        <v>3</v>
      </c>
      <c r="S825" t="s">
        <v>31</v>
      </c>
      <c r="T825">
        <v>4</v>
      </c>
      <c r="U825" t="s">
        <v>31</v>
      </c>
      <c r="V825" s="1">
        <v>40912</v>
      </c>
    </row>
    <row r="826" spans="1:23" x14ac:dyDescent="0.35">
      <c r="A826" t="s">
        <v>882</v>
      </c>
      <c r="B826">
        <v>48</v>
      </c>
      <c r="C826" t="s">
        <v>44</v>
      </c>
      <c r="D826" t="s">
        <v>52</v>
      </c>
      <c r="E826" t="s">
        <v>53</v>
      </c>
      <c r="F826" t="s">
        <v>56</v>
      </c>
      <c r="G826">
        <v>151714</v>
      </c>
      <c r="H826">
        <v>24</v>
      </c>
      <c r="I826">
        <v>26</v>
      </c>
      <c r="J826">
        <v>5</v>
      </c>
      <c r="K826">
        <v>1</v>
      </c>
      <c r="L826">
        <v>2</v>
      </c>
      <c r="M826">
        <v>4</v>
      </c>
      <c r="N826" t="s">
        <v>33</v>
      </c>
      <c r="O826" t="s">
        <v>32</v>
      </c>
      <c r="P826">
        <v>17</v>
      </c>
      <c r="Q826">
        <v>40</v>
      </c>
      <c r="R826">
        <v>3</v>
      </c>
      <c r="S826" t="s">
        <v>31</v>
      </c>
      <c r="T826">
        <v>6</v>
      </c>
      <c r="U826" t="s">
        <v>31</v>
      </c>
      <c r="V826" s="1">
        <v>43718</v>
      </c>
    </row>
    <row r="827" spans="1:23" x14ac:dyDescent="0.35">
      <c r="A827" t="s">
        <v>883</v>
      </c>
      <c r="B827">
        <v>39</v>
      </c>
      <c r="C827" t="s">
        <v>44</v>
      </c>
      <c r="D827" t="s">
        <v>45</v>
      </c>
      <c r="E827" t="s">
        <v>63</v>
      </c>
      <c r="F827" t="s">
        <v>37</v>
      </c>
      <c r="G827">
        <v>127826</v>
      </c>
      <c r="H827">
        <v>15</v>
      </c>
      <c r="I827">
        <v>15</v>
      </c>
      <c r="J827">
        <v>5</v>
      </c>
      <c r="K827">
        <v>2</v>
      </c>
      <c r="L827">
        <v>2</v>
      </c>
      <c r="M827">
        <v>2</v>
      </c>
      <c r="N827" t="s">
        <v>31</v>
      </c>
      <c r="O827" t="s">
        <v>32</v>
      </c>
      <c r="P827">
        <v>17</v>
      </c>
      <c r="Q827">
        <v>27</v>
      </c>
      <c r="R827">
        <v>3</v>
      </c>
      <c r="S827" t="s">
        <v>33</v>
      </c>
      <c r="T827">
        <v>5</v>
      </c>
      <c r="U827" t="s">
        <v>31</v>
      </c>
      <c r="V827" s="1">
        <v>42103</v>
      </c>
    </row>
    <row r="828" spans="1:23" x14ac:dyDescent="0.35">
      <c r="A828" t="s">
        <v>884</v>
      </c>
      <c r="B828">
        <v>28</v>
      </c>
      <c r="C828" t="s">
        <v>44</v>
      </c>
      <c r="D828" t="s">
        <v>35</v>
      </c>
      <c r="E828" t="s">
        <v>36</v>
      </c>
      <c r="F828" t="s">
        <v>78</v>
      </c>
      <c r="G828">
        <v>56906</v>
      </c>
      <c r="H828">
        <v>2</v>
      </c>
      <c r="I828">
        <v>5</v>
      </c>
      <c r="J828">
        <v>2</v>
      </c>
      <c r="K828">
        <v>3</v>
      </c>
      <c r="L828">
        <v>2</v>
      </c>
      <c r="M828">
        <v>4</v>
      </c>
      <c r="N828" t="s">
        <v>31</v>
      </c>
      <c r="O828" t="s">
        <v>32</v>
      </c>
      <c r="P828">
        <v>28</v>
      </c>
      <c r="Q828">
        <v>57</v>
      </c>
      <c r="R828">
        <v>3</v>
      </c>
      <c r="S828" t="s">
        <v>31</v>
      </c>
      <c r="T828">
        <v>3</v>
      </c>
      <c r="U828" t="s">
        <v>33</v>
      </c>
      <c r="V828" s="1">
        <v>41178</v>
      </c>
      <c r="W828" s="1">
        <v>41814</v>
      </c>
    </row>
    <row r="829" spans="1:23" x14ac:dyDescent="0.35">
      <c r="A829" t="s">
        <v>885</v>
      </c>
      <c r="B829">
        <v>57</v>
      </c>
      <c r="C829" t="s">
        <v>27</v>
      </c>
      <c r="D829" t="s">
        <v>49</v>
      </c>
      <c r="E829" t="s">
        <v>50</v>
      </c>
      <c r="F829" t="s">
        <v>61</v>
      </c>
      <c r="G829">
        <v>134641</v>
      </c>
      <c r="H829">
        <v>18</v>
      </c>
      <c r="I829">
        <v>35</v>
      </c>
      <c r="J829">
        <v>5</v>
      </c>
      <c r="K829">
        <v>2</v>
      </c>
      <c r="L829">
        <v>2</v>
      </c>
      <c r="M829">
        <v>4</v>
      </c>
      <c r="N829" t="s">
        <v>31</v>
      </c>
      <c r="O829" t="s">
        <v>32</v>
      </c>
      <c r="P829">
        <v>15</v>
      </c>
      <c r="Q829">
        <v>57</v>
      </c>
      <c r="R829">
        <v>3</v>
      </c>
      <c r="S829" t="s">
        <v>33</v>
      </c>
      <c r="T829">
        <v>6</v>
      </c>
      <c r="U829" t="s">
        <v>33</v>
      </c>
      <c r="V829" s="1">
        <v>42992</v>
      </c>
      <c r="W829" s="1">
        <v>43333</v>
      </c>
    </row>
    <row r="830" spans="1:23" x14ac:dyDescent="0.35">
      <c r="A830" t="s">
        <v>886</v>
      </c>
      <c r="B830">
        <v>44</v>
      </c>
      <c r="C830" t="s">
        <v>44</v>
      </c>
      <c r="D830" t="s">
        <v>28</v>
      </c>
      <c r="E830" t="s">
        <v>66</v>
      </c>
      <c r="F830" t="s">
        <v>78</v>
      </c>
      <c r="G830">
        <v>142517</v>
      </c>
      <c r="H830">
        <v>21</v>
      </c>
      <c r="I830">
        <v>23</v>
      </c>
      <c r="J830">
        <v>5</v>
      </c>
      <c r="K830">
        <v>1</v>
      </c>
      <c r="L830">
        <v>4</v>
      </c>
      <c r="M830">
        <v>2</v>
      </c>
      <c r="N830" t="s">
        <v>31</v>
      </c>
      <c r="O830" t="s">
        <v>32</v>
      </c>
      <c r="P830">
        <v>12</v>
      </c>
      <c r="Q830">
        <v>38</v>
      </c>
      <c r="R830">
        <v>3</v>
      </c>
      <c r="S830" t="s">
        <v>31</v>
      </c>
      <c r="T830">
        <v>4</v>
      </c>
      <c r="U830" t="s">
        <v>31</v>
      </c>
      <c r="V830" s="1">
        <v>43774</v>
      </c>
    </row>
    <row r="831" spans="1:23" x14ac:dyDescent="0.35">
      <c r="A831" t="s">
        <v>887</v>
      </c>
      <c r="B831">
        <v>23</v>
      </c>
      <c r="C831" t="s">
        <v>44</v>
      </c>
      <c r="D831" t="s">
        <v>28</v>
      </c>
      <c r="E831" t="s">
        <v>29</v>
      </c>
      <c r="F831" t="s">
        <v>41</v>
      </c>
      <c r="G831">
        <v>44208</v>
      </c>
      <c r="H831">
        <v>1</v>
      </c>
      <c r="I831">
        <v>1</v>
      </c>
      <c r="J831">
        <v>1</v>
      </c>
      <c r="K831">
        <v>3</v>
      </c>
      <c r="L831">
        <v>2</v>
      </c>
      <c r="M831">
        <v>4</v>
      </c>
      <c r="N831" t="s">
        <v>31</v>
      </c>
      <c r="O831" t="s">
        <v>42</v>
      </c>
      <c r="P831">
        <v>13</v>
      </c>
      <c r="Q831">
        <v>47</v>
      </c>
      <c r="R831">
        <v>2</v>
      </c>
      <c r="S831" t="s">
        <v>31</v>
      </c>
      <c r="T831">
        <v>4</v>
      </c>
      <c r="U831" t="s">
        <v>31</v>
      </c>
      <c r="V831" s="1">
        <v>41070</v>
      </c>
    </row>
    <row r="832" spans="1:23" x14ac:dyDescent="0.35">
      <c r="A832" t="s">
        <v>888</v>
      </c>
      <c r="B832">
        <v>37</v>
      </c>
      <c r="C832" t="s">
        <v>27</v>
      </c>
      <c r="D832" t="s">
        <v>49</v>
      </c>
      <c r="E832" t="s">
        <v>50</v>
      </c>
      <c r="F832" t="s">
        <v>56</v>
      </c>
      <c r="G832">
        <v>96708</v>
      </c>
      <c r="H832">
        <v>7</v>
      </c>
      <c r="I832">
        <v>13</v>
      </c>
      <c r="J832">
        <v>4</v>
      </c>
      <c r="K832">
        <v>1</v>
      </c>
      <c r="L832">
        <v>2</v>
      </c>
      <c r="M832">
        <v>3</v>
      </c>
      <c r="N832" t="s">
        <v>31</v>
      </c>
      <c r="O832" t="s">
        <v>42</v>
      </c>
      <c r="P832">
        <v>10</v>
      </c>
      <c r="Q832">
        <v>10</v>
      </c>
      <c r="R832">
        <v>3</v>
      </c>
      <c r="S832" t="s">
        <v>31</v>
      </c>
      <c r="T832">
        <v>3</v>
      </c>
      <c r="U832" t="s">
        <v>33</v>
      </c>
      <c r="V832" s="1">
        <v>43963</v>
      </c>
      <c r="W832" s="1">
        <v>44313</v>
      </c>
    </row>
    <row r="833" spans="1:23" x14ac:dyDescent="0.35">
      <c r="A833" t="s">
        <v>889</v>
      </c>
      <c r="B833">
        <v>40</v>
      </c>
      <c r="C833" t="s">
        <v>44</v>
      </c>
      <c r="D833" t="s">
        <v>52</v>
      </c>
      <c r="E833" t="s">
        <v>55</v>
      </c>
      <c r="F833" t="s">
        <v>41</v>
      </c>
      <c r="G833">
        <v>108166</v>
      </c>
      <c r="H833">
        <v>10</v>
      </c>
      <c r="I833">
        <v>19</v>
      </c>
      <c r="J833">
        <v>4</v>
      </c>
      <c r="K833">
        <v>1</v>
      </c>
      <c r="L833">
        <v>3</v>
      </c>
      <c r="M833">
        <v>2</v>
      </c>
      <c r="N833" t="s">
        <v>31</v>
      </c>
      <c r="O833" t="s">
        <v>32</v>
      </c>
      <c r="P833">
        <v>29</v>
      </c>
      <c r="Q833">
        <v>18</v>
      </c>
      <c r="R833">
        <v>3</v>
      </c>
      <c r="S833" t="s">
        <v>31</v>
      </c>
      <c r="T833">
        <v>5</v>
      </c>
      <c r="U833" t="s">
        <v>31</v>
      </c>
      <c r="V833" s="1">
        <v>44467</v>
      </c>
    </row>
    <row r="834" spans="1:23" x14ac:dyDescent="0.35">
      <c r="A834" t="s">
        <v>890</v>
      </c>
      <c r="B834">
        <v>31</v>
      </c>
      <c r="C834" t="s">
        <v>27</v>
      </c>
      <c r="D834" t="s">
        <v>52</v>
      </c>
      <c r="E834" t="s">
        <v>55</v>
      </c>
      <c r="F834" t="s">
        <v>61</v>
      </c>
      <c r="G834">
        <v>41634</v>
      </c>
      <c r="H834">
        <v>1</v>
      </c>
      <c r="I834">
        <v>9</v>
      </c>
      <c r="J834">
        <v>1</v>
      </c>
      <c r="K834">
        <v>1</v>
      </c>
      <c r="L834">
        <v>1</v>
      </c>
      <c r="M834">
        <v>4</v>
      </c>
      <c r="N834" t="s">
        <v>31</v>
      </c>
      <c r="O834" t="s">
        <v>47</v>
      </c>
      <c r="P834">
        <v>28</v>
      </c>
      <c r="Q834">
        <v>57</v>
      </c>
      <c r="R834">
        <v>3</v>
      </c>
      <c r="S834" t="s">
        <v>31</v>
      </c>
      <c r="T834">
        <v>7</v>
      </c>
      <c r="U834" t="s">
        <v>31</v>
      </c>
      <c r="V834" s="1">
        <v>41437</v>
      </c>
    </row>
    <row r="835" spans="1:23" x14ac:dyDescent="0.35">
      <c r="A835" t="s">
        <v>891</v>
      </c>
      <c r="B835">
        <v>53</v>
      </c>
      <c r="C835" t="s">
        <v>44</v>
      </c>
      <c r="D835" t="s">
        <v>35</v>
      </c>
      <c r="E835" t="s">
        <v>85</v>
      </c>
      <c r="F835" t="s">
        <v>78</v>
      </c>
      <c r="G835">
        <v>155221</v>
      </c>
      <c r="H835">
        <v>27</v>
      </c>
      <c r="I835">
        <v>29</v>
      </c>
      <c r="J835">
        <v>5</v>
      </c>
      <c r="K835">
        <v>2</v>
      </c>
      <c r="L835">
        <v>4</v>
      </c>
      <c r="M835">
        <v>4</v>
      </c>
      <c r="N835" t="s">
        <v>31</v>
      </c>
      <c r="O835" t="s">
        <v>32</v>
      </c>
      <c r="P835">
        <v>20</v>
      </c>
      <c r="Q835">
        <v>24</v>
      </c>
      <c r="R835">
        <v>2</v>
      </c>
      <c r="S835" t="s">
        <v>31</v>
      </c>
      <c r="T835">
        <v>4</v>
      </c>
      <c r="U835" t="s">
        <v>31</v>
      </c>
      <c r="V835" s="1">
        <v>43779</v>
      </c>
    </row>
    <row r="836" spans="1:23" x14ac:dyDescent="0.35">
      <c r="A836" t="s">
        <v>892</v>
      </c>
      <c r="B836">
        <v>49</v>
      </c>
      <c r="C836" t="s">
        <v>44</v>
      </c>
      <c r="D836" t="s">
        <v>52</v>
      </c>
      <c r="E836" t="s">
        <v>53</v>
      </c>
      <c r="F836" t="s">
        <v>30</v>
      </c>
      <c r="G836">
        <v>154531</v>
      </c>
      <c r="H836">
        <v>25</v>
      </c>
      <c r="I836">
        <v>26</v>
      </c>
      <c r="J836">
        <v>5</v>
      </c>
      <c r="K836">
        <v>4</v>
      </c>
      <c r="L836">
        <v>1</v>
      </c>
      <c r="M836">
        <v>2</v>
      </c>
      <c r="N836" t="s">
        <v>31</v>
      </c>
      <c r="O836" t="s">
        <v>32</v>
      </c>
      <c r="P836">
        <v>16</v>
      </c>
      <c r="Q836">
        <v>39</v>
      </c>
      <c r="R836">
        <v>3</v>
      </c>
      <c r="S836" t="s">
        <v>33</v>
      </c>
      <c r="T836">
        <v>3</v>
      </c>
      <c r="U836" t="s">
        <v>31</v>
      </c>
      <c r="V836" s="1">
        <v>44285</v>
      </c>
    </row>
    <row r="837" spans="1:23" x14ac:dyDescent="0.35">
      <c r="A837" t="s">
        <v>893</v>
      </c>
      <c r="B837">
        <v>46</v>
      </c>
      <c r="C837" t="s">
        <v>44</v>
      </c>
      <c r="D837" t="s">
        <v>45</v>
      </c>
      <c r="E837" t="s">
        <v>46</v>
      </c>
      <c r="F837" t="s">
        <v>61</v>
      </c>
      <c r="G837">
        <v>39938</v>
      </c>
      <c r="H837">
        <v>0</v>
      </c>
      <c r="I837">
        <v>23</v>
      </c>
      <c r="J837">
        <v>1</v>
      </c>
      <c r="K837">
        <v>3</v>
      </c>
      <c r="L837">
        <v>2</v>
      </c>
      <c r="M837">
        <v>2</v>
      </c>
      <c r="N837" t="s">
        <v>31</v>
      </c>
      <c r="O837" t="s">
        <v>32</v>
      </c>
      <c r="P837">
        <v>2</v>
      </c>
      <c r="Q837">
        <v>27</v>
      </c>
      <c r="R837">
        <v>3</v>
      </c>
      <c r="S837" t="s">
        <v>31</v>
      </c>
      <c r="T837">
        <v>6</v>
      </c>
      <c r="U837" t="s">
        <v>33</v>
      </c>
      <c r="V837" s="1">
        <v>41979</v>
      </c>
      <c r="W837" s="1">
        <v>42285</v>
      </c>
    </row>
    <row r="838" spans="1:23" x14ac:dyDescent="0.35">
      <c r="A838" t="s">
        <v>894</v>
      </c>
      <c r="B838">
        <v>23</v>
      </c>
      <c r="C838" t="s">
        <v>27</v>
      </c>
      <c r="D838" t="s">
        <v>52</v>
      </c>
      <c r="E838" t="s">
        <v>55</v>
      </c>
      <c r="F838" t="s">
        <v>61</v>
      </c>
      <c r="G838">
        <v>59264</v>
      </c>
      <c r="H838">
        <v>0</v>
      </c>
      <c r="I838">
        <v>1</v>
      </c>
      <c r="J838">
        <v>2</v>
      </c>
      <c r="K838">
        <v>3</v>
      </c>
      <c r="L838">
        <v>3</v>
      </c>
      <c r="M838">
        <v>4</v>
      </c>
      <c r="N838" t="s">
        <v>31</v>
      </c>
      <c r="O838" t="s">
        <v>32</v>
      </c>
      <c r="P838">
        <v>17</v>
      </c>
      <c r="Q838">
        <v>12</v>
      </c>
      <c r="R838">
        <v>4</v>
      </c>
      <c r="S838" t="s">
        <v>31</v>
      </c>
      <c r="T838">
        <v>8</v>
      </c>
      <c r="U838" t="s">
        <v>31</v>
      </c>
      <c r="V838" s="1">
        <v>42167</v>
      </c>
    </row>
    <row r="839" spans="1:23" x14ac:dyDescent="0.35">
      <c r="A839" t="s">
        <v>895</v>
      </c>
      <c r="B839">
        <v>29</v>
      </c>
      <c r="C839" t="s">
        <v>27</v>
      </c>
      <c r="D839" t="s">
        <v>35</v>
      </c>
      <c r="E839" t="s">
        <v>36</v>
      </c>
      <c r="F839" t="s">
        <v>56</v>
      </c>
      <c r="G839">
        <v>84502</v>
      </c>
      <c r="H839">
        <v>7</v>
      </c>
      <c r="I839">
        <v>8</v>
      </c>
      <c r="J839">
        <v>3</v>
      </c>
      <c r="K839">
        <v>1</v>
      </c>
      <c r="L839">
        <v>2</v>
      </c>
      <c r="M839">
        <v>2</v>
      </c>
      <c r="N839" t="s">
        <v>31</v>
      </c>
      <c r="O839" t="s">
        <v>32</v>
      </c>
      <c r="P839">
        <v>29</v>
      </c>
      <c r="Q839">
        <v>30</v>
      </c>
      <c r="R839">
        <v>3</v>
      </c>
      <c r="S839" t="s">
        <v>33</v>
      </c>
      <c r="T839">
        <v>3</v>
      </c>
      <c r="U839" t="s">
        <v>31</v>
      </c>
      <c r="V839" s="1">
        <v>44966</v>
      </c>
    </row>
    <row r="840" spans="1:23" x14ac:dyDescent="0.35">
      <c r="A840" t="s">
        <v>896</v>
      </c>
      <c r="B840">
        <v>32</v>
      </c>
      <c r="C840" t="s">
        <v>27</v>
      </c>
      <c r="D840" t="s">
        <v>28</v>
      </c>
      <c r="E840" t="s">
        <v>66</v>
      </c>
      <c r="F840" t="s">
        <v>37</v>
      </c>
      <c r="G840">
        <v>63882</v>
      </c>
      <c r="H840">
        <v>2</v>
      </c>
      <c r="I840">
        <v>10</v>
      </c>
      <c r="J840">
        <v>2</v>
      </c>
      <c r="K840">
        <v>2</v>
      </c>
      <c r="L840">
        <v>3</v>
      </c>
      <c r="M840">
        <v>3</v>
      </c>
      <c r="N840" t="s">
        <v>31</v>
      </c>
      <c r="O840" t="s">
        <v>32</v>
      </c>
      <c r="P840">
        <v>8</v>
      </c>
      <c r="Q840">
        <v>35</v>
      </c>
      <c r="R840">
        <v>3</v>
      </c>
      <c r="S840" t="s">
        <v>31</v>
      </c>
      <c r="T840">
        <v>4</v>
      </c>
      <c r="U840" t="s">
        <v>31</v>
      </c>
      <c r="V840" s="1">
        <v>41923</v>
      </c>
    </row>
    <row r="841" spans="1:23" x14ac:dyDescent="0.35">
      <c r="A841" t="s">
        <v>897</v>
      </c>
      <c r="B841">
        <v>55</v>
      </c>
      <c r="C841" t="s">
        <v>27</v>
      </c>
      <c r="D841" t="s">
        <v>35</v>
      </c>
      <c r="E841" t="s">
        <v>85</v>
      </c>
      <c r="F841" t="s">
        <v>30</v>
      </c>
      <c r="G841">
        <v>46585</v>
      </c>
      <c r="H841">
        <v>1</v>
      </c>
      <c r="I841">
        <v>32</v>
      </c>
      <c r="J841">
        <v>1</v>
      </c>
      <c r="K841">
        <v>3</v>
      </c>
      <c r="L841">
        <v>1</v>
      </c>
      <c r="M841">
        <v>3</v>
      </c>
      <c r="N841" t="s">
        <v>31</v>
      </c>
      <c r="O841" t="s">
        <v>47</v>
      </c>
      <c r="P841">
        <v>10</v>
      </c>
      <c r="Q841">
        <v>34</v>
      </c>
      <c r="R841">
        <v>4</v>
      </c>
      <c r="S841" t="s">
        <v>31</v>
      </c>
      <c r="T841">
        <v>12</v>
      </c>
      <c r="U841" t="s">
        <v>31</v>
      </c>
      <c r="V841" s="1">
        <v>45187</v>
      </c>
    </row>
    <row r="842" spans="1:23" x14ac:dyDescent="0.35">
      <c r="A842" t="s">
        <v>898</v>
      </c>
      <c r="B842">
        <v>26</v>
      </c>
      <c r="C842" t="s">
        <v>44</v>
      </c>
      <c r="D842" t="s">
        <v>49</v>
      </c>
      <c r="E842" t="s">
        <v>50</v>
      </c>
      <c r="F842" t="s">
        <v>30</v>
      </c>
      <c r="G842">
        <v>61739</v>
      </c>
      <c r="H842">
        <v>1</v>
      </c>
      <c r="I842">
        <v>3</v>
      </c>
      <c r="J842">
        <v>2</v>
      </c>
      <c r="K842">
        <v>4</v>
      </c>
      <c r="L842">
        <v>4</v>
      </c>
      <c r="M842">
        <v>2</v>
      </c>
      <c r="N842" t="s">
        <v>31</v>
      </c>
      <c r="O842" t="s">
        <v>47</v>
      </c>
      <c r="P842">
        <v>3</v>
      </c>
      <c r="Q842">
        <v>15</v>
      </c>
      <c r="R842">
        <v>3</v>
      </c>
      <c r="S842" t="s">
        <v>31</v>
      </c>
      <c r="T842">
        <v>6</v>
      </c>
      <c r="U842" t="s">
        <v>31</v>
      </c>
      <c r="V842" s="1">
        <v>42268</v>
      </c>
    </row>
    <row r="843" spans="1:23" x14ac:dyDescent="0.35">
      <c r="A843" t="s">
        <v>899</v>
      </c>
      <c r="B843">
        <v>55</v>
      </c>
      <c r="C843" t="s">
        <v>44</v>
      </c>
      <c r="D843" t="s">
        <v>45</v>
      </c>
      <c r="E843" t="s">
        <v>46</v>
      </c>
      <c r="F843" t="s">
        <v>41</v>
      </c>
      <c r="G843">
        <v>152766</v>
      </c>
      <c r="H843">
        <v>25</v>
      </c>
      <c r="I843">
        <v>33</v>
      </c>
      <c r="J843">
        <v>5</v>
      </c>
      <c r="K843">
        <v>1</v>
      </c>
      <c r="L843">
        <v>2</v>
      </c>
      <c r="M843">
        <v>3</v>
      </c>
      <c r="N843" t="s">
        <v>33</v>
      </c>
      <c r="O843" t="s">
        <v>32</v>
      </c>
      <c r="P843">
        <v>18</v>
      </c>
      <c r="Q843">
        <v>48</v>
      </c>
      <c r="R843">
        <v>4</v>
      </c>
      <c r="S843" t="s">
        <v>31</v>
      </c>
      <c r="T843">
        <v>5</v>
      </c>
      <c r="U843" t="s">
        <v>31</v>
      </c>
      <c r="V843" s="1">
        <v>44542</v>
      </c>
    </row>
    <row r="844" spans="1:23" x14ac:dyDescent="0.35">
      <c r="A844" t="s">
        <v>900</v>
      </c>
      <c r="B844">
        <v>27</v>
      </c>
      <c r="C844" t="s">
        <v>44</v>
      </c>
      <c r="D844" t="s">
        <v>45</v>
      </c>
      <c r="E844" t="s">
        <v>46</v>
      </c>
      <c r="F844" t="s">
        <v>41</v>
      </c>
      <c r="G844">
        <v>65497</v>
      </c>
      <c r="H844">
        <v>3</v>
      </c>
      <c r="I844">
        <v>3</v>
      </c>
      <c r="J844">
        <v>2</v>
      </c>
      <c r="K844">
        <v>1</v>
      </c>
      <c r="L844">
        <v>2</v>
      </c>
      <c r="M844">
        <v>1</v>
      </c>
      <c r="N844" t="s">
        <v>31</v>
      </c>
      <c r="O844" t="s">
        <v>32</v>
      </c>
      <c r="P844">
        <v>25</v>
      </c>
      <c r="Q844">
        <v>42</v>
      </c>
      <c r="R844">
        <v>3</v>
      </c>
      <c r="S844" t="s">
        <v>31</v>
      </c>
      <c r="T844">
        <v>10</v>
      </c>
      <c r="U844" t="s">
        <v>31</v>
      </c>
      <c r="V844" s="1">
        <v>43821</v>
      </c>
    </row>
    <row r="845" spans="1:23" x14ac:dyDescent="0.35">
      <c r="A845" t="s">
        <v>901</v>
      </c>
      <c r="B845">
        <v>29</v>
      </c>
      <c r="C845" t="s">
        <v>44</v>
      </c>
      <c r="D845" t="s">
        <v>28</v>
      </c>
      <c r="E845" t="s">
        <v>66</v>
      </c>
      <c r="F845" t="s">
        <v>78</v>
      </c>
      <c r="G845">
        <v>103814</v>
      </c>
      <c r="H845">
        <v>7</v>
      </c>
      <c r="I845">
        <v>8</v>
      </c>
      <c r="J845">
        <v>4</v>
      </c>
      <c r="K845">
        <v>4</v>
      </c>
      <c r="L845">
        <v>2</v>
      </c>
      <c r="M845">
        <v>1</v>
      </c>
      <c r="N845" t="s">
        <v>31</v>
      </c>
      <c r="O845" t="s">
        <v>32</v>
      </c>
      <c r="P845">
        <v>22</v>
      </c>
      <c r="Q845">
        <v>27</v>
      </c>
      <c r="R845">
        <v>3</v>
      </c>
      <c r="S845" t="s">
        <v>31</v>
      </c>
      <c r="T845">
        <v>6</v>
      </c>
      <c r="U845" t="s">
        <v>31</v>
      </c>
      <c r="V845" s="1">
        <v>41529</v>
      </c>
    </row>
    <row r="846" spans="1:23" x14ac:dyDescent="0.35">
      <c r="A846" t="s">
        <v>902</v>
      </c>
      <c r="B846">
        <v>54</v>
      </c>
      <c r="C846" t="s">
        <v>27</v>
      </c>
      <c r="D846" t="s">
        <v>45</v>
      </c>
      <c r="E846" t="s">
        <v>46</v>
      </c>
      <c r="F846" t="s">
        <v>41</v>
      </c>
      <c r="G846">
        <v>102173</v>
      </c>
      <c r="H846">
        <v>7</v>
      </c>
      <c r="I846">
        <v>32</v>
      </c>
      <c r="J846">
        <v>4</v>
      </c>
      <c r="K846">
        <v>2</v>
      </c>
      <c r="L846">
        <v>4</v>
      </c>
      <c r="M846">
        <v>1</v>
      </c>
      <c r="N846" t="s">
        <v>31</v>
      </c>
      <c r="O846" t="s">
        <v>32</v>
      </c>
      <c r="P846">
        <v>13</v>
      </c>
      <c r="Q846">
        <v>34</v>
      </c>
      <c r="R846">
        <v>3</v>
      </c>
      <c r="S846" t="s">
        <v>33</v>
      </c>
      <c r="T846">
        <v>3</v>
      </c>
      <c r="U846" t="s">
        <v>31</v>
      </c>
      <c r="V846" s="1">
        <v>44039</v>
      </c>
    </row>
    <row r="847" spans="1:23" x14ac:dyDescent="0.35">
      <c r="A847" t="s">
        <v>903</v>
      </c>
      <c r="B847">
        <v>52</v>
      </c>
      <c r="C847" t="s">
        <v>44</v>
      </c>
      <c r="D847" t="s">
        <v>35</v>
      </c>
      <c r="E847" t="s">
        <v>36</v>
      </c>
      <c r="F847" t="s">
        <v>56</v>
      </c>
      <c r="G847">
        <v>140153</v>
      </c>
      <c r="H847">
        <v>19</v>
      </c>
      <c r="I847">
        <v>30</v>
      </c>
      <c r="J847">
        <v>5</v>
      </c>
      <c r="K847">
        <v>3</v>
      </c>
      <c r="L847">
        <v>4</v>
      </c>
      <c r="M847">
        <v>3</v>
      </c>
      <c r="N847" t="s">
        <v>31</v>
      </c>
      <c r="O847" t="s">
        <v>32</v>
      </c>
      <c r="P847">
        <v>20</v>
      </c>
      <c r="Q847">
        <v>21</v>
      </c>
      <c r="R847">
        <v>3</v>
      </c>
      <c r="S847" t="s">
        <v>31</v>
      </c>
      <c r="T847">
        <v>7</v>
      </c>
      <c r="U847" t="s">
        <v>31</v>
      </c>
      <c r="V847" s="1">
        <v>40985</v>
      </c>
    </row>
    <row r="848" spans="1:23" x14ac:dyDescent="0.35">
      <c r="A848" t="s">
        <v>904</v>
      </c>
      <c r="B848">
        <v>24</v>
      </c>
      <c r="C848" t="s">
        <v>44</v>
      </c>
      <c r="D848" t="s">
        <v>49</v>
      </c>
      <c r="E848" t="s">
        <v>68</v>
      </c>
      <c r="F848" t="s">
        <v>37</v>
      </c>
      <c r="G848">
        <v>57670</v>
      </c>
      <c r="H848">
        <v>1</v>
      </c>
      <c r="I848">
        <v>3</v>
      </c>
      <c r="J848">
        <v>2</v>
      </c>
      <c r="K848">
        <v>4</v>
      </c>
      <c r="L848">
        <v>2</v>
      </c>
      <c r="M848">
        <v>1</v>
      </c>
      <c r="N848" t="s">
        <v>31</v>
      </c>
      <c r="O848" t="s">
        <v>32</v>
      </c>
      <c r="P848">
        <v>17</v>
      </c>
      <c r="Q848">
        <v>54</v>
      </c>
      <c r="R848">
        <v>3</v>
      </c>
      <c r="S848" t="s">
        <v>31</v>
      </c>
      <c r="T848">
        <v>6</v>
      </c>
      <c r="U848" t="s">
        <v>31</v>
      </c>
      <c r="V848" s="1">
        <v>41376</v>
      </c>
    </row>
    <row r="849" spans="1:23" x14ac:dyDescent="0.35">
      <c r="A849" t="s">
        <v>905</v>
      </c>
      <c r="B849">
        <v>45</v>
      </c>
      <c r="C849" t="s">
        <v>27</v>
      </c>
      <c r="D849" t="s">
        <v>49</v>
      </c>
      <c r="E849" t="s">
        <v>50</v>
      </c>
      <c r="F849" t="s">
        <v>37</v>
      </c>
      <c r="G849">
        <v>115574</v>
      </c>
      <c r="H849">
        <v>9</v>
      </c>
      <c r="I849">
        <v>21</v>
      </c>
      <c r="J849">
        <v>5</v>
      </c>
      <c r="K849">
        <v>2</v>
      </c>
      <c r="L849">
        <v>3</v>
      </c>
      <c r="M849">
        <v>3</v>
      </c>
      <c r="N849" t="s">
        <v>33</v>
      </c>
      <c r="O849" t="s">
        <v>32</v>
      </c>
      <c r="P849">
        <v>6</v>
      </c>
      <c r="Q849">
        <v>10</v>
      </c>
      <c r="R849">
        <v>3</v>
      </c>
      <c r="S849" t="s">
        <v>31</v>
      </c>
      <c r="T849">
        <v>7</v>
      </c>
      <c r="U849" t="s">
        <v>31</v>
      </c>
      <c r="V849" s="1">
        <v>41915</v>
      </c>
    </row>
    <row r="850" spans="1:23" x14ac:dyDescent="0.35">
      <c r="A850" t="s">
        <v>906</v>
      </c>
      <c r="B850">
        <v>58</v>
      </c>
      <c r="C850" t="s">
        <v>44</v>
      </c>
      <c r="D850" t="s">
        <v>45</v>
      </c>
      <c r="E850" t="s">
        <v>63</v>
      </c>
      <c r="F850" t="s">
        <v>61</v>
      </c>
      <c r="G850">
        <v>143389</v>
      </c>
      <c r="H850">
        <v>20</v>
      </c>
      <c r="I850">
        <v>36</v>
      </c>
      <c r="J850">
        <v>5</v>
      </c>
      <c r="K850">
        <v>3</v>
      </c>
      <c r="L850">
        <v>2</v>
      </c>
      <c r="M850">
        <v>3</v>
      </c>
      <c r="N850" t="s">
        <v>31</v>
      </c>
      <c r="O850" t="s">
        <v>47</v>
      </c>
      <c r="P850">
        <v>28</v>
      </c>
      <c r="Q850">
        <v>25</v>
      </c>
      <c r="R850">
        <v>2</v>
      </c>
      <c r="S850" t="s">
        <v>31</v>
      </c>
      <c r="T850">
        <v>2</v>
      </c>
      <c r="U850" t="s">
        <v>33</v>
      </c>
      <c r="V850" s="1">
        <v>40927</v>
      </c>
      <c r="W850" s="1">
        <v>41313</v>
      </c>
    </row>
    <row r="851" spans="1:23" x14ac:dyDescent="0.35">
      <c r="A851" t="s">
        <v>907</v>
      </c>
      <c r="B851">
        <v>41</v>
      </c>
      <c r="C851" t="s">
        <v>44</v>
      </c>
      <c r="D851" t="s">
        <v>39</v>
      </c>
      <c r="E851" t="s">
        <v>40</v>
      </c>
      <c r="F851" t="s">
        <v>37</v>
      </c>
      <c r="G851">
        <v>121794</v>
      </c>
      <c r="H851">
        <v>12</v>
      </c>
      <c r="I851">
        <v>17</v>
      </c>
      <c r="J851">
        <v>5</v>
      </c>
      <c r="K851">
        <v>3</v>
      </c>
      <c r="L851">
        <v>4</v>
      </c>
      <c r="M851">
        <v>3</v>
      </c>
      <c r="N851" t="s">
        <v>33</v>
      </c>
      <c r="O851" t="s">
        <v>32</v>
      </c>
      <c r="P851">
        <v>10</v>
      </c>
      <c r="Q851">
        <v>28</v>
      </c>
      <c r="R851">
        <v>3</v>
      </c>
      <c r="S851" t="s">
        <v>33</v>
      </c>
      <c r="T851">
        <v>4</v>
      </c>
      <c r="U851" t="s">
        <v>31</v>
      </c>
      <c r="V851" s="1">
        <v>44135</v>
      </c>
    </row>
    <row r="852" spans="1:23" x14ac:dyDescent="0.35">
      <c r="A852" t="s">
        <v>908</v>
      </c>
      <c r="B852">
        <v>31</v>
      </c>
      <c r="C852" t="s">
        <v>27</v>
      </c>
      <c r="D852" t="s">
        <v>45</v>
      </c>
      <c r="E852" t="s">
        <v>63</v>
      </c>
      <c r="F852" t="s">
        <v>78</v>
      </c>
      <c r="G852">
        <v>79306</v>
      </c>
      <c r="H852">
        <v>4</v>
      </c>
      <c r="I852">
        <v>7</v>
      </c>
      <c r="J852">
        <v>3</v>
      </c>
      <c r="K852">
        <v>3</v>
      </c>
      <c r="L852">
        <v>1</v>
      </c>
      <c r="M852">
        <v>3</v>
      </c>
      <c r="N852" t="s">
        <v>31</v>
      </c>
      <c r="O852" t="s">
        <v>47</v>
      </c>
      <c r="P852">
        <v>26</v>
      </c>
      <c r="Q852">
        <v>15</v>
      </c>
      <c r="R852">
        <v>3</v>
      </c>
      <c r="S852" t="s">
        <v>31</v>
      </c>
      <c r="T852">
        <v>3</v>
      </c>
      <c r="U852" t="s">
        <v>31</v>
      </c>
      <c r="V852" s="1">
        <v>41854</v>
      </c>
    </row>
    <row r="853" spans="1:23" x14ac:dyDescent="0.35">
      <c r="A853" t="s">
        <v>909</v>
      </c>
      <c r="B853">
        <v>45</v>
      </c>
      <c r="C853" t="s">
        <v>27</v>
      </c>
      <c r="D853" t="s">
        <v>35</v>
      </c>
      <c r="E853" t="s">
        <v>36</v>
      </c>
      <c r="F853" t="s">
        <v>41</v>
      </c>
      <c r="G853">
        <v>79158</v>
      </c>
      <c r="H853">
        <v>4</v>
      </c>
      <c r="I853">
        <v>22</v>
      </c>
      <c r="J853">
        <v>3</v>
      </c>
      <c r="K853">
        <v>1</v>
      </c>
      <c r="L853">
        <v>4</v>
      </c>
      <c r="M853">
        <v>2</v>
      </c>
      <c r="N853" t="s">
        <v>33</v>
      </c>
      <c r="O853" t="s">
        <v>42</v>
      </c>
      <c r="P853">
        <v>18</v>
      </c>
      <c r="Q853">
        <v>59</v>
      </c>
      <c r="R853">
        <v>3</v>
      </c>
      <c r="S853" t="s">
        <v>31</v>
      </c>
      <c r="T853">
        <v>5</v>
      </c>
      <c r="U853" t="s">
        <v>31</v>
      </c>
      <c r="V853" s="1">
        <v>43948</v>
      </c>
    </row>
    <row r="854" spans="1:23" x14ac:dyDescent="0.35">
      <c r="A854" t="s">
        <v>910</v>
      </c>
      <c r="B854">
        <v>22</v>
      </c>
      <c r="C854" t="s">
        <v>44</v>
      </c>
      <c r="D854" t="s">
        <v>35</v>
      </c>
      <c r="E854" t="s">
        <v>85</v>
      </c>
      <c r="F854" t="s">
        <v>37</v>
      </c>
      <c r="G854">
        <v>57017</v>
      </c>
      <c r="H854">
        <v>0</v>
      </c>
      <c r="I854">
        <v>1</v>
      </c>
      <c r="J854">
        <v>2</v>
      </c>
      <c r="K854">
        <v>3</v>
      </c>
      <c r="L854">
        <v>4</v>
      </c>
      <c r="M854">
        <v>2</v>
      </c>
      <c r="N854" t="s">
        <v>31</v>
      </c>
      <c r="O854" t="s">
        <v>32</v>
      </c>
      <c r="P854">
        <v>17</v>
      </c>
      <c r="Q854">
        <v>47</v>
      </c>
      <c r="R854">
        <v>3</v>
      </c>
      <c r="S854" t="s">
        <v>31</v>
      </c>
      <c r="T854">
        <v>7</v>
      </c>
      <c r="U854" t="s">
        <v>31</v>
      </c>
      <c r="V854" s="1">
        <v>45111</v>
      </c>
    </row>
    <row r="855" spans="1:23" x14ac:dyDescent="0.35">
      <c r="A855" t="s">
        <v>911</v>
      </c>
      <c r="B855">
        <v>38</v>
      </c>
      <c r="C855" t="s">
        <v>44</v>
      </c>
      <c r="D855" t="s">
        <v>49</v>
      </c>
      <c r="E855" t="s">
        <v>68</v>
      </c>
      <c r="F855" t="s">
        <v>37</v>
      </c>
      <c r="G855">
        <v>60673</v>
      </c>
      <c r="H855">
        <v>3</v>
      </c>
      <c r="I855">
        <v>17</v>
      </c>
      <c r="J855">
        <v>2</v>
      </c>
      <c r="K855">
        <v>2</v>
      </c>
      <c r="L855">
        <v>1</v>
      </c>
      <c r="M855">
        <v>2</v>
      </c>
      <c r="N855" t="s">
        <v>31</v>
      </c>
      <c r="O855" t="s">
        <v>32</v>
      </c>
      <c r="P855">
        <v>10</v>
      </c>
      <c r="Q855">
        <v>44</v>
      </c>
      <c r="R855">
        <v>3</v>
      </c>
      <c r="S855" t="s">
        <v>31</v>
      </c>
      <c r="T855">
        <v>1</v>
      </c>
      <c r="U855" t="s">
        <v>31</v>
      </c>
      <c r="V855" s="1">
        <v>43855</v>
      </c>
    </row>
    <row r="856" spans="1:23" x14ac:dyDescent="0.35">
      <c r="A856" t="s">
        <v>912</v>
      </c>
      <c r="B856">
        <v>46</v>
      </c>
      <c r="C856" t="s">
        <v>44</v>
      </c>
      <c r="D856" t="s">
        <v>39</v>
      </c>
      <c r="E856" t="s">
        <v>59</v>
      </c>
      <c r="F856" t="s">
        <v>56</v>
      </c>
      <c r="G856">
        <v>100785</v>
      </c>
      <c r="H856">
        <v>6</v>
      </c>
      <c r="I856">
        <v>24</v>
      </c>
      <c r="J856">
        <v>4</v>
      </c>
      <c r="K856">
        <v>4</v>
      </c>
      <c r="L856">
        <v>3</v>
      </c>
      <c r="M856">
        <v>1</v>
      </c>
      <c r="N856" t="s">
        <v>31</v>
      </c>
      <c r="O856" t="s">
        <v>42</v>
      </c>
      <c r="P856">
        <v>18</v>
      </c>
      <c r="Q856">
        <v>10</v>
      </c>
      <c r="R856">
        <v>2</v>
      </c>
      <c r="S856" t="s">
        <v>33</v>
      </c>
      <c r="T856">
        <v>6</v>
      </c>
      <c r="U856" t="s">
        <v>33</v>
      </c>
      <c r="V856" s="1">
        <v>43420</v>
      </c>
      <c r="W856" s="1">
        <v>43623</v>
      </c>
    </row>
    <row r="857" spans="1:23" x14ac:dyDescent="0.35">
      <c r="A857" t="s">
        <v>913</v>
      </c>
      <c r="B857">
        <v>24</v>
      </c>
      <c r="C857" t="s">
        <v>44</v>
      </c>
      <c r="D857" t="s">
        <v>35</v>
      </c>
      <c r="E857" t="s">
        <v>85</v>
      </c>
      <c r="F857" t="s">
        <v>30</v>
      </c>
      <c r="G857">
        <v>56655</v>
      </c>
      <c r="H857">
        <v>0</v>
      </c>
      <c r="I857">
        <v>1</v>
      </c>
      <c r="J857">
        <v>2</v>
      </c>
      <c r="K857">
        <v>3</v>
      </c>
      <c r="L857">
        <v>4</v>
      </c>
      <c r="M857">
        <v>3</v>
      </c>
      <c r="N857" t="s">
        <v>31</v>
      </c>
      <c r="O857" t="s">
        <v>42</v>
      </c>
      <c r="P857">
        <v>6</v>
      </c>
      <c r="Q857">
        <v>21</v>
      </c>
      <c r="R857">
        <v>4</v>
      </c>
      <c r="S857" t="s">
        <v>31</v>
      </c>
      <c r="T857">
        <v>4</v>
      </c>
      <c r="U857" t="s">
        <v>31</v>
      </c>
      <c r="V857" s="1">
        <v>43828</v>
      </c>
    </row>
    <row r="858" spans="1:23" x14ac:dyDescent="0.35">
      <c r="A858" t="s">
        <v>914</v>
      </c>
      <c r="B858">
        <v>51</v>
      </c>
      <c r="C858" t="s">
        <v>27</v>
      </c>
      <c r="D858" t="s">
        <v>45</v>
      </c>
      <c r="E858" t="s">
        <v>63</v>
      </c>
      <c r="F858" t="s">
        <v>30</v>
      </c>
      <c r="G858">
        <v>134379</v>
      </c>
      <c r="H858">
        <v>17</v>
      </c>
      <c r="I858">
        <v>29</v>
      </c>
      <c r="J858">
        <v>5</v>
      </c>
      <c r="K858">
        <v>1</v>
      </c>
      <c r="L858">
        <v>4</v>
      </c>
      <c r="M858">
        <v>3</v>
      </c>
      <c r="N858" t="s">
        <v>33</v>
      </c>
      <c r="O858" t="s">
        <v>42</v>
      </c>
      <c r="P858">
        <v>13</v>
      </c>
      <c r="Q858">
        <v>58</v>
      </c>
      <c r="R858">
        <v>3</v>
      </c>
      <c r="S858" t="s">
        <v>31</v>
      </c>
      <c r="T858">
        <v>2</v>
      </c>
      <c r="U858" t="s">
        <v>31</v>
      </c>
      <c r="V858" s="1">
        <v>42026</v>
      </c>
    </row>
    <row r="859" spans="1:23" x14ac:dyDescent="0.35">
      <c r="A859" t="s">
        <v>915</v>
      </c>
      <c r="B859">
        <v>56</v>
      </c>
      <c r="C859" t="s">
        <v>44</v>
      </c>
      <c r="D859" t="s">
        <v>39</v>
      </c>
      <c r="E859" t="s">
        <v>40</v>
      </c>
      <c r="F859" t="s">
        <v>56</v>
      </c>
      <c r="G859">
        <v>83500</v>
      </c>
      <c r="H859">
        <v>5</v>
      </c>
      <c r="I859">
        <v>35</v>
      </c>
      <c r="J859">
        <v>3</v>
      </c>
      <c r="K859">
        <v>3</v>
      </c>
      <c r="L859">
        <v>2</v>
      </c>
      <c r="M859">
        <v>4</v>
      </c>
      <c r="N859" t="s">
        <v>31</v>
      </c>
      <c r="O859" t="s">
        <v>32</v>
      </c>
      <c r="P859">
        <v>23</v>
      </c>
      <c r="Q859">
        <v>34</v>
      </c>
      <c r="R859">
        <v>3</v>
      </c>
      <c r="S859" t="s">
        <v>31</v>
      </c>
      <c r="T859">
        <v>3</v>
      </c>
      <c r="U859" t="s">
        <v>31</v>
      </c>
      <c r="V859" s="1">
        <v>44049</v>
      </c>
    </row>
    <row r="860" spans="1:23" x14ac:dyDescent="0.35">
      <c r="A860" t="s">
        <v>916</v>
      </c>
      <c r="B860">
        <v>55</v>
      </c>
      <c r="C860" t="s">
        <v>27</v>
      </c>
      <c r="D860" t="s">
        <v>45</v>
      </c>
      <c r="E860" t="s">
        <v>46</v>
      </c>
      <c r="F860" t="s">
        <v>61</v>
      </c>
      <c r="G860">
        <v>118111</v>
      </c>
      <c r="H860">
        <v>10</v>
      </c>
      <c r="I860">
        <v>31</v>
      </c>
      <c r="J860">
        <v>5</v>
      </c>
      <c r="K860">
        <v>2</v>
      </c>
      <c r="L860">
        <v>4</v>
      </c>
      <c r="M860">
        <v>4</v>
      </c>
      <c r="N860" t="s">
        <v>31</v>
      </c>
      <c r="O860" t="s">
        <v>32</v>
      </c>
      <c r="P860">
        <v>6</v>
      </c>
      <c r="Q860">
        <v>39</v>
      </c>
      <c r="R860">
        <v>3</v>
      </c>
      <c r="S860" t="s">
        <v>31</v>
      </c>
      <c r="T860">
        <v>2</v>
      </c>
      <c r="U860" t="s">
        <v>31</v>
      </c>
      <c r="V860" s="1">
        <v>41745</v>
      </c>
    </row>
    <row r="861" spans="1:23" x14ac:dyDescent="0.35">
      <c r="A861" t="s">
        <v>917</v>
      </c>
      <c r="B861">
        <v>33</v>
      </c>
      <c r="C861" t="s">
        <v>44</v>
      </c>
      <c r="D861" t="s">
        <v>35</v>
      </c>
      <c r="E861" t="s">
        <v>85</v>
      </c>
      <c r="F861" t="s">
        <v>41</v>
      </c>
      <c r="G861">
        <v>42397</v>
      </c>
      <c r="H861">
        <v>2</v>
      </c>
      <c r="I861">
        <v>12</v>
      </c>
      <c r="J861">
        <v>1</v>
      </c>
      <c r="K861">
        <v>3</v>
      </c>
      <c r="L861">
        <v>2</v>
      </c>
      <c r="M861">
        <v>2</v>
      </c>
      <c r="N861" t="s">
        <v>31</v>
      </c>
      <c r="O861" t="s">
        <v>32</v>
      </c>
      <c r="P861">
        <v>3</v>
      </c>
      <c r="Q861">
        <v>26</v>
      </c>
      <c r="R861">
        <v>3</v>
      </c>
      <c r="S861" t="s">
        <v>31</v>
      </c>
      <c r="T861">
        <v>5</v>
      </c>
      <c r="U861" t="s">
        <v>31</v>
      </c>
      <c r="V861" s="1">
        <v>43437</v>
      </c>
    </row>
    <row r="862" spans="1:23" x14ac:dyDescent="0.35">
      <c r="A862" t="s">
        <v>918</v>
      </c>
      <c r="B862">
        <v>51</v>
      </c>
      <c r="C862" t="s">
        <v>27</v>
      </c>
      <c r="D862" t="s">
        <v>35</v>
      </c>
      <c r="E862" t="s">
        <v>36</v>
      </c>
      <c r="F862" t="s">
        <v>37</v>
      </c>
      <c r="G862">
        <v>46728</v>
      </c>
      <c r="H862">
        <v>1</v>
      </c>
      <c r="I862">
        <v>27</v>
      </c>
      <c r="J862">
        <v>1</v>
      </c>
      <c r="K862">
        <v>4</v>
      </c>
      <c r="L862">
        <v>2</v>
      </c>
      <c r="M862">
        <v>1</v>
      </c>
      <c r="N862" t="s">
        <v>33</v>
      </c>
      <c r="O862" t="s">
        <v>32</v>
      </c>
      <c r="P862">
        <v>26</v>
      </c>
      <c r="Q862">
        <v>13</v>
      </c>
      <c r="R862">
        <v>3</v>
      </c>
      <c r="S862" t="s">
        <v>31</v>
      </c>
      <c r="T862">
        <v>6</v>
      </c>
      <c r="U862" t="s">
        <v>31</v>
      </c>
      <c r="V862" s="1">
        <v>42530</v>
      </c>
    </row>
    <row r="863" spans="1:23" x14ac:dyDescent="0.35">
      <c r="A863" t="s">
        <v>919</v>
      </c>
      <c r="B863">
        <v>27</v>
      </c>
      <c r="C863" t="s">
        <v>44</v>
      </c>
      <c r="D863" t="s">
        <v>39</v>
      </c>
      <c r="E863" t="s">
        <v>40</v>
      </c>
      <c r="F863" t="s">
        <v>78</v>
      </c>
      <c r="G863">
        <v>60459</v>
      </c>
      <c r="H863">
        <v>2</v>
      </c>
      <c r="I863">
        <v>6</v>
      </c>
      <c r="J863">
        <v>2</v>
      </c>
      <c r="K863">
        <v>2</v>
      </c>
      <c r="L863">
        <v>3</v>
      </c>
      <c r="M863">
        <v>4</v>
      </c>
      <c r="N863" t="s">
        <v>31</v>
      </c>
      <c r="O863" t="s">
        <v>32</v>
      </c>
      <c r="P863">
        <v>2</v>
      </c>
      <c r="Q863">
        <v>30</v>
      </c>
      <c r="R863">
        <v>3</v>
      </c>
      <c r="S863" t="s">
        <v>31</v>
      </c>
      <c r="T863">
        <v>3</v>
      </c>
      <c r="U863" t="s">
        <v>31</v>
      </c>
      <c r="V863" s="1">
        <v>42292</v>
      </c>
    </row>
    <row r="864" spans="1:23" x14ac:dyDescent="0.35">
      <c r="A864" t="s">
        <v>920</v>
      </c>
      <c r="B864">
        <v>45</v>
      </c>
      <c r="C864" t="s">
        <v>27</v>
      </c>
      <c r="D864" t="s">
        <v>52</v>
      </c>
      <c r="E864" t="s">
        <v>53</v>
      </c>
      <c r="F864" t="s">
        <v>56</v>
      </c>
      <c r="G864">
        <v>138521</v>
      </c>
      <c r="H864">
        <v>17</v>
      </c>
      <c r="I864">
        <v>22</v>
      </c>
      <c r="J864">
        <v>5</v>
      </c>
      <c r="K864">
        <v>4</v>
      </c>
      <c r="L864">
        <v>3</v>
      </c>
      <c r="M864">
        <v>4</v>
      </c>
      <c r="N864" t="s">
        <v>33</v>
      </c>
      <c r="O864" t="s">
        <v>32</v>
      </c>
      <c r="P864">
        <v>25</v>
      </c>
      <c r="Q864">
        <v>37</v>
      </c>
      <c r="R864">
        <v>3</v>
      </c>
      <c r="S864" t="s">
        <v>31</v>
      </c>
      <c r="T864">
        <v>5</v>
      </c>
      <c r="U864" t="s">
        <v>31</v>
      </c>
      <c r="V864" s="1">
        <v>41347</v>
      </c>
    </row>
    <row r="865" spans="1:23" x14ac:dyDescent="0.35">
      <c r="A865" t="s">
        <v>921</v>
      </c>
      <c r="B865">
        <v>53</v>
      </c>
      <c r="C865" t="s">
        <v>44</v>
      </c>
      <c r="D865" t="s">
        <v>52</v>
      </c>
      <c r="E865" t="s">
        <v>55</v>
      </c>
      <c r="F865" t="s">
        <v>30</v>
      </c>
      <c r="G865">
        <v>136234</v>
      </c>
      <c r="H865">
        <v>17</v>
      </c>
      <c r="I865">
        <v>29</v>
      </c>
      <c r="J865">
        <v>5</v>
      </c>
      <c r="K865">
        <v>4</v>
      </c>
      <c r="L865">
        <v>1</v>
      </c>
      <c r="M865">
        <v>2</v>
      </c>
      <c r="N865" t="s">
        <v>33</v>
      </c>
      <c r="O865" t="s">
        <v>32</v>
      </c>
      <c r="P865">
        <v>12</v>
      </c>
      <c r="Q865">
        <v>14</v>
      </c>
      <c r="R865">
        <v>2</v>
      </c>
      <c r="S865" t="s">
        <v>31</v>
      </c>
      <c r="T865">
        <v>4</v>
      </c>
      <c r="U865" t="s">
        <v>31</v>
      </c>
      <c r="V865" s="1">
        <v>41812</v>
      </c>
    </row>
    <row r="866" spans="1:23" x14ac:dyDescent="0.35">
      <c r="A866" t="s">
        <v>922</v>
      </c>
      <c r="B866">
        <v>53</v>
      </c>
      <c r="C866" t="s">
        <v>44</v>
      </c>
      <c r="D866" t="s">
        <v>45</v>
      </c>
      <c r="E866" t="s">
        <v>46</v>
      </c>
      <c r="F866" t="s">
        <v>61</v>
      </c>
      <c r="G866">
        <v>144675</v>
      </c>
      <c r="H866">
        <v>23</v>
      </c>
      <c r="I866">
        <v>29</v>
      </c>
      <c r="J866">
        <v>5</v>
      </c>
      <c r="K866">
        <v>1</v>
      </c>
      <c r="L866">
        <v>3</v>
      </c>
      <c r="M866">
        <v>4</v>
      </c>
      <c r="N866" t="s">
        <v>31</v>
      </c>
      <c r="O866" t="s">
        <v>32</v>
      </c>
      <c r="P866">
        <v>23</v>
      </c>
      <c r="Q866">
        <v>31</v>
      </c>
      <c r="R866">
        <v>3</v>
      </c>
      <c r="S866" t="s">
        <v>31</v>
      </c>
      <c r="T866">
        <v>1</v>
      </c>
      <c r="U866" t="s">
        <v>31</v>
      </c>
      <c r="V866" s="1">
        <v>44971</v>
      </c>
    </row>
    <row r="867" spans="1:23" x14ac:dyDescent="0.35">
      <c r="A867" t="s">
        <v>923</v>
      </c>
      <c r="B867">
        <v>29</v>
      </c>
      <c r="C867" t="s">
        <v>27</v>
      </c>
      <c r="D867" t="s">
        <v>28</v>
      </c>
      <c r="E867" t="s">
        <v>29</v>
      </c>
      <c r="F867" t="s">
        <v>78</v>
      </c>
      <c r="G867">
        <v>45860</v>
      </c>
      <c r="H867">
        <v>2</v>
      </c>
      <c r="I867">
        <v>8</v>
      </c>
      <c r="J867">
        <v>1</v>
      </c>
      <c r="K867">
        <v>4</v>
      </c>
      <c r="L867">
        <v>1</v>
      </c>
      <c r="M867">
        <v>4</v>
      </c>
      <c r="N867" t="s">
        <v>31</v>
      </c>
      <c r="O867" t="s">
        <v>32</v>
      </c>
      <c r="P867">
        <v>21</v>
      </c>
      <c r="Q867">
        <v>47</v>
      </c>
      <c r="R867">
        <v>2</v>
      </c>
      <c r="S867" t="s">
        <v>31</v>
      </c>
      <c r="T867">
        <v>4</v>
      </c>
      <c r="U867" t="s">
        <v>33</v>
      </c>
      <c r="V867" s="1">
        <v>42629</v>
      </c>
      <c r="W867" s="1">
        <v>43531</v>
      </c>
    </row>
    <row r="868" spans="1:23" x14ac:dyDescent="0.35">
      <c r="A868" t="s">
        <v>924</v>
      </c>
      <c r="B868">
        <v>29</v>
      </c>
      <c r="C868" t="s">
        <v>27</v>
      </c>
      <c r="D868" t="s">
        <v>39</v>
      </c>
      <c r="E868" t="s">
        <v>74</v>
      </c>
      <c r="F868" t="s">
        <v>56</v>
      </c>
      <c r="G868">
        <v>64021</v>
      </c>
      <c r="H868">
        <v>4</v>
      </c>
      <c r="I868">
        <v>5</v>
      </c>
      <c r="J868">
        <v>2</v>
      </c>
      <c r="K868">
        <v>3</v>
      </c>
      <c r="L868">
        <v>3</v>
      </c>
      <c r="M868">
        <v>1</v>
      </c>
      <c r="N868" t="s">
        <v>31</v>
      </c>
      <c r="O868" t="s">
        <v>32</v>
      </c>
      <c r="P868">
        <v>9</v>
      </c>
      <c r="Q868">
        <v>12</v>
      </c>
      <c r="R868">
        <v>4</v>
      </c>
      <c r="S868" t="s">
        <v>31</v>
      </c>
      <c r="T868">
        <v>4</v>
      </c>
      <c r="U868" t="s">
        <v>31</v>
      </c>
      <c r="V868" s="1">
        <v>44116</v>
      </c>
    </row>
    <row r="869" spans="1:23" x14ac:dyDescent="0.35">
      <c r="A869" t="s">
        <v>925</v>
      </c>
      <c r="B869">
        <v>44</v>
      </c>
      <c r="C869" t="s">
        <v>27</v>
      </c>
      <c r="D869" t="s">
        <v>52</v>
      </c>
      <c r="E869" t="s">
        <v>53</v>
      </c>
      <c r="F869" t="s">
        <v>56</v>
      </c>
      <c r="G869">
        <v>58678</v>
      </c>
      <c r="H869">
        <v>0</v>
      </c>
      <c r="I869">
        <v>21</v>
      </c>
      <c r="J869">
        <v>2</v>
      </c>
      <c r="K869">
        <v>3</v>
      </c>
      <c r="L869">
        <v>3</v>
      </c>
      <c r="M869">
        <v>2</v>
      </c>
      <c r="N869" t="s">
        <v>31</v>
      </c>
      <c r="O869" t="s">
        <v>42</v>
      </c>
      <c r="P869">
        <v>14</v>
      </c>
      <c r="Q869">
        <v>16</v>
      </c>
      <c r="R869">
        <v>3</v>
      </c>
      <c r="S869" t="s">
        <v>31</v>
      </c>
      <c r="T869">
        <v>5</v>
      </c>
      <c r="U869" t="s">
        <v>33</v>
      </c>
      <c r="V869" s="1">
        <v>42473</v>
      </c>
      <c r="W869" s="1">
        <v>42844</v>
      </c>
    </row>
    <row r="870" spans="1:23" x14ac:dyDescent="0.35">
      <c r="A870" t="s">
        <v>926</v>
      </c>
      <c r="B870">
        <v>26</v>
      </c>
      <c r="C870" t="s">
        <v>27</v>
      </c>
      <c r="D870" t="s">
        <v>45</v>
      </c>
      <c r="E870" t="s">
        <v>46</v>
      </c>
      <c r="F870" t="s">
        <v>30</v>
      </c>
      <c r="G870">
        <v>66284</v>
      </c>
      <c r="H870">
        <v>4</v>
      </c>
      <c r="I870">
        <v>4</v>
      </c>
      <c r="J870">
        <v>2</v>
      </c>
      <c r="K870">
        <v>3</v>
      </c>
      <c r="L870">
        <v>1</v>
      </c>
      <c r="M870">
        <v>1</v>
      </c>
      <c r="N870" t="s">
        <v>31</v>
      </c>
      <c r="O870" t="s">
        <v>32</v>
      </c>
      <c r="P870">
        <v>20</v>
      </c>
      <c r="Q870">
        <v>43</v>
      </c>
      <c r="R870">
        <v>3</v>
      </c>
      <c r="S870" t="s">
        <v>31</v>
      </c>
      <c r="T870">
        <v>9</v>
      </c>
      <c r="U870" t="s">
        <v>31</v>
      </c>
      <c r="V870" s="1">
        <v>41652</v>
      </c>
    </row>
    <row r="871" spans="1:23" x14ac:dyDescent="0.35">
      <c r="A871" t="s">
        <v>927</v>
      </c>
      <c r="B871">
        <v>44</v>
      </c>
      <c r="C871" t="s">
        <v>44</v>
      </c>
      <c r="D871" t="s">
        <v>49</v>
      </c>
      <c r="E871" t="s">
        <v>50</v>
      </c>
      <c r="F871" t="s">
        <v>61</v>
      </c>
      <c r="G871">
        <v>129412</v>
      </c>
      <c r="H871">
        <v>15</v>
      </c>
      <c r="I871">
        <v>23</v>
      </c>
      <c r="J871">
        <v>5</v>
      </c>
      <c r="K871">
        <v>4</v>
      </c>
      <c r="L871">
        <v>4</v>
      </c>
      <c r="M871">
        <v>2</v>
      </c>
      <c r="N871" t="s">
        <v>31</v>
      </c>
      <c r="O871" t="s">
        <v>42</v>
      </c>
      <c r="P871">
        <v>17</v>
      </c>
      <c r="Q871">
        <v>14</v>
      </c>
      <c r="R871">
        <v>4</v>
      </c>
      <c r="S871" t="s">
        <v>31</v>
      </c>
      <c r="T871">
        <v>5</v>
      </c>
      <c r="U871" t="s">
        <v>33</v>
      </c>
      <c r="V871" s="1">
        <v>44928</v>
      </c>
      <c r="W871" s="1">
        <v>45294</v>
      </c>
    </row>
    <row r="872" spans="1:23" x14ac:dyDescent="0.35">
      <c r="A872" t="s">
        <v>928</v>
      </c>
      <c r="B872">
        <v>47</v>
      </c>
      <c r="C872" t="s">
        <v>27</v>
      </c>
      <c r="D872" t="s">
        <v>45</v>
      </c>
      <c r="E872" t="s">
        <v>46</v>
      </c>
      <c r="F872" t="s">
        <v>41</v>
      </c>
      <c r="G872">
        <v>133121</v>
      </c>
      <c r="H872">
        <v>15</v>
      </c>
      <c r="I872">
        <v>26</v>
      </c>
      <c r="J872">
        <v>5</v>
      </c>
      <c r="K872">
        <v>1</v>
      </c>
      <c r="L872">
        <v>2</v>
      </c>
      <c r="M872">
        <v>4</v>
      </c>
      <c r="N872" t="s">
        <v>33</v>
      </c>
      <c r="O872" t="s">
        <v>42</v>
      </c>
      <c r="P872">
        <v>28</v>
      </c>
      <c r="Q872">
        <v>18</v>
      </c>
      <c r="R872">
        <v>3</v>
      </c>
      <c r="S872" t="s">
        <v>33</v>
      </c>
      <c r="T872">
        <v>5</v>
      </c>
      <c r="U872" t="s">
        <v>31</v>
      </c>
      <c r="V872" s="1">
        <v>43614</v>
      </c>
    </row>
    <row r="873" spans="1:23" x14ac:dyDescent="0.35">
      <c r="A873" t="s">
        <v>929</v>
      </c>
      <c r="B873">
        <v>35</v>
      </c>
      <c r="C873" t="s">
        <v>27</v>
      </c>
      <c r="D873" t="s">
        <v>39</v>
      </c>
      <c r="E873" t="s">
        <v>74</v>
      </c>
      <c r="F873" t="s">
        <v>56</v>
      </c>
      <c r="G873">
        <v>102242</v>
      </c>
      <c r="H873">
        <v>7</v>
      </c>
      <c r="I873">
        <v>12</v>
      </c>
      <c r="J873">
        <v>4</v>
      </c>
      <c r="K873">
        <v>2</v>
      </c>
      <c r="L873">
        <v>1</v>
      </c>
      <c r="M873">
        <v>4</v>
      </c>
      <c r="N873" t="s">
        <v>31</v>
      </c>
      <c r="O873" t="s">
        <v>32</v>
      </c>
      <c r="P873">
        <v>20</v>
      </c>
      <c r="Q873">
        <v>16</v>
      </c>
      <c r="R873">
        <v>3</v>
      </c>
      <c r="S873" t="s">
        <v>31</v>
      </c>
      <c r="T873">
        <v>5</v>
      </c>
      <c r="U873" t="s">
        <v>31</v>
      </c>
      <c r="V873" s="1">
        <v>43344</v>
      </c>
    </row>
    <row r="874" spans="1:23" x14ac:dyDescent="0.35">
      <c r="A874" t="s">
        <v>930</v>
      </c>
      <c r="B874">
        <v>49</v>
      </c>
      <c r="C874" t="s">
        <v>27</v>
      </c>
      <c r="D874" t="s">
        <v>28</v>
      </c>
      <c r="E874" t="s">
        <v>66</v>
      </c>
      <c r="F874" t="s">
        <v>41</v>
      </c>
      <c r="G874">
        <v>154074</v>
      </c>
      <c r="H874">
        <v>25</v>
      </c>
      <c r="I874">
        <v>27</v>
      </c>
      <c r="J874">
        <v>5</v>
      </c>
      <c r="K874">
        <v>1</v>
      </c>
      <c r="L874">
        <v>4</v>
      </c>
      <c r="M874">
        <v>1</v>
      </c>
      <c r="N874" t="s">
        <v>31</v>
      </c>
      <c r="O874" t="s">
        <v>32</v>
      </c>
      <c r="P874">
        <v>25</v>
      </c>
      <c r="Q874">
        <v>42</v>
      </c>
      <c r="R874">
        <v>2</v>
      </c>
      <c r="S874" t="s">
        <v>31</v>
      </c>
      <c r="T874">
        <v>3</v>
      </c>
      <c r="U874" t="s">
        <v>31</v>
      </c>
      <c r="V874" s="1">
        <v>44025</v>
      </c>
    </row>
    <row r="875" spans="1:23" x14ac:dyDescent="0.35">
      <c r="A875" t="s">
        <v>931</v>
      </c>
      <c r="B875">
        <v>31</v>
      </c>
      <c r="C875" t="s">
        <v>44</v>
      </c>
      <c r="D875" t="s">
        <v>49</v>
      </c>
      <c r="E875" t="s">
        <v>50</v>
      </c>
      <c r="F875" t="s">
        <v>56</v>
      </c>
      <c r="G875">
        <v>116839</v>
      </c>
      <c r="H875">
        <v>9</v>
      </c>
      <c r="I875">
        <v>9</v>
      </c>
      <c r="J875">
        <v>5</v>
      </c>
      <c r="K875">
        <v>2</v>
      </c>
      <c r="L875">
        <v>4</v>
      </c>
      <c r="M875">
        <v>1</v>
      </c>
      <c r="N875" t="s">
        <v>31</v>
      </c>
      <c r="O875" t="s">
        <v>47</v>
      </c>
      <c r="P875">
        <v>7</v>
      </c>
      <c r="Q875">
        <v>20</v>
      </c>
      <c r="R875">
        <v>3</v>
      </c>
      <c r="S875" t="s">
        <v>31</v>
      </c>
      <c r="T875">
        <v>9</v>
      </c>
      <c r="U875" t="s">
        <v>31</v>
      </c>
      <c r="V875" s="1">
        <v>43678</v>
      </c>
    </row>
    <row r="876" spans="1:23" x14ac:dyDescent="0.35">
      <c r="A876" t="s">
        <v>932</v>
      </c>
      <c r="B876">
        <v>40</v>
      </c>
      <c r="C876" t="s">
        <v>27</v>
      </c>
      <c r="D876" t="s">
        <v>49</v>
      </c>
      <c r="E876" t="s">
        <v>50</v>
      </c>
      <c r="F876" t="s">
        <v>56</v>
      </c>
      <c r="G876">
        <v>56091</v>
      </c>
      <c r="H876">
        <v>1</v>
      </c>
      <c r="I876">
        <v>19</v>
      </c>
      <c r="J876">
        <v>2</v>
      </c>
      <c r="K876">
        <v>1</v>
      </c>
      <c r="L876">
        <v>3</v>
      </c>
      <c r="M876">
        <v>4</v>
      </c>
      <c r="N876" t="s">
        <v>31</v>
      </c>
      <c r="O876" t="s">
        <v>47</v>
      </c>
      <c r="P876">
        <v>21</v>
      </c>
      <c r="Q876">
        <v>16</v>
      </c>
      <c r="R876">
        <v>3</v>
      </c>
      <c r="S876" t="s">
        <v>31</v>
      </c>
      <c r="T876">
        <v>5</v>
      </c>
      <c r="U876" t="s">
        <v>33</v>
      </c>
      <c r="V876" s="1">
        <v>41174</v>
      </c>
      <c r="W876" s="1">
        <v>42076</v>
      </c>
    </row>
    <row r="877" spans="1:23" x14ac:dyDescent="0.35">
      <c r="A877" t="s">
        <v>933</v>
      </c>
      <c r="B877">
        <v>56</v>
      </c>
      <c r="C877" t="s">
        <v>27</v>
      </c>
      <c r="D877" t="s">
        <v>35</v>
      </c>
      <c r="E877" t="s">
        <v>36</v>
      </c>
      <c r="F877" t="s">
        <v>30</v>
      </c>
      <c r="G877">
        <v>148764</v>
      </c>
      <c r="H877">
        <v>24</v>
      </c>
      <c r="I877">
        <v>33</v>
      </c>
      <c r="J877">
        <v>5</v>
      </c>
      <c r="K877">
        <v>4</v>
      </c>
      <c r="L877">
        <v>1</v>
      </c>
      <c r="M877">
        <v>1</v>
      </c>
      <c r="N877" t="s">
        <v>31</v>
      </c>
      <c r="O877" t="s">
        <v>32</v>
      </c>
      <c r="P877">
        <v>10</v>
      </c>
      <c r="Q877">
        <v>54</v>
      </c>
      <c r="R877">
        <v>3</v>
      </c>
      <c r="S877" t="s">
        <v>33</v>
      </c>
      <c r="T877">
        <v>8</v>
      </c>
      <c r="U877" t="s">
        <v>31</v>
      </c>
      <c r="V877" s="1">
        <v>41406</v>
      </c>
    </row>
    <row r="878" spans="1:23" x14ac:dyDescent="0.35">
      <c r="A878" t="s">
        <v>934</v>
      </c>
      <c r="B878">
        <v>53</v>
      </c>
      <c r="C878" t="s">
        <v>44</v>
      </c>
      <c r="D878" t="s">
        <v>52</v>
      </c>
      <c r="E878" t="s">
        <v>55</v>
      </c>
      <c r="F878" t="s">
        <v>41</v>
      </c>
      <c r="G878">
        <v>134031</v>
      </c>
      <c r="H878">
        <v>16</v>
      </c>
      <c r="I878">
        <v>30</v>
      </c>
      <c r="J878">
        <v>5</v>
      </c>
      <c r="K878">
        <v>4</v>
      </c>
      <c r="L878">
        <v>1</v>
      </c>
      <c r="M878">
        <v>2</v>
      </c>
      <c r="N878" t="s">
        <v>33</v>
      </c>
      <c r="O878" t="s">
        <v>42</v>
      </c>
      <c r="P878">
        <v>6</v>
      </c>
      <c r="Q878">
        <v>29</v>
      </c>
      <c r="R878">
        <v>2</v>
      </c>
      <c r="S878" t="s">
        <v>31</v>
      </c>
      <c r="T878">
        <v>6</v>
      </c>
      <c r="U878" t="s">
        <v>31</v>
      </c>
      <c r="V878" s="1">
        <v>41665</v>
      </c>
    </row>
    <row r="879" spans="1:23" x14ac:dyDescent="0.35">
      <c r="A879" t="s">
        <v>935</v>
      </c>
      <c r="B879">
        <v>52</v>
      </c>
      <c r="C879" t="s">
        <v>27</v>
      </c>
      <c r="D879" t="s">
        <v>49</v>
      </c>
      <c r="E879" t="s">
        <v>68</v>
      </c>
      <c r="F879" t="s">
        <v>56</v>
      </c>
      <c r="G879">
        <v>43069</v>
      </c>
      <c r="H879">
        <v>0</v>
      </c>
      <c r="I879">
        <v>31</v>
      </c>
      <c r="J879">
        <v>1</v>
      </c>
      <c r="K879">
        <v>2</v>
      </c>
      <c r="L879">
        <v>3</v>
      </c>
      <c r="M879">
        <v>3</v>
      </c>
      <c r="N879" t="s">
        <v>31</v>
      </c>
      <c r="O879" t="s">
        <v>32</v>
      </c>
      <c r="P879">
        <v>14</v>
      </c>
      <c r="Q879">
        <v>13</v>
      </c>
      <c r="R879">
        <v>3</v>
      </c>
      <c r="S879" t="s">
        <v>31</v>
      </c>
      <c r="T879">
        <v>4</v>
      </c>
      <c r="U879" t="s">
        <v>31</v>
      </c>
      <c r="V879" s="1">
        <v>44040</v>
      </c>
    </row>
    <row r="880" spans="1:23" x14ac:dyDescent="0.35">
      <c r="A880" t="s">
        <v>936</v>
      </c>
      <c r="B880">
        <v>31</v>
      </c>
      <c r="C880" t="s">
        <v>27</v>
      </c>
      <c r="D880" t="s">
        <v>28</v>
      </c>
      <c r="E880" t="s">
        <v>29</v>
      </c>
      <c r="F880" t="s">
        <v>78</v>
      </c>
      <c r="G880">
        <v>78877</v>
      </c>
      <c r="H880">
        <v>4</v>
      </c>
      <c r="I880">
        <v>8</v>
      </c>
      <c r="J880">
        <v>3</v>
      </c>
      <c r="K880">
        <v>4</v>
      </c>
      <c r="L880">
        <v>1</v>
      </c>
      <c r="M880">
        <v>1</v>
      </c>
      <c r="N880" t="s">
        <v>33</v>
      </c>
      <c r="O880" t="s">
        <v>32</v>
      </c>
      <c r="P880">
        <v>1</v>
      </c>
      <c r="Q880">
        <v>12</v>
      </c>
      <c r="R880">
        <v>3</v>
      </c>
      <c r="S880" t="s">
        <v>31</v>
      </c>
      <c r="T880">
        <v>9</v>
      </c>
      <c r="U880" t="s">
        <v>31</v>
      </c>
      <c r="V880" s="1">
        <v>41749</v>
      </c>
    </row>
    <row r="881" spans="1:23" x14ac:dyDescent="0.35">
      <c r="A881" t="s">
        <v>937</v>
      </c>
      <c r="B881">
        <v>49</v>
      </c>
      <c r="C881" t="s">
        <v>44</v>
      </c>
      <c r="D881" t="s">
        <v>45</v>
      </c>
      <c r="E881" t="s">
        <v>63</v>
      </c>
      <c r="F881" t="s">
        <v>61</v>
      </c>
      <c r="G881">
        <v>131843</v>
      </c>
      <c r="H881">
        <v>15</v>
      </c>
      <c r="I881">
        <v>25</v>
      </c>
      <c r="J881">
        <v>5</v>
      </c>
      <c r="K881">
        <v>4</v>
      </c>
      <c r="L881">
        <v>4</v>
      </c>
      <c r="M881">
        <v>1</v>
      </c>
      <c r="N881" t="s">
        <v>31</v>
      </c>
      <c r="O881" t="s">
        <v>32</v>
      </c>
      <c r="P881">
        <v>17</v>
      </c>
      <c r="Q881">
        <v>18</v>
      </c>
      <c r="R881">
        <v>3</v>
      </c>
      <c r="S881" t="s">
        <v>31</v>
      </c>
      <c r="T881">
        <v>2</v>
      </c>
      <c r="U881" t="s">
        <v>31</v>
      </c>
      <c r="V881" s="1">
        <v>43224</v>
      </c>
    </row>
    <row r="882" spans="1:23" x14ac:dyDescent="0.35">
      <c r="A882" t="s">
        <v>938</v>
      </c>
      <c r="B882">
        <v>57</v>
      </c>
      <c r="C882" t="s">
        <v>44</v>
      </c>
      <c r="D882" t="s">
        <v>52</v>
      </c>
      <c r="E882" t="s">
        <v>55</v>
      </c>
      <c r="F882" t="s">
        <v>37</v>
      </c>
      <c r="G882">
        <v>84069</v>
      </c>
      <c r="H882">
        <v>5</v>
      </c>
      <c r="I882">
        <v>33</v>
      </c>
      <c r="J882">
        <v>3</v>
      </c>
      <c r="K882">
        <v>3</v>
      </c>
      <c r="L882">
        <v>3</v>
      </c>
      <c r="M882">
        <v>2</v>
      </c>
      <c r="N882" t="s">
        <v>31</v>
      </c>
      <c r="O882" t="s">
        <v>42</v>
      </c>
      <c r="P882">
        <v>3</v>
      </c>
      <c r="Q882">
        <v>51</v>
      </c>
      <c r="R882">
        <v>3</v>
      </c>
      <c r="S882" t="s">
        <v>31</v>
      </c>
      <c r="T882">
        <v>4</v>
      </c>
      <c r="U882" t="s">
        <v>31</v>
      </c>
      <c r="V882" s="1">
        <v>44716</v>
      </c>
    </row>
    <row r="883" spans="1:23" x14ac:dyDescent="0.35">
      <c r="A883" t="s">
        <v>939</v>
      </c>
      <c r="B883">
        <v>22</v>
      </c>
      <c r="C883" t="s">
        <v>27</v>
      </c>
      <c r="D883" t="s">
        <v>49</v>
      </c>
      <c r="E883" t="s">
        <v>68</v>
      </c>
      <c r="F883" t="s">
        <v>37</v>
      </c>
      <c r="G883">
        <v>59707</v>
      </c>
      <c r="H883">
        <v>1</v>
      </c>
      <c r="I883">
        <v>1</v>
      </c>
      <c r="J883">
        <v>2</v>
      </c>
      <c r="K883">
        <v>4</v>
      </c>
      <c r="L883">
        <v>4</v>
      </c>
      <c r="M883">
        <v>3</v>
      </c>
      <c r="N883" t="s">
        <v>33</v>
      </c>
      <c r="O883" t="s">
        <v>32</v>
      </c>
      <c r="P883">
        <v>14</v>
      </c>
      <c r="Q883">
        <v>16</v>
      </c>
      <c r="R883">
        <v>3</v>
      </c>
      <c r="S883" t="s">
        <v>31</v>
      </c>
      <c r="T883">
        <v>3</v>
      </c>
      <c r="U883" t="s">
        <v>31</v>
      </c>
      <c r="V883" s="1">
        <v>43649</v>
      </c>
    </row>
    <row r="884" spans="1:23" x14ac:dyDescent="0.35">
      <c r="A884" t="s">
        <v>940</v>
      </c>
      <c r="B884">
        <v>55</v>
      </c>
      <c r="C884" t="s">
        <v>27</v>
      </c>
      <c r="D884" t="s">
        <v>39</v>
      </c>
      <c r="E884" t="s">
        <v>40</v>
      </c>
      <c r="F884" t="s">
        <v>37</v>
      </c>
      <c r="G884">
        <v>58734</v>
      </c>
      <c r="H884">
        <v>1</v>
      </c>
      <c r="I884">
        <v>33</v>
      </c>
      <c r="J884">
        <v>2</v>
      </c>
      <c r="K884">
        <v>2</v>
      </c>
      <c r="L884">
        <v>2</v>
      </c>
      <c r="M884">
        <v>2</v>
      </c>
      <c r="N884" t="s">
        <v>31</v>
      </c>
      <c r="O884" t="s">
        <v>32</v>
      </c>
      <c r="P884">
        <v>13</v>
      </c>
      <c r="Q884">
        <v>42</v>
      </c>
      <c r="R884">
        <v>3</v>
      </c>
      <c r="S884" t="s">
        <v>31</v>
      </c>
      <c r="T884">
        <v>7</v>
      </c>
      <c r="U884" t="s">
        <v>31</v>
      </c>
      <c r="V884" s="1">
        <v>43258</v>
      </c>
    </row>
    <row r="885" spans="1:23" x14ac:dyDescent="0.35">
      <c r="A885" t="s">
        <v>941</v>
      </c>
      <c r="B885">
        <v>25</v>
      </c>
      <c r="C885" t="s">
        <v>44</v>
      </c>
      <c r="D885" t="s">
        <v>35</v>
      </c>
      <c r="E885" t="s">
        <v>36</v>
      </c>
      <c r="F885" t="s">
        <v>37</v>
      </c>
      <c r="G885">
        <v>79243</v>
      </c>
      <c r="H885">
        <v>3</v>
      </c>
      <c r="I885">
        <v>4</v>
      </c>
      <c r="J885">
        <v>3</v>
      </c>
      <c r="K885">
        <v>2</v>
      </c>
      <c r="L885">
        <v>3</v>
      </c>
      <c r="M885">
        <v>3</v>
      </c>
      <c r="N885" t="s">
        <v>33</v>
      </c>
      <c r="O885" t="s">
        <v>47</v>
      </c>
      <c r="P885">
        <v>7</v>
      </c>
      <c r="Q885">
        <v>43</v>
      </c>
      <c r="R885">
        <v>3</v>
      </c>
      <c r="S885" t="s">
        <v>31</v>
      </c>
      <c r="T885">
        <v>4</v>
      </c>
      <c r="U885" t="s">
        <v>33</v>
      </c>
      <c r="V885" s="1">
        <v>42839</v>
      </c>
      <c r="W885" s="1">
        <v>43360</v>
      </c>
    </row>
    <row r="886" spans="1:23" x14ac:dyDescent="0.35">
      <c r="A886" t="s">
        <v>942</v>
      </c>
      <c r="B886">
        <v>37</v>
      </c>
      <c r="C886" t="s">
        <v>27</v>
      </c>
      <c r="D886" t="s">
        <v>45</v>
      </c>
      <c r="E886" t="s">
        <v>46</v>
      </c>
      <c r="F886" t="s">
        <v>78</v>
      </c>
      <c r="G886">
        <v>39721</v>
      </c>
      <c r="H886">
        <v>1</v>
      </c>
      <c r="I886">
        <v>13</v>
      </c>
      <c r="J886">
        <v>1</v>
      </c>
      <c r="K886">
        <v>2</v>
      </c>
      <c r="L886">
        <v>2</v>
      </c>
      <c r="M886">
        <v>2</v>
      </c>
      <c r="N886" t="s">
        <v>31</v>
      </c>
      <c r="O886" t="s">
        <v>32</v>
      </c>
      <c r="P886">
        <v>12</v>
      </c>
      <c r="Q886">
        <v>41</v>
      </c>
      <c r="R886">
        <v>3</v>
      </c>
      <c r="S886" t="s">
        <v>31</v>
      </c>
      <c r="T886">
        <v>7</v>
      </c>
      <c r="U886" t="s">
        <v>33</v>
      </c>
      <c r="V886" s="1">
        <v>42170</v>
      </c>
      <c r="W886" s="1">
        <v>42291</v>
      </c>
    </row>
    <row r="887" spans="1:23" x14ac:dyDescent="0.35">
      <c r="A887" t="s">
        <v>943</v>
      </c>
      <c r="B887">
        <v>44</v>
      </c>
      <c r="C887" t="s">
        <v>27</v>
      </c>
      <c r="D887" t="s">
        <v>49</v>
      </c>
      <c r="E887" t="s">
        <v>50</v>
      </c>
      <c r="F887" t="s">
        <v>78</v>
      </c>
      <c r="G887">
        <v>137787</v>
      </c>
      <c r="H887">
        <v>18</v>
      </c>
      <c r="I887">
        <v>20</v>
      </c>
      <c r="J887">
        <v>5</v>
      </c>
      <c r="K887">
        <v>2</v>
      </c>
      <c r="L887">
        <v>4</v>
      </c>
      <c r="M887">
        <v>1</v>
      </c>
      <c r="N887" t="s">
        <v>31</v>
      </c>
      <c r="O887" t="s">
        <v>32</v>
      </c>
      <c r="P887">
        <v>29</v>
      </c>
      <c r="Q887">
        <v>16</v>
      </c>
      <c r="R887">
        <v>3</v>
      </c>
      <c r="S887" t="s">
        <v>33</v>
      </c>
      <c r="T887">
        <v>6</v>
      </c>
      <c r="U887" t="s">
        <v>31</v>
      </c>
      <c r="V887" s="1">
        <v>41236</v>
      </c>
    </row>
    <row r="888" spans="1:23" x14ac:dyDescent="0.35">
      <c r="A888" t="s">
        <v>944</v>
      </c>
      <c r="B888">
        <v>52</v>
      </c>
      <c r="C888" t="s">
        <v>44</v>
      </c>
      <c r="D888" t="s">
        <v>49</v>
      </c>
      <c r="E888" t="s">
        <v>68</v>
      </c>
      <c r="F888" t="s">
        <v>41</v>
      </c>
      <c r="G888">
        <v>156033</v>
      </c>
      <c r="H888">
        <v>27</v>
      </c>
      <c r="I888">
        <v>30</v>
      </c>
      <c r="J888">
        <v>5</v>
      </c>
      <c r="K888">
        <v>3</v>
      </c>
      <c r="L888">
        <v>2</v>
      </c>
      <c r="M888">
        <v>1</v>
      </c>
      <c r="N888" t="s">
        <v>31</v>
      </c>
      <c r="O888" t="s">
        <v>47</v>
      </c>
      <c r="P888">
        <v>7</v>
      </c>
      <c r="Q888">
        <v>59</v>
      </c>
      <c r="R888">
        <v>3</v>
      </c>
      <c r="S888" t="s">
        <v>31</v>
      </c>
      <c r="T888">
        <v>5</v>
      </c>
      <c r="U888" t="s">
        <v>31</v>
      </c>
      <c r="V888" s="1">
        <v>44330</v>
      </c>
    </row>
    <row r="889" spans="1:23" x14ac:dyDescent="0.35">
      <c r="A889" t="s">
        <v>945</v>
      </c>
      <c r="B889">
        <v>32</v>
      </c>
      <c r="C889" t="s">
        <v>27</v>
      </c>
      <c r="D889" t="s">
        <v>28</v>
      </c>
      <c r="E889" t="s">
        <v>29</v>
      </c>
      <c r="F889" t="s">
        <v>78</v>
      </c>
      <c r="G889">
        <v>101961</v>
      </c>
      <c r="H889">
        <v>8</v>
      </c>
      <c r="I889">
        <v>10</v>
      </c>
      <c r="J889">
        <v>4</v>
      </c>
      <c r="K889">
        <v>1</v>
      </c>
      <c r="L889">
        <v>1</v>
      </c>
      <c r="M889">
        <v>2</v>
      </c>
      <c r="N889" t="s">
        <v>31</v>
      </c>
      <c r="O889" t="s">
        <v>32</v>
      </c>
      <c r="P889">
        <v>20</v>
      </c>
      <c r="Q889">
        <v>32</v>
      </c>
      <c r="R889">
        <v>2</v>
      </c>
      <c r="S889" t="s">
        <v>31</v>
      </c>
      <c r="T889">
        <v>5</v>
      </c>
      <c r="U889" t="s">
        <v>31</v>
      </c>
      <c r="V889" s="1">
        <v>41455</v>
      </c>
    </row>
    <row r="890" spans="1:23" x14ac:dyDescent="0.35">
      <c r="A890" t="s">
        <v>946</v>
      </c>
      <c r="B890">
        <v>38</v>
      </c>
      <c r="C890" t="s">
        <v>44</v>
      </c>
      <c r="D890" t="s">
        <v>49</v>
      </c>
      <c r="E890" t="s">
        <v>50</v>
      </c>
      <c r="F890" t="s">
        <v>61</v>
      </c>
      <c r="G890">
        <v>40121</v>
      </c>
      <c r="H890">
        <v>0</v>
      </c>
      <c r="I890">
        <v>15</v>
      </c>
      <c r="J890">
        <v>1</v>
      </c>
      <c r="K890">
        <v>3</v>
      </c>
      <c r="L890">
        <v>3</v>
      </c>
      <c r="M890">
        <v>3</v>
      </c>
      <c r="N890" t="s">
        <v>33</v>
      </c>
      <c r="O890" t="s">
        <v>42</v>
      </c>
      <c r="P890">
        <v>29</v>
      </c>
      <c r="Q890">
        <v>35</v>
      </c>
      <c r="R890">
        <v>3</v>
      </c>
      <c r="S890" t="s">
        <v>31</v>
      </c>
      <c r="T890">
        <v>2</v>
      </c>
      <c r="U890" t="s">
        <v>31</v>
      </c>
      <c r="V890" s="1">
        <v>43899</v>
      </c>
    </row>
    <row r="891" spans="1:23" x14ac:dyDescent="0.35">
      <c r="A891" t="s">
        <v>947</v>
      </c>
      <c r="B891">
        <v>41</v>
      </c>
      <c r="C891" t="s">
        <v>44</v>
      </c>
      <c r="D891" t="s">
        <v>28</v>
      </c>
      <c r="E891" t="s">
        <v>29</v>
      </c>
      <c r="F891" t="s">
        <v>61</v>
      </c>
      <c r="G891">
        <v>102570</v>
      </c>
      <c r="H891">
        <v>9</v>
      </c>
      <c r="I891">
        <v>20</v>
      </c>
      <c r="J891">
        <v>4</v>
      </c>
      <c r="K891">
        <v>2</v>
      </c>
      <c r="L891">
        <v>4</v>
      </c>
      <c r="M891">
        <v>3</v>
      </c>
      <c r="N891" t="s">
        <v>31</v>
      </c>
      <c r="O891" t="s">
        <v>42</v>
      </c>
      <c r="P891">
        <v>13</v>
      </c>
      <c r="Q891">
        <v>36</v>
      </c>
      <c r="R891">
        <v>4</v>
      </c>
      <c r="S891" t="s">
        <v>31</v>
      </c>
      <c r="T891">
        <v>8</v>
      </c>
      <c r="U891" t="s">
        <v>31</v>
      </c>
      <c r="V891" s="1">
        <v>41318</v>
      </c>
    </row>
    <row r="892" spans="1:23" x14ac:dyDescent="0.35">
      <c r="A892" t="s">
        <v>948</v>
      </c>
      <c r="B892">
        <v>28</v>
      </c>
      <c r="C892" t="s">
        <v>27</v>
      </c>
      <c r="D892" t="s">
        <v>35</v>
      </c>
      <c r="E892" t="s">
        <v>36</v>
      </c>
      <c r="F892" t="s">
        <v>41</v>
      </c>
      <c r="G892">
        <v>37601</v>
      </c>
      <c r="H892">
        <v>0</v>
      </c>
      <c r="I892">
        <v>4</v>
      </c>
      <c r="J892">
        <v>1</v>
      </c>
      <c r="K892">
        <v>4</v>
      </c>
      <c r="L892">
        <v>3</v>
      </c>
      <c r="M892">
        <v>4</v>
      </c>
      <c r="N892" t="s">
        <v>33</v>
      </c>
      <c r="O892" t="s">
        <v>32</v>
      </c>
      <c r="P892">
        <v>22</v>
      </c>
      <c r="Q892">
        <v>26</v>
      </c>
      <c r="R892">
        <v>2</v>
      </c>
      <c r="S892" t="s">
        <v>31</v>
      </c>
      <c r="T892">
        <v>5</v>
      </c>
      <c r="U892" t="s">
        <v>31</v>
      </c>
      <c r="V892" s="1">
        <v>44734</v>
      </c>
    </row>
    <row r="893" spans="1:23" x14ac:dyDescent="0.35">
      <c r="A893" t="s">
        <v>949</v>
      </c>
      <c r="B893">
        <v>45</v>
      </c>
      <c r="C893" t="s">
        <v>44</v>
      </c>
      <c r="D893" t="s">
        <v>28</v>
      </c>
      <c r="E893" t="s">
        <v>29</v>
      </c>
      <c r="F893" t="s">
        <v>41</v>
      </c>
      <c r="G893">
        <v>64970</v>
      </c>
      <c r="H893">
        <v>5</v>
      </c>
      <c r="I893">
        <v>22</v>
      </c>
      <c r="J893">
        <v>2</v>
      </c>
      <c r="K893">
        <v>4</v>
      </c>
      <c r="L893">
        <v>3</v>
      </c>
      <c r="M893">
        <v>1</v>
      </c>
      <c r="N893" t="s">
        <v>33</v>
      </c>
      <c r="O893" t="s">
        <v>32</v>
      </c>
      <c r="P893">
        <v>16</v>
      </c>
      <c r="Q893">
        <v>44</v>
      </c>
      <c r="R893">
        <v>3</v>
      </c>
      <c r="S893" t="s">
        <v>31</v>
      </c>
      <c r="T893">
        <v>11</v>
      </c>
      <c r="U893" t="s">
        <v>31</v>
      </c>
      <c r="V893" s="1">
        <v>42897</v>
      </c>
    </row>
    <row r="894" spans="1:23" x14ac:dyDescent="0.35">
      <c r="A894" t="s">
        <v>950</v>
      </c>
      <c r="B894">
        <v>31</v>
      </c>
      <c r="C894" t="s">
        <v>27</v>
      </c>
      <c r="D894" t="s">
        <v>45</v>
      </c>
      <c r="E894" t="s">
        <v>46</v>
      </c>
      <c r="F894" t="s">
        <v>56</v>
      </c>
      <c r="G894">
        <v>42076</v>
      </c>
      <c r="H894">
        <v>2</v>
      </c>
      <c r="I894">
        <v>9</v>
      </c>
      <c r="J894">
        <v>1</v>
      </c>
      <c r="K894">
        <v>4</v>
      </c>
      <c r="L894">
        <v>4</v>
      </c>
      <c r="M894">
        <v>2</v>
      </c>
      <c r="N894" t="s">
        <v>31</v>
      </c>
      <c r="O894" t="s">
        <v>42</v>
      </c>
      <c r="P894">
        <v>22</v>
      </c>
      <c r="Q894">
        <v>20</v>
      </c>
      <c r="R894">
        <v>4</v>
      </c>
      <c r="S894" t="s">
        <v>31</v>
      </c>
      <c r="T894">
        <v>3</v>
      </c>
      <c r="U894" t="s">
        <v>33</v>
      </c>
      <c r="V894" s="1">
        <v>44631</v>
      </c>
      <c r="W894" s="1">
        <v>45297</v>
      </c>
    </row>
    <row r="895" spans="1:23" x14ac:dyDescent="0.35">
      <c r="A895" t="s">
        <v>951</v>
      </c>
      <c r="B895">
        <v>40</v>
      </c>
      <c r="C895" t="s">
        <v>44</v>
      </c>
      <c r="D895" t="s">
        <v>28</v>
      </c>
      <c r="E895" t="s">
        <v>66</v>
      </c>
      <c r="F895" t="s">
        <v>56</v>
      </c>
      <c r="G895">
        <v>107261</v>
      </c>
      <c r="H895">
        <v>10</v>
      </c>
      <c r="I895">
        <v>18</v>
      </c>
      <c r="J895">
        <v>4</v>
      </c>
      <c r="K895">
        <v>4</v>
      </c>
      <c r="L895">
        <v>4</v>
      </c>
      <c r="M895">
        <v>4</v>
      </c>
      <c r="N895" t="s">
        <v>31</v>
      </c>
      <c r="O895" t="s">
        <v>32</v>
      </c>
      <c r="P895">
        <v>20</v>
      </c>
      <c r="Q895">
        <v>31</v>
      </c>
      <c r="R895">
        <v>3</v>
      </c>
      <c r="S895" t="s">
        <v>31</v>
      </c>
      <c r="T895">
        <v>9</v>
      </c>
      <c r="U895" t="s">
        <v>31</v>
      </c>
      <c r="V895" s="1">
        <v>43552</v>
      </c>
    </row>
    <row r="896" spans="1:23" x14ac:dyDescent="0.35">
      <c r="A896" t="s">
        <v>952</v>
      </c>
      <c r="B896">
        <v>41</v>
      </c>
      <c r="C896" t="s">
        <v>44</v>
      </c>
      <c r="D896" t="s">
        <v>28</v>
      </c>
      <c r="E896" t="s">
        <v>29</v>
      </c>
      <c r="F896" t="s">
        <v>30</v>
      </c>
      <c r="G896">
        <v>134015</v>
      </c>
      <c r="H896">
        <v>15</v>
      </c>
      <c r="I896">
        <v>19</v>
      </c>
      <c r="J896">
        <v>5</v>
      </c>
      <c r="K896">
        <v>3</v>
      </c>
      <c r="L896">
        <v>4</v>
      </c>
      <c r="M896">
        <v>4</v>
      </c>
      <c r="N896" t="s">
        <v>33</v>
      </c>
      <c r="O896" t="s">
        <v>32</v>
      </c>
      <c r="P896">
        <v>23</v>
      </c>
      <c r="Q896">
        <v>19</v>
      </c>
      <c r="R896">
        <v>2</v>
      </c>
      <c r="S896" t="s">
        <v>31</v>
      </c>
      <c r="T896">
        <v>5</v>
      </c>
      <c r="U896" t="s">
        <v>31</v>
      </c>
      <c r="V896" s="1">
        <v>42023</v>
      </c>
    </row>
    <row r="897" spans="1:23" x14ac:dyDescent="0.35">
      <c r="A897" t="s">
        <v>953</v>
      </c>
      <c r="B897">
        <v>57</v>
      </c>
      <c r="C897" t="s">
        <v>44</v>
      </c>
      <c r="D897" t="s">
        <v>28</v>
      </c>
      <c r="E897" t="s">
        <v>66</v>
      </c>
      <c r="F897" t="s">
        <v>41</v>
      </c>
      <c r="G897">
        <v>62984</v>
      </c>
      <c r="H897">
        <v>2</v>
      </c>
      <c r="I897">
        <v>33</v>
      </c>
      <c r="J897">
        <v>2</v>
      </c>
      <c r="K897">
        <v>3</v>
      </c>
      <c r="L897">
        <v>4</v>
      </c>
      <c r="M897">
        <v>2</v>
      </c>
      <c r="N897" t="s">
        <v>31</v>
      </c>
      <c r="O897" t="s">
        <v>47</v>
      </c>
      <c r="P897">
        <v>13</v>
      </c>
      <c r="Q897">
        <v>26</v>
      </c>
      <c r="R897">
        <v>3</v>
      </c>
      <c r="S897" t="s">
        <v>31</v>
      </c>
      <c r="T897">
        <v>5</v>
      </c>
      <c r="U897" t="s">
        <v>33</v>
      </c>
      <c r="V897" s="1">
        <v>41261</v>
      </c>
      <c r="W897" s="1">
        <v>41476</v>
      </c>
    </row>
    <row r="898" spans="1:23" x14ac:dyDescent="0.35">
      <c r="A898" t="s">
        <v>954</v>
      </c>
      <c r="B898">
        <v>34</v>
      </c>
      <c r="C898" t="s">
        <v>27</v>
      </c>
      <c r="D898" t="s">
        <v>28</v>
      </c>
      <c r="E898" t="s">
        <v>66</v>
      </c>
      <c r="F898" t="s">
        <v>78</v>
      </c>
      <c r="G898">
        <v>103820</v>
      </c>
      <c r="H898">
        <v>7</v>
      </c>
      <c r="I898">
        <v>10</v>
      </c>
      <c r="J898">
        <v>4</v>
      </c>
      <c r="K898">
        <v>4</v>
      </c>
      <c r="L898">
        <v>3</v>
      </c>
      <c r="M898">
        <v>1</v>
      </c>
      <c r="N898" t="s">
        <v>33</v>
      </c>
      <c r="O898" t="s">
        <v>47</v>
      </c>
      <c r="P898">
        <v>25</v>
      </c>
      <c r="Q898">
        <v>50</v>
      </c>
      <c r="R898">
        <v>3</v>
      </c>
      <c r="S898" t="s">
        <v>31</v>
      </c>
      <c r="T898">
        <v>8</v>
      </c>
      <c r="U898" t="s">
        <v>31</v>
      </c>
      <c r="V898" s="1">
        <v>41223</v>
      </c>
    </row>
    <row r="899" spans="1:23" x14ac:dyDescent="0.35">
      <c r="A899" t="s">
        <v>955</v>
      </c>
      <c r="B899">
        <v>55</v>
      </c>
      <c r="C899" t="s">
        <v>27</v>
      </c>
      <c r="D899" t="s">
        <v>45</v>
      </c>
      <c r="E899" t="s">
        <v>63</v>
      </c>
      <c r="F899" t="s">
        <v>30</v>
      </c>
      <c r="G899">
        <v>155630</v>
      </c>
      <c r="H899">
        <v>26</v>
      </c>
      <c r="I899">
        <v>31</v>
      </c>
      <c r="J899">
        <v>5</v>
      </c>
      <c r="K899">
        <v>2</v>
      </c>
      <c r="L899">
        <v>3</v>
      </c>
      <c r="M899">
        <v>2</v>
      </c>
      <c r="N899" t="s">
        <v>33</v>
      </c>
      <c r="O899" t="s">
        <v>32</v>
      </c>
      <c r="P899">
        <v>21</v>
      </c>
      <c r="Q899">
        <v>50</v>
      </c>
      <c r="R899">
        <v>3</v>
      </c>
      <c r="S899" t="s">
        <v>31</v>
      </c>
      <c r="T899">
        <v>8</v>
      </c>
      <c r="U899" t="s">
        <v>31</v>
      </c>
      <c r="V899" s="1">
        <v>44555</v>
      </c>
    </row>
    <row r="900" spans="1:23" x14ac:dyDescent="0.35">
      <c r="A900" t="s">
        <v>956</v>
      </c>
      <c r="B900">
        <v>42</v>
      </c>
      <c r="C900" t="s">
        <v>27</v>
      </c>
      <c r="D900" t="s">
        <v>35</v>
      </c>
      <c r="E900" t="s">
        <v>85</v>
      </c>
      <c r="F900" t="s">
        <v>41</v>
      </c>
      <c r="G900">
        <v>99365</v>
      </c>
      <c r="H900">
        <v>7</v>
      </c>
      <c r="I900">
        <v>18</v>
      </c>
      <c r="J900">
        <v>4</v>
      </c>
      <c r="K900">
        <v>3</v>
      </c>
      <c r="L900">
        <v>2</v>
      </c>
      <c r="M900">
        <v>2</v>
      </c>
      <c r="N900" t="s">
        <v>31</v>
      </c>
      <c r="O900" t="s">
        <v>32</v>
      </c>
      <c r="P900">
        <v>9</v>
      </c>
      <c r="Q900">
        <v>54</v>
      </c>
      <c r="R900">
        <v>3</v>
      </c>
      <c r="S900" t="s">
        <v>31</v>
      </c>
      <c r="T900">
        <v>7</v>
      </c>
      <c r="U900" t="s">
        <v>31</v>
      </c>
      <c r="V900" s="1">
        <v>41796</v>
      </c>
    </row>
    <row r="901" spans="1:23" x14ac:dyDescent="0.35">
      <c r="A901" t="s">
        <v>957</v>
      </c>
      <c r="B901">
        <v>38</v>
      </c>
      <c r="C901" t="s">
        <v>44</v>
      </c>
      <c r="D901" t="s">
        <v>35</v>
      </c>
      <c r="E901" t="s">
        <v>36</v>
      </c>
      <c r="F901" t="s">
        <v>30</v>
      </c>
      <c r="G901">
        <v>124269</v>
      </c>
      <c r="H901">
        <v>11</v>
      </c>
      <c r="I901">
        <v>17</v>
      </c>
      <c r="J901">
        <v>5</v>
      </c>
      <c r="K901">
        <v>1</v>
      </c>
      <c r="L901">
        <v>1</v>
      </c>
      <c r="M901">
        <v>1</v>
      </c>
      <c r="N901" t="s">
        <v>31</v>
      </c>
      <c r="O901" t="s">
        <v>32</v>
      </c>
      <c r="P901">
        <v>1</v>
      </c>
      <c r="Q901">
        <v>48</v>
      </c>
      <c r="R901">
        <v>3</v>
      </c>
      <c r="S901" t="s">
        <v>33</v>
      </c>
      <c r="T901">
        <v>5</v>
      </c>
      <c r="U901" t="s">
        <v>31</v>
      </c>
      <c r="V901" s="1">
        <v>42146</v>
      </c>
    </row>
    <row r="902" spans="1:23" x14ac:dyDescent="0.35">
      <c r="A902" t="s">
        <v>958</v>
      </c>
      <c r="B902">
        <v>27</v>
      </c>
      <c r="C902" t="s">
        <v>44</v>
      </c>
      <c r="D902" t="s">
        <v>35</v>
      </c>
      <c r="E902" t="s">
        <v>85</v>
      </c>
      <c r="F902" t="s">
        <v>56</v>
      </c>
      <c r="G902">
        <v>56619</v>
      </c>
      <c r="H902">
        <v>0</v>
      </c>
      <c r="I902">
        <v>4</v>
      </c>
      <c r="J902">
        <v>2</v>
      </c>
      <c r="K902">
        <v>2</v>
      </c>
      <c r="L902">
        <v>3</v>
      </c>
      <c r="M902">
        <v>4</v>
      </c>
      <c r="N902" t="s">
        <v>31</v>
      </c>
      <c r="O902" t="s">
        <v>32</v>
      </c>
      <c r="P902">
        <v>21</v>
      </c>
      <c r="Q902">
        <v>10</v>
      </c>
      <c r="R902">
        <v>3</v>
      </c>
      <c r="S902" t="s">
        <v>31</v>
      </c>
      <c r="T902">
        <v>3</v>
      </c>
      <c r="U902" t="s">
        <v>31</v>
      </c>
      <c r="V902" s="1">
        <v>42285</v>
      </c>
    </row>
    <row r="903" spans="1:23" x14ac:dyDescent="0.35">
      <c r="A903" t="s">
        <v>959</v>
      </c>
      <c r="B903">
        <v>32</v>
      </c>
      <c r="C903" t="s">
        <v>44</v>
      </c>
      <c r="D903" t="s">
        <v>35</v>
      </c>
      <c r="E903" t="s">
        <v>36</v>
      </c>
      <c r="F903" t="s">
        <v>78</v>
      </c>
      <c r="G903">
        <v>66409</v>
      </c>
      <c r="H903">
        <v>5</v>
      </c>
      <c r="I903">
        <v>9</v>
      </c>
      <c r="J903">
        <v>2</v>
      </c>
      <c r="K903">
        <v>4</v>
      </c>
      <c r="L903">
        <v>4</v>
      </c>
      <c r="M903">
        <v>4</v>
      </c>
      <c r="N903" t="s">
        <v>31</v>
      </c>
      <c r="O903" t="s">
        <v>32</v>
      </c>
      <c r="P903">
        <v>9</v>
      </c>
      <c r="Q903">
        <v>44</v>
      </c>
      <c r="R903">
        <v>3</v>
      </c>
      <c r="S903" t="s">
        <v>33</v>
      </c>
      <c r="T903">
        <v>3</v>
      </c>
      <c r="U903" t="s">
        <v>31</v>
      </c>
      <c r="V903" s="1">
        <v>41776</v>
      </c>
    </row>
    <row r="904" spans="1:23" x14ac:dyDescent="0.35">
      <c r="A904" t="s">
        <v>960</v>
      </c>
      <c r="B904">
        <v>31</v>
      </c>
      <c r="C904" t="s">
        <v>44</v>
      </c>
      <c r="D904" t="s">
        <v>35</v>
      </c>
      <c r="E904" t="s">
        <v>36</v>
      </c>
      <c r="F904" t="s">
        <v>78</v>
      </c>
      <c r="G904">
        <v>101381</v>
      </c>
      <c r="H904">
        <v>8</v>
      </c>
      <c r="I904">
        <v>8</v>
      </c>
      <c r="J904">
        <v>4</v>
      </c>
      <c r="K904">
        <v>3</v>
      </c>
      <c r="L904">
        <v>4</v>
      </c>
      <c r="M904">
        <v>1</v>
      </c>
      <c r="N904" t="s">
        <v>31</v>
      </c>
      <c r="O904" t="s">
        <v>32</v>
      </c>
      <c r="P904">
        <v>25</v>
      </c>
      <c r="Q904">
        <v>53</v>
      </c>
      <c r="R904">
        <v>3</v>
      </c>
      <c r="S904" t="s">
        <v>33</v>
      </c>
      <c r="T904">
        <v>6</v>
      </c>
      <c r="U904" t="s">
        <v>31</v>
      </c>
      <c r="V904" s="1">
        <v>44138</v>
      </c>
    </row>
    <row r="905" spans="1:23" x14ac:dyDescent="0.35">
      <c r="A905" t="s">
        <v>961</v>
      </c>
      <c r="B905">
        <v>49</v>
      </c>
      <c r="C905" t="s">
        <v>27</v>
      </c>
      <c r="D905" t="s">
        <v>52</v>
      </c>
      <c r="E905" t="s">
        <v>53</v>
      </c>
      <c r="F905" t="s">
        <v>78</v>
      </c>
      <c r="G905">
        <v>64539</v>
      </c>
      <c r="H905">
        <v>3</v>
      </c>
      <c r="I905">
        <v>25</v>
      </c>
      <c r="J905">
        <v>2</v>
      </c>
      <c r="K905">
        <v>1</v>
      </c>
      <c r="L905">
        <v>2</v>
      </c>
      <c r="M905">
        <v>4</v>
      </c>
      <c r="N905" t="s">
        <v>31</v>
      </c>
      <c r="O905" t="s">
        <v>32</v>
      </c>
      <c r="P905">
        <v>13</v>
      </c>
      <c r="Q905">
        <v>11</v>
      </c>
      <c r="R905">
        <v>4</v>
      </c>
      <c r="S905" t="s">
        <v>31</v>
      </c>
      <c r="T905">
        <v>4</v>
      </c>
      <c r="U905" t="s">
        <v>31</v>
      </c>
      <c r="V905" s="1">
        <v>43989</v>
      </c>
    </row>
    <row r="906" spans="1:23" x14ac:dyDescent="0.35">
      <c r="A906" t="s">
        <v>962</v>
      </c>
      <c r="B906">
        <v>49</v>
      </c>
      <c r="C906" t="s">
        <v>27</v>
      </c>
      <c r="D906" t="s">
        <v>35</v>
      </c>
      <c r="E906" t="s">
        <v>36</v>
      </c>
      <c r="F906" t="s">
        <v>37</v>
      </c>
      <c r="G906">
        <v>143289</v>
      </c>
      <c r="H906">
        <v>22</v>
      </c>
      <c r="I906">
        <v>27</v>
      </c>
      <c r="J906">
        <v>5</v>
      </c>
      <c r="K906">
        <v>2</v>
      </c>
      <c r="L906">
        <v>1</v>
      </c>
      <c r="M906">
        <v>2</v>
      </c>
      <c r="N906" t="s">
        <v>31</v>
      </c>
      <c r="O906" t="s">
        <v>32</v>
      </c>
      <c r="P906">
        <v>7</v>
      </c>
      <c r="Q906">
        <v>38</v>
      </c>
      <c r="R906">
        <v>3</v>
      </c>
      <c r="S906" t="s">
        <v>31</v>
      </c>
      <c r="T906">
        <v>6</v>
      </c>
      <c r="U906" t="s">
        <v>31</v>
      </c>
      <c r="V906" s="1">
        <v>41929</v>
      </c>
    </row>
    <row r="907" spans="1:23" x14ac:dyDescent="0.35">
      <c r="A907" t="s">
        <v>963</v>
      </c>
      <c r="B907">
        <v>27</v>
      </c>
      <c r="C907" t="s">
        <v>44</v>
      </c>
      <c r="D907" t="s">
        <v>45</v>
      </c>
      <c r="E907" t="s">
        <v>46</v>
      </c>
      <c r="F907" t="s">
        <v>37</v>
      </c>
      <c r="G907">
        <v>41546</v>
      </c>
      <c r="H907">
        <v>2</v>
      </c>
      <c r="I907">
        <v>4</v>
      </c>
      <c r="J907">
        <v>1</v>
      </c>
      <c r="K907">
        <v>3</v>
      </c>
      <c r="L907">
        <v>3</v>
      </c>
      <c r="M907">
        <v>2</v>
      </c>
      <c r="N907" t="s">
        <v>31</v>
      </c>
      <c r="O907" t="s">
        <v>32</v>
      </c>
      <c r="P907">
        <v>6</v>
      </c>
      <c r="Q907">
        <v>55</v>
      </c>
      <c r="R907">
        <v>3</v>
      </c>
      <c r="S907" t="s">
        <v>31</v>
      </c>
      <c r="T907">
        <v>6</v>
      </c>
      <c r="U907" t="s">
        <v>33</v>
      </c>
      <c r="V907" s="1">
        <v>44705</v>
      </c>
      <c r="W907" s="1">
        <v>45629</v>
      </c>
    </row>
    <row r="908" spans="1:23" x14ac:dyDescent="0.35">
      <c r="A908" t="s">
        <v>964</v>
      </c>
      <c r="B908">
        <v>45</v>
      </c>
      <c r="C908" t="s">
        <v>27</v>
      </c>
      <c r="D908" t="s">
        <v>28</v>
      </c>
      <c r="E908" t="s">
        <v>66</v>
      </c>
      <c r="F908" t="s">
        <v>56</v>
      </c>
      <c r="G908">
        <v>82963</v>
      </c>
      <c r="H908">
        <v>6</v>
      </c>
      <c r="I908">
        <v>23</v>
      </c>
      <c r="J908">
        <v>3</v>
      </c>
      <c r="K908">
        <v>3</v>
      </c>
      <c r="L908">
        <v>3</v>
      </c>
      <c r="M908">
        <v>4</v>
      </c>
      <c r="N908" t="s">
        <v>31</v>
      </c>
      <c r="O908" t="s">
        <v>32</v>
      </c>
      <c r="P908">
        <v>19</v>
      </c>
      <c r="Q908">
        <v>36</v>
      </c>
      <c r="R908">
        <v>3</v>
      </c>
      <c r="S908" t="s">
        <v>33</v>
      </c>
      <c r="T908">
        <v>6</v>
      </c>
      <c r="U908" t="s">
        <v>33</v>
      </c>
      <c r="V908" s="1">
        <v>41896</v>
      </c>
      <c r="W908" s="1">
        <v>42119</v>
      </c>
    </row>
    <row r="909" spans="1:23" x14ac:dyDescent="0.35">
      <c r="A909" t="s">
        <v>965</v>
      </c>
      <c r="B909">
        <v>54</v>
      </c>
      <c r="C909" t="s">
        <v>27</v>
      </c>
      <c r="D909" t="s">
        <v>35</v>
      </c>
      <c r="E909" t="s">
        <v>36</v>
      </c>
      <c r="F909" t="s">
        <v>41</v>
      </c>
      <c r="G909">
        <v>148381</v>
      </c>
      <c r="H909">
        <v>25</v>
      </c>
      <c r="I909">
        <v>31</v>
      </c>
      <c r="J909">
        <v>5</v>
      </c>
      <c r="K909">
        <v>3</v>
      </c>
      <c r="L909">
        <v>1</v>
      </c>
      <c r="M909">
        <v>2</v>
      </c>
      <c r="N909" t="s">
        <v>33</v>
      </c>
      <c r="O909" t="s">
        <v>32</v>
      </c>
      <c r="P909">
        <v>27</v>
      </c>
      <c r="Q909">
        <v>24</v>
      </c>
      <c r="R909">
        <v>3</v>
      </c>
      <c r="S909" t="s">
        <v>31</v>
      </c>
      <c r="T909">
        <v>4</v>
      </c>
      <c r="U909" t="s">
        <v>31</v>
      </c>
      <c r="V909" s="1">
        <v>44125</v>
      </c>
    </row>
    <row r="910" spans="1:23" x14ac:dyDescent="0.35">
      <c r="A910" t="s">
        <v>966</v>
      </c>
      <c r="B910">
        <v>48</v>
      </c>
      <c r="C910" t="s">
        <v>44</v>
      </c>
      <c r="D910" t="s">
        <v>49</v>
      </c>
      <c r="E910" t="s">
        <v>68</v>
      </c>
      <c r="F910" t="s">
        <v>30</v>
      </c>
      <c r="G910">
        <v>57996</v>
      </c>
      <c r="H910">
        <v>1</v>
      </c>
      <c r="I910">
        <v>25</v>
      </c>
      <c r="J910">
        <v>2</v>
      </c>
      <c r="K910">
        <v>1</v>
      </c>
      <c r="L910">
        <v>4</v>
      </c>
      <c r="M910">
        <v>4</v>
      </c>
      <c r="N910" t="s">
        <v>31</v>
      </c>
      <c r="O910" t="s">
        <v>47</v>
      </c>
      <c r="P910">
        <v>24</v>
      </c>
      <c r="Q910">
        <v>50</v>
      </c>
      <c r="R910">
        <v>3</v>
      </c>
      <c r="S910" t="s">
        <v>31</v>
      </c>
      <c r="T910">
        <v>3</v>
      </c>
      <c r="U910" t="s">
        <v>31</v>
      </c>
      <c r="V910" s="1">
        <v>40934</v>
      </c>
    </row>
    <row r="911" spans="1:23" x14ac:dyDescent="0.35">
      <c r="A911" t="s">
        <v>967</v>
      </c>
      <c r="B911">
        <v>40</v>
      </c>
      <c r="C911" t="s">
        <v>44</v>
      </c>
      <c r="D911" t="s">
        <v>28</v>
      </c>
      <c r="E911" t="s">
        <v>66</v>
      </c>
      <c r="F911" t="s">
        <v>56</v>
      </c>
      <c r="G911">
        <v>84362</v>
      </c>
      <c r="H911">
        <v>5</v>
      </c>
      <c r="I911">
        <v>17</v>
      </c>
      <c r="J911">
        <v>3</v>
      </c>
      <c r="K911">
        <v>1</v>
      </c>
      <c r="L911">
        <v>3</v>
      </c>
      <c r="M911">
        <v>1</v>
      </c>
      <c r="N911" t="s">
        <v>33</v>
      </c>
      <c r="O911" t="s">
        <v>32</v>
      </c>
      <c r="P911">
        <v>5</v>
      </c>
      <c r="Q911">
        <v>40</v>
      </c>
      <c r="R911">
        <v>3</v>
      </c>
      <c r="S911" t="s">
        <v>31</v>
      </c>
      <c r="T911">
        <v>2</v>
      </c>
      <c r="U911" t="s">
        <v>33</v>
      </c>
      <c r="V911" s="1">
        <v>44805</v>
      </c>
      <c r="W911" s="1">
        <v>45743</v>
      </c>
    </row>
    <row r="912" spans="1:23" x14ac:dyDescent="0.35">
      <c r="A912" t="s">
        <v>968</v>
      </c>
      <c r="B912">
        <v>45</v>
      </c>
      <c r="C912" t="s">
        <v>44</v>
      </c>
      <c r="D912" t="s">
        <v>39</v>
      </c>
      <c r="E912" t="s">
        <v>59</v>
      </c>
      <c r="F912" t="s">
        <v>41</v>
      </c>
      <c r="G912">
        <v>86310</v>
      </c>
      <c r="H912">
        <v>8</v>
      </c>
      <c r="I912">
        <v>21</v>
      </c>
      <c r="J912">
        <v>3</v>
      </c>
      <c r="K912">
        <v>4</v>
      </c>
      <c r="L912">
        <v>2</v>
      </c>
      <c r="M912">
        <v>3</v>
      </c>
      <c r="N912" t="s">
        <v>31</v>
      </c>
      <c r="O912" t="s">
        <v>32</v>
      </c>
      <c r="P912">
        <v>12</v>
      </c>
      <c r="Q912">
        <v>47</v>
      </c>
      <c r="R912">
        <v>3</v>
      </c>
      <c r="S912" t="s">
        <v>33</v>
      </c>
      <c r="T912">
        <v>4</v>
      </c>
      <c r="U912" t="s">
        <v>31</v>
      </c>
      <c r="V912" s="1">
        <v>41986</v>
      </c>
    </row>
    <row r="913" spans="1:23" x14ac:dyDescent="0.35">
      <c r="A913" t="s">
        <v>969</v>
      </c>
      <c r="B913">
        <v>39</v>
      </c>
      <c r="C913" t="s">
        <v>44</v>
      </c>
      <c r="D913" t="s">
        <v>28</v>
      </c>
      <c r="E913" t="s">
        <v>66</v>
      </c>
      <c r="F913" t="s">
        <v>41</v>
      </c>
      <c r="G913">
        <v>130294</v>
      </c>
      <c r="H913">
        <v>15</v>
      </c>
      <c r="I913">
        <v>17</v>
      </c>
      <c r="J913">
        <v>5</v>
      </c>
      <c r="K913">
        <v>4</v>
      </c>
      <c r="L913">
        <v>4</v>
      </c>
      <c r="M913">
        <v>2</v>
      </c>
      <c r="N913" t="s">
        <v>31</v>
      </c>
      <c r="O913" t="s">
        <v>32</v>
      </c>
      <c r="P913">
        <v>16</v>
      </c>
      <c r="Q913">
        <v>26</v>
      </c>
      <c r="R913">
        <v>3</v>
      </c>
      <c r="S913" t="s">
        <v>31</v>
      </c>
      <c r="T913">
        <v>1</v>
      </c>
      <c r="U913" t="s">
        <v>33</v>
      </c>
      <c r="V913" s="1">
        <v>44860</v>
      </c>
      <c r="W913" s="1">
        <v>45130</v>
      </c>
    </row>
    <row r="914" spans="1:23" x14ac:dyDescent="0.35">
      <c r="A914" t="s">
        <v>970</v>
      </c>
      <c r="B914">
        <v>41</v>
      </c>
      <c r="C914" t="s">
        <v>27</v>
      </c>
      <c r="D914" t="s">
        <v>52</v>
      </c>
      <c r="E914" t="s">
        <v>55</v>
      </c>
      <c r="F914" t="s">
        <v>41</v>
      </c>
      <c r="G914">
        <v>78727</v>
      </c>
      <c r="H914">
        <v>3</v>
      </c>
      <c r="I914">
        <v>18</v>
      </c>
      <c r="J914">
        <v>3</v>
      </c>
      <c r="K914">
        <v>1</v>
      </c>
      <c r="L914">
        <v>1</v>
      </c>
      <c r="M914">
        <v>1</v>
      </c>
      <c r="N914" t="s">
        <v>31</v>
      </c>
      <c r="O914" t="s">
        <v>42</v>
      </c>
      <c r="P914">
        <v>6</v>
      </c>
      <c r="Q914">
        <v>26</v>
      </c>
      <c r="R914">
        <v>3</v>
      </c>
      <c r="S914" t="s">
        <v>31</v>
      </c>
      <c r="T914">
        <v>7</v>
      </c>
      <c r="U914" t="s">
        <v>31</v>
      </c>
      <c r="V914" s="1">
        <v>42686</v>
      </c>
    </row>
    <row r="915" spans="1:23" x14ac:dyDescent="0.35">
      <c r="A915" t="s">
        <v>971</v>
      </c>
      <c r="B915">
        <v>55</v>
      </c>
      <c r="C915" t="s">
        <v>27</v>
      </c>
      <c r="D915" t="s">
        <v>52</v>
      </c>
      <c r="E915" t="s">
        <v>53</v>
      </c>
      <c r="F915" t="s">
        <v>78</v>
      </c>
      <c r="G915">
        <v>128592</v>
      </c>
      <c r="H915">
        <v>15</v>
      </c>
      <c r="I915">
        <v>33</v>
      </c>
      <c r="J915">
        <v>5</v>
      </c>
      <c r="K915">
        <v>1</v>
      </c>
      <c r="L915">
        <v>1</v>
      </c>
      <c r="M915">
        <v>4</v>
      </c>
      <c r="N915" t="s">
        <v>33</v>
      </c>
      <c r="O915" t="s">
        <v>42</v>
      </c>
      <c r="P915">
        <v>25</v>
      </c>
      <c r="Q915">
        <v>39</v>
      </c>
      <c r="R915">
        <v>3</v>
      </c>
      <c r="S915" t="s">
        <v>33</v>
      </c>
      <c r="T915">
        <v>6</v>
      </c>
      <c r="U915" t="s">
        <v>31</v>
      </c>
      <c r="V915" s="1">
        <v>44688</v>
      </c>
    </row>
    <row r="916" spans="1:23" x14ac:dyDescent="0.35">
      <c r="A916" t="s">
        <v>972</v>
      </c>
      <c r="B916">
        <v>26</v>
      </c>
      <c r="C916" t="s">
        <v>44</v>
      </c>
      <c r="D916" t="s">
        <v>45</v>
      </c>
      <c r="E916" t="s">
        <v>46</v>
      </c>
      <c r="F916" t="s">
        <v>41</v>
      </c>
      <c r="G916">
        <v>62418</v>
      </c>
      <c r="H916">
        <v>2</v>
      </c>
      <c r="I916">
        <v>3</v>
      </c>
      <c r="J916">
        <v>2</v>
      </c>
      <c r="K916">
        <v>1</v>
      </c>
      <c r="L916">
        <v>3</v>
      </c>
      <c r="M916">
        <v>2</v>
      </c>
      <c r="N916" t="s">
        <v>33</v>
      </c>
      <c r="O916" t="s">
        <v>42</v>
      </c>
      <c r="P916">
        <v>28</v>
      </c>
      <c r="Q916">
        <v>38</v>
      </c>
      <c r="R916">
        <v>3</v>
      </c>
      <c r="S916" t="s">
        <v>31</v>
      </c>
      <c r="T916">
        <v>4</v>
      </c>
      <c r="U916" t="s">
        <v>31</v>
      </c>
      <c r="V916" s="1">
        <v>43724</v>
      </c>
    </row>
    <row r="917" spans="1:23" x14ac:dyDescent="0.35">
      <c r="A917" t="s">
        <v>973</v>
      </c>
      <c r="B917">
        <v>32</v>
      </c>
      <c r="C917" t="s">
        <v>44</v>
      </c>
      <c r="D917" t="s">
        <v>35</v>
      </c>
      <c r="E917" t="s">
        <v>85</v>
      </c>
      <c r="F917" t="s">
        <v>41</v>
      </c>
      <c r="G917">
        <v>79504</v>
      </c>
      <c r="H917">
        <v>6</v>
      </c>
      <c r="I917">
        <v>10</v>
      </c>
      <c r="J917">
        <v>3</v>
      </c>
      <c r="K917">
        <v>2</v>
      </c>
      <c r="L917">
        <v>3</v>
      </c>
      <c r="M917">
        <v>4</v>
      </c>
      <c r="N917" t="s">
        <v>31</v>
      </c>
      <c r="O917" t="s">
        <v>32</v>
      </c>
      <c r="P917">
        <v>7</v>
      </c>
      <c r="Q917">
        <v>52</v>
      </c>
      <c r="R917">
        <v>3</v>
      </c>
      <c r="S917" t="s">
        <v>33</v>
      </c>
      <c r="T917">
        <v>4</v>
      </c>
      <c r="U917" t="s">
        <v>31</v>
      </c>
      <c r="V917" s="1">
        <v>41978</v>
      </c>
    </row>
    <row r="918" spans="1:23" x14ac:dyDescent="0.35">
      <c r="A918" t="s">
        <v>974</v>
      </c>
      <c r="B918">
        <v>33</v>
      </c>
      <c r="C918" t="s">
        <v>44</v>
      </c>
      <c r="D918" t="s">
        <v>39</v>
      </c>
      <c r="E918" t="s">
        <v>74</v>
      </c>
      <c r="F918" t="s">
        <v>41</v>
      </c>
      <c r="G918">
        <v>79628</v>
      </c>
      <c r="H918">
        <v>5</v>
      </c>
      <c r="I918">
        <v>10</v>
      </c>
      <c r="J918">
        <v>3</v>
      </c>
      <c r="K918">
        <v>2</v>
      </c>
      <c r="L918">
        <v>4</v>
      </c>
      <c r="M918">
        <v>2</v>
      </c>
      <c r="N918" t="s">
        <v>31</v>
      </c>
      <c r="O918" t="s">
        <v>32</v>
      </c>
      <c r="P918">
        <v>7</v>
      </c>
      <c r="Q918">
        <v>12</v>
      </c>
      <c r="R918">
        <v>3</v>
      </c>
      <c r="S918" t="s">
        <v>33</v>
      </c>
      <c r="T918">
        <v>6</v>
      </c>
      <c r="U918" t="s">
        <v>31</v>
      </c>
      <c r="V918" s="1">
        <v>43905</v>
      </c>
    </row>
    <row r="919" spans="1:23" x14ac:dyDescent="0.35">
      <c r="A919" t="s">
        <v>975</v>
      </c>
      <c r="B919">
        <v>38</v>
      </c>
      <c r="C919" t="s">
        <v>44</v>
      </c>
      <c r="D919" t="s">
        <v>39</v>
      </c>
      <c r="E919" t="s">
        <v>40</v>
      </c>
      <c r="F919" t="s">
        <v>41</v>
      </c>
      <c r="G919">
        <v>64121</v>
      </c>
      <c r="H919">
        <v>3</v>
      </c>
      <c r="I919">
        <v>14</v>
      </c>
      <c r="J919">
        <v>2</v>
      </c>
      <c r="K919">
        <v>2</v>
      </c>
      <c r="L919">
        <v>1</v>
      </c>
      <c r="M919">
        <v>2</v>
      </c>
      <c r="N919" t="s">
        <v>31</v>
      </c>
      <c r="O919" t="s">
        <v>42</v>
      </c>
      <c r="P919">
        <v>1</v>
      </c>
      <c r="Q919">
        <v>56</v>
      </c>
      <c r="R919">
        <v>2</v>
      </c>
      <c r="S919" t="s">
        <v>31</v>
      </c>
      <c r="T919">
        <v>7</v>
      </c>
      <c r="U919" t="s">
        <v>31</v>
      </c>
      <c r="V919" s="1">
        <v>42402</v>
      </c>
    </row>
    <row r="920" spans="1:23" x14ac:dyDescent="0.35">
      <c r="A920" t="s">
        <v>976</v>
      </c>
      <c r="B920">
        <v>22</v>
      </c>
      <c r="C920" t="s">
        <v>27</v>
      </c>
      <c r="D920" t="s">
        <v>49</v>
      </c>
      <c r="E920" t="s">
        <v>50</v>
      </c>
      <c r="F920" t="s">
        <v>41</v>
      </c>
      <c r="G920">
        <v>54891</v>
      </c>
      <c r="H920">
        <v>0</v>
      </c>
      <c r="I920">
        <v>1</v>
      </c>
      <c r="J920">
        <v>2</v>
      </c>
      <c r="K920">
        <v>3</v>
      </c>
      <c r="L920">
        <v>4</v>
      </c>
      <c r="M920">
        <v>3</v>
      </c>
      <c r="N920" t="s">
        <v>31</v>
      </c>
      <c r="O920" t="s">
        <v>42</v>
      </c>
      <c r="P920">
        <v>1</v>
      </c>
      <c r="Q920">
        <v>43</v>
      </c>
      <c r="R920">
        <v>3</v>
      </c>
      <c r="S920" t="s">
        <v>31</v>
      </c>
      <c r="T920">
        <v>5</v>
      </c>
      <c r="U920" t="s">
        <v>31</v>
      </c>
      <c r="V920" s="1">
        <v>44902</v>
      </c>
    </row>
    <row r="921" spans="1:23" x14ac:dyDescent="0.35">
      <c r="A921" t="s">
        <v>977</v>
      </c>
      <c r="B921">
        <v>24</v>
      </c>
      <c r="C921" t="s">
        <v>44</v>
      </c>
      <c r="D921" t="s">
        <v>49</v>
      </c>
      <c r="E921" t="s">
        <v>68</v>
      </c>
      <c r="F921" t="s">
        <v>56</v>
      </c>
      <c r="G921">
        <v>44168</v>
      </c>
      <c r="H921">
        <v>2</v>
      </c>
      <c r="I921">
        <v>2</v>
      </c>
      <c r="J921">
        <v>1</v>
      </c>
      <c r="K921">
        <v>3</v>
      </c>
      <c r="L921">
        <v>4</v>
      </c>
      <c r="M921">
        <v>2</v>
      </c>
      <c r="N921" t="s">
        <v>31</v>
      </c>
      <c r="O921" t="s">
        <v>47</v>
      </c>
      <c r="P921">
        <v>13</v>
      </c>
      <c r="Q921">
        <v>25</v>
      </c>
      <c r="R921">
        <v>3</v>
      </c>
      <c r="S921" t="s">
        <v>31</v>
      </c>
      <c r="T921">
        <v>3</v>
      </c>
      <c r="U921" t="s">
        <v>33</v>
      </c>
      <c r="V921" s="1">
        <v>43993</v>
      </c>
      <c r="W921" s="1">
        <v>44992</v>
      </c>
    </row>
    <row r="922" spans="1:23" x14ac:dyDescent="0.35">
      <c r="A922" t="s">
        <v>978</v>
      </c>
      <c r="B922">
        <v>53</v>
      </c>
      <c r="C922" t="s">
        <v>27</v>
      </c>
      <c r="D922" t="s">
        <v>39</v>
      </c>
      <c r="E922" t="s">
        <v>40</v>
      </c>
      <c r="F922" t="s">
        <v>37</v>
      </c>
      <c r="G922">
        <v>148805</v>
      </c>
      <c r="H922">
        <v>23</v>
      </c>
      <c r="I922">
        <v>32</v>
      </c>
      <c r="J922">
        <v>5</v>
      </c>
      <c r="K922">
        <v>4</v>
      </c>
      <c r="L922">
        <v>2</v>
      </c>
      <c r="M922">
        <v>1</v>
      </c>
      <c r="N922" t="s">
        <v>33</v>
      </c>
      <c r="O922" t="s">
        <v>32</v>
      </c>
      <c r="P922">
        <v>3</v>
      </c>
      <c r="Q922">
        <v>22</v>
      </c>
      <c r="R922">
        <v>2</v>
      </c>
      <c r="S922" t="s">
        <v>31</v>
      </c>
      <c r="T922">
        <v>4</v>
      </c>
      <c r="U922" t="s">
        <v>31</v>
      </c>
      <c r="V922" s="1">
        <v>44862</v>
      </c>
    </row>
    <row r="923" spans="1:23" x14ac:dyDescent="0.35">
      <c r="A923" t="s">
        <v>979</v>
      </c>
      <c r="B923">
        <v>40</v>
      </c>
      <c r="C923" t="s">
        <v>27</v>
      </c>
      <c r="D923" t="s">
        <v>49</v>
      </c>
      <c r="E923" t="s">
        <v>68</v>
      </c>
      <c r="F923" t="s">
        <v>78</v>
      </c>
      <c r="G923">
        <v>60814</v>
      </c>
      <c r="H923">
        <v>2</v>
      </c>
      <c r="I923">
        <v>16</v>
      </c>
      <c r="J923">
        <v>2</v>
      </c>
      <c r="K923">
        <v>4</v>
      </c>
      <c r="L923">
        <v>1</v>
      </c>
      <c r="M923">
        <v>3</v>
      </c>
      <c r="N923" t="s">
        <v>31</v>
      </c>
      <c r="O923" t="s">
        <v>32</v>
      </c>
      <c r="P923">
        <v>29</v>
      </c>
      <c r="Q923">
        <v>53</v>
      </c>
      <c r="R923">
        <v>3</v>
      </c>
      <c r="S923" t="s">
        <v>31</v>
      </c>
      <c r="T923">
        <v>4</v>
      </c>
      <c r="U923" t="s">
        <v>31</v>
      </c>
      <c r="V923" s="1">
        <v>43876</v>
      </c>
    </row>
    <row r="924" spans="1:23" x14ac:dyDescent="0.35">
      <c r="A924" t="s">
        <v>980</v>
      </c>
      <c r="B924">
        <v>28</v>
      </c>
      <c r="C924" t="s">
        <v>27</v>
      </c>
      <c r="D924" t="s">
        <v>35</v>
      </c>
      <c r="E924" t="s">
        <v>85</v>
      </c>
      <c r="F924" t="s">
        <v>37</v>
      </c>
      <c r="G924">
        <v>56382</v>
      </c>
      <c r="H924">
        <v>2</v>
      </c>
      <c r="I924">
        <v>5</v>
      </c>
      <c r="J924">
        <v>2</v>
      </c>
      <c r="K924">
        <v>3</v>
      </c>
      <c r="L924">
        <v>1</v>
      </c>
      <c r="M924">
        <v>2</v>
      </c>
      <c r="N924" t="s">
        <v>31</v>
      </c>
      <c r="O924" t="s">
        <v>42</v>
      </c>
      <c r="P924">
        <v>4</v>
      </c>
      <c r="Q924">
        <v>36</v>
      </c>
      <c r="R924">
        <v>3</v>
      </c>
      <c r="S924" t="s">
        <v>31</v>
      </c>
      <c r="T924">
        <v>4</v>
      </c>
      <c r="U924" t="s">
        <v>31</v>
      </c>
      <c r="V924" s="1">
        <v>41349</v>
      </c>
    </row>
    <row r="925" spans="1:23" x14ac:dyDescent="0.35">
      <c r="A925" t="s">
        <v>981</v>
      </c>
      <c r="B925">
        <v>33</v>
      </c>
      <c r="C925" t="s">
        <v>44</v>
      </c>
      <c r="D925" t="s">
        <v>35</v>
      </c>
      <c r="E925" t="s">
        <v>85</v>
      </c>
      <c r="F925" t="s">
        <v>56</v>
      </c>
      <c r="G925">
        <v>103194</v>
      </c>
      <c r="H925">
        <v>9</v>
      </c>
      <c r="I925">
        <v>11</v>
      </c>
      <c r="J925">
        <v>4</v>
      </c>
      <c r="K925">
        <v>1</v>
      </c>
      <c r="L925">
        <v>2</v>
      </c>
      <c r="M925">
        <v>3</v>
      </c>
      <c r="N925" t="s">
        <v>31</v>
      </c>
      <c r="O925" t="s">
        <v>32</v>
      </c>
      <c r="P925">
        <v>14</v>
      </c>
      <c r="Q925">
        <v>12</v>
      </c>
      <c r="R925">
        <v>3</v>
      </c>
      <c r="S925" t="s">
        <v>33</v>
      </c>
      <c r="T925">
        <v>3</v>
      </c>
      <c r="U925" t="s">
        <v>31</v>
      </c>
      <c r="V925" s="1">
        <v>45174</v>
      </c>
    </row>
    <row r="926" spans="1:23" x14ac:dyDescent="0.35">
      <c r="A926" t="s">
        <v>982</v>
      </c>
      <c r="B926">
        <v>39</v>
      </c>
      <c r="C926" t="s">
        <v>44</v>
      </c>
      <c r="D926" t="s">
        <v>52</v>
      </c>
      <c r="E926" t="s">
        <v>55</v>
      </c>
      <c r="F926" t="s">
        <v>78</v>
      </c>
      <c r="G926">
        <v>57286</v>
      </c>
      <c r="H926">
        <v>2</v>
      </c>
      <c r="I926">
        <v>15</v>
      </c>
      <c r="J926">
        <v>2</v>
      </c>
      <c r="K926">
        <v>3</v>
      </c>
      <c r="L926">
        <v>1</v>
      </c>
      <c r="M926">
        <v>3</v>
      </c>
      <c r="N926" t="s">
        <v>33</v>
      </c>
      <c r="O926" t="s">
        <v>47</v>
      </c>
      <c r="P926">
        <v>29</v>
      </c>
      <c r="Q926">
        <v>44</v>
      </c>
      <c r="R926">
        <v>3</v>
      </c>
      <c r="S926" t="s">
        <v>31</v>
      </c>
      <c r="T926">
        <v>10</v>
      </c>
      <c r="U926" t="s">
        <v>31</v>
      </c>
      <c r="V926" s="1">
        <v>43900</v>
      </c>
    </row>
    <row r="927" spans="1:23" x14ac:dyDescent="0.35">
      <c r="A927" t="s">
        <v>983</v>
      </c>
      <c r="B927">
        <v>31</v>
      </c>
      <c r="C927" t="s">
        <v>44</v>
      </c>
      <c r="D927" t="s">
        <v>49</v>
      </c>
      <c r="E927" t="s">
        <v>68</v>
      </c>
      <c r="F927" t="s">
        <v>37</v>
      </c>
      <c r="G927">
        <v>61057</v>
      </c>
      <c r="H927">
        <v>4</v>
      </c>
      <c r="I927">
        <v>9</v>
      </c>
      <c r="J927">
        <v>2</v>
      </c>
      <c r="K927">
        <v>4</v>
      </c>
      <c r="L927">
        <v>4</v>
      </c>
      <c r="M927">
        <v>3</v>
      </c>
      <c r="N927" t="s">
        <v>33</v>
      </c>
      <c r="O927" t="s">
        <v>32</v>
      </c>
      <c r="P927">
        <v>13</v>
      </c>
      <c r="Q927">
        <v>48</v>
      </c>
      <c r="R927">
        <v>4</v>
      </c>
      <c r="S927" t="s">
        <v>31</v>
      </c>
      <c r="T927">
        <v>6</v>
      </c>
      <c r="U927" t="s">
        <v>31</v>
      </c>
      <c r="V927" s="1">
        <v>44301</v>
      </c>
    </row>
    <row r="928" spans="1:23" x14ac:dyDescent="0.35">
      <c r="A928" t="s">
        <v>984</v>
      </c>
      <c r="B928">
        <v>44</v>
      </c>
      <c r="C928" t="s">
        <v>27</v>
      </c>
      <c r="D928" t="s">
        <v>49</v>
      </c>
      <c r="E928" t="s">
        <v>50</v>
      </c>
      <c r="F928" t="s">
        <v>37</v>
      </c>
      <c r="G928">
        <v>130141</v>
      </c>
      <c r="H928">
        <v>14</v>
      </c>
      <c r="I928">
        <v>20</v>
      </c>
      <c r="J928">
        <v>5</v>
      </c>
      <c r="K928">
        <v>2</v>
      </c>
      <c r="L928">
        <v>3</v>
      </c>
      <c r="M928">
        <v>1</v>
      </c>
      <c r="N928" t="s">
        <v>33</v>
      </c>
      <c r="O928" t="s">
        <v>32</v>
      </c>
      <c r="P928">
        <v>27</v>
      </c>
      <c r="Q928">
        <v>11</v>
      </c>
      <c r="R928">
        <v>3</v>
      </c>
      <c r="S928" t="s">
        <v>33</v>
      </c>
      <c r="T928">
        <v>8</v>
      </c>
      <c r="U928" t="s">
        <v>31</v>
      </c>
      <c r="V928" s="1">
        <v>42977</v>
      </c>
    </row>
    <row r="929" spans="1:23" x14ac:dyDescent="0.35">
      <c r="A929" t="s">
        <v>985</v>
      </c>
      <c r="B929">
        <v>58</v>
      </c>
      <c r="C929" t="s">
        <v>27</v>
      </c>
      <c r="D929" t="s">
        <v>49</v>
      </c>
      <c r="E929" t="s">
        <v>68</v>
      </c>
      <c r="F929" t="s">
        <v>78</v>
      </c>
      <c r="G929">
        <v>140017</v>
      </c>
      <c r="H929">
        <v>20</v>
      </c>
      <c r="I929">
        <v>35</v>
      </c>
      <c r="J929">
        <v>5</v>
      </c>
      <c r="K929">
        <v>1</v>
      </c>
      <c r="L929">
        <v>3</v>
      </c>
      <c r="M929">
        <v>1</v>
      </c>
      <c r="N929" t="s">
        <v>31</v>
      </c>
      <c r="O929" t="s">
        <v>47</v>
      </c>
      <c r="P929">
        <v>14</v>
      </c>
      <c r="Q929">
        <v>28</v>
      </c>
      <c r="R929">
        <v>4</v>
      </c>
      <c r="S929" t="s">
        <v>31</v>
      </c>
      <c r="T929">
        <v>2</v>
      </c>
      <c r="U929" t="s">
        <v>31</v>
      </c>
      <c r="V929" s="1">
        <v>41413</v>
      </c>
    </row>
    <row r="930" spans="1:23" x14ac:dyDescent="0.35">
      <c r="A930" t="s">
        <v>986</v>
      </c>
      <c r="B930">
        <v>57</v>
      </c>
      <c r="C930" t="s">
        <v>44</v>
      </c>
      <c r="D930" t="s">
        <v>39</v>
      </c>
      <c r="E930" t="s">
        <v>74</v>
      </c>
      <c r="F930" t="s">
        <v>56</v>
      </c>
      <c r="G930">
        <v>129422</v>
      </c>
      <c r="H930">
        <v>15</v>
      </c>
      <c r="I930">
        <v>33</v>
      </c>
      <c r="J930">
        <v>5</v>
      </c>
      <c r="K930">
        <v>1</v>
      </c>
      <c r="L930">
        <v>1</v>
      </c>
      <c r="M930">
        <v>2</v>
      </c>
      <c r="N930" t="s">
        <v>31</v>
      </c>
      <c r="O930" t="s">
        <v>32</v>
      </c>
      <c r="P930">
        <v>20</v>
      </c>
      <c r="Q930">
        <v>37</v>
      </c>
      <c r="R930">
        <v>3</v>
      </c>
      <c r="S930" t="s">
        <v>31</v>
      </c>
      <c r="T930">
        <v>1</v>
      </c>
      <c r="U930" t="s">
        <v>31</v>
      </c>
      <c r="V930" s="1">
        <v>45202</v>
      </c>
    </row>
    <row r="931" spans="1:23" x14ac:dyDescent="0.35">
      <c r="A931" t="s">
        <v>987</v>
      </c>
      <c r="B931">
        <v>24</v>
      </c>
      <c r="C931" t="s">
        <v>44</v>
      </c>
      <c r="D931" t="s">
        <v>52</v>
      </c>
      <c r="E931" t="s">
        <v>53</v>
      </c>
      <c r="F931" t="s">
        <v>30</v>
      </c>
      <c r="G931">
        <v>61459</v>
      </c>
      <c r="H931">
        <v>1</v>
      </c>
      <c r="I931">
        <v>1</v>
      </c>
      <c r="J931">
        <v>2</v>
      </c>
      <c r="K931">
        <v>3</v>
      </c>
      <c r="L931">
        <v>1</v>
      </c>
      <c r="M931">
        <v>2</v>
      </c>
      <c r="N931" t="s">
        <v>31</v>
      </c>
      <c r="O931" t="s">
        <v>32</v>
      </c>
      <c r="P931">
        <v>9</v>
      </c>
      <c r="Q931">
        <v>31</v>
      </c>
      <c r="R931">
        <v>3</v>
      </c>
      <c r="S931" t="s">
        <v>31</v>
      </c>
      <c r="T931">
        <v>3</v>
      </c>
      <c r="U931" t="s">
        <v>31</v>
      </c>
      <c r="V931" s="1">
        <v>43042</v>
      </c>
    </row>
    <row r="932" spans="1:23" x14ac:dyDescent="0.35">
      <c r="A932" t="s">
        <v>988</v>
      </c>
      <c r="B932">
        <v>26</v>
      </c>
      <c r="C932" t="s">
        <v>27</v>
      </c>
      <c r="D932" t="s">
        <v>45</v>
      </c>
      <c r="E932" t="s">
        <v>46</v>
      </c>
      <c r="F932" t="s">
        <v>61</v>
      </c>
      <c r="G932">
        <v>41320</v>
      </c>
      <c r="H932">
        <v>0</v>
      </c>
      <c r="I932">
        <v>3</v>
      </c>
      <c r="J932">
        <v>1</v>
      </c>
      <c r="K932">
        <v>3</v>
      </c>
      <c r="L932">
        <v>2</v>
      </c>
      <c r="M932">
        <v>2</v>
      </c>
      <c r="N932" t="s">
        <v>31</v>
      </c>
      <c r="O932" t="s">
        <v>47</v>
      </c>
      <c r="P932">
        <v>29</v>
      </c>
      <c r="Q932">
        <v>22</v>
      </c>
      <c r="R932">
        <v>3</v>
      </c>
      <c r="S932" t="s">
        <v>31</v>
      </c>
      <c r="T932">
        <v>5</v>
      </c>
      <c r="U932" t="s">
        <v>31</v>
      </c>
      <c r="V932" s="1">
        <v>44075</v>
      </c>
    </row>
    <row r="933" spans="1:23" x14ac:dyDescent="0.35">
      <c r="A933" t="s">
        <v>989</v>
      </c>
      <c r="B933">
        <v>48</v>
      </c>
      <c r="C933" t="s">
        <v>44</v>
      </c>
      <c r="D933" t="s">
        <v>49</v>
      </c>
      <c r="E933" t="s">
        <v>68</v>
      </c>
      <c r="F933" t="s">
        <v>61</v>
      </c>
      <c r="G933">
        <v>57679</v>
      </c>
      <c r="H933">
        <v>2</v>
      </c>
      <c r="I933">
        <v>24</v>
      </c>
      <c r="J933">
        <v>2</v>
      </c>
      <c r="K933">
        <v>4</v>
      </c>
      <c r="L933">
        <v>2</v>
      </c>
      <c r="M933">
        <v>4</v>
      </c>
      <c r="N933" t="s">
        <v>31</v>
      </c>
      <c r="O933" t="s">
        <v>47</v>
      </c>
      <c r="P933">
        <v>10</v>
      </c>
      <c r="Q933">
        <v>29</v>
      </c>
      <c r="R933">
        <v>3</v>
      </c>
      <c r="S933" t="s">
        <v>31</v>
      </c>
      <c r="T933">
        <v>9</v>
      </c>
      <c r="U933" t="s">
        <v>31</v>
      </c>
      <c r="V933" s="1">
        <v>41139</v>
      </c>
    </row>
    <row r="934" spans="1:23" x14ac:dyDescent="0.35">
      <c r="A934" t="s">
        <v>990</v>
      </c>
      <c r="B934">
        <v>32</v>
      </c>
      <c r="C934" t="s">
        <v>27</v>
      </c>
      <c r="D934" t="s">
        <v>45</v>
      </c>
      <c r="E934" t="s">
        <v>46</v>
      </c>
      <c r="F934" t="s">
        <v>78</v>
      </c>
      <c r="G934">
        <v>58628</v>
      </c>
      <c r="H934">
        <v>1</v>
      </c>
      <c r="I934">
        <v>10</v>
      </c>
      <c r="J934">
        <v>2</v>
      </c>
      <c r="K934">
        <v>1</v>
      </c>
      <c r="L934">
        <v>3</v>
      </c>
      <c r="M934">
        <v>4</v>
      </c>
      <c r="N934" t="s">
        <v>31</v>
      </c>
      <c r="O934" t="s">
        <v>32</v>
      </c>
      <c r="P934">
        <v>27</v>
      </c>
      <c r="Q934">
        <v>31</v>
      </c>
      <c r="R934">
        <v>2</v>
      </c>
      <c r="S934" t="s">
        <v>31</v>
      </c>
      <c r="T934">
        <v>6</v>
      </c>
      <c r="U934" t="s">
        <v>31</v>
      </c>
      <c r="V934" s="1">
        <v>44890</v>
      </c>
    </row>
    <row r="935" spans="1:23" x14ac:dyDescent="0.35">
      <c r="A935" t="s">
        <v>991</v>
      </c>
      <c r="B935">
        <v>30</v>
      </c>
      <c r="C935" t="s">
        <v>27</v>
      </c>
      <c r="D935" t="s">
        <v>35</v>
      </c>
      <c r="E935" t="s">
        <v>36</v>
      </c>
      <c r="F935" t="s">
        <v>30</v>
      </c>
      <c r="G935">
        <v>98699</v>
      </c>
      <c r="H935">
        <v>8</v>
      </c>
      <c r="I935">
        <v>9</v>
      </c>
      <c r="J935">
        <v>4</v>
      </c>
      <c r="K935">
        <v>1</v>
      </c>
      <c r="L935">
        <v>2</v>
      </c>
      <c r="M935">
        <v>3</v>
      </c>
      <c r="N935" t="s">
        <v>31</v>
      </c>
      <c r="O935" t="s">
        <v>32</v>
      </c>
      <c r="P935">
        <v>1</v>
      </c>
      <c r="Q935">
        <v>54</v>
      </c>
      <c r="R935">
        <v>3</v>
      </c>
      <c r="S935" t="s">
        <v>31</v>
      </c>
      <c r="T935">
        <v>13</v>
      </c>
      <c r="U935" t="s">
        <v>31</v>
      </c>
      <c r="V935" s="1">
        <v>44635</v>
      </c>
    </row>
    <row r="936" spans="1:23" x14ac:dyDescent="0.35">
      <c r="A936" t="s">
        <v>992</v>
      </c>
      <c r="B936">
        <v>25</v>
      </c>
      <c r="C936" t="s">
        <v>27</v>
      </c>
      <c r="D936" t="s">
        <v>49</v>
      </c>
      <c r="E936" t="s">
        <v>68</v>
      </c>
      <c r="F936" t="s">
        <v>78</v>
      </c>
      <c r="G936">
        <v>58081</v>
      </c>
      <c r="H936">
        <v>2</v>
      </c>
      <c r="I936">
        <v>2</v>
      </c>
      <c r="J936">
        <v>2</v>
      </c>
      <c r="K936">
        <v>3</v>
      </c>
      <c r="L936">
        <v>4</v>
      </c>
      <c r="M936">
        <v>1</v>
      </c>
      <c r="N936" t="s">
        <v>31</v>
      </c>
      <c r="O936" t="s">
        <v>32</v>
      </c>
      <c r="P936">
        <v>22</v>
      </c>
      <c r="Q936">
        <v>50</v>
      </c>
      <c r="R936">
        <v>3</v>
      </c>
      <c r="S936" t="s">
        <v>31</v>
      </c>
      <c r="T936">
        <v>4</v>
      </c>
      <c r="U936" t="s">
        <v>31</v>
      </c>
      <c r="V936" s="1">
        <v>43651</v>
      </c>
    </row>
    <row r="937" spans="1:23" x14ac:dyDescent="0.35">
      <c r="A937" t="s">
        <v>993</v>
      </c>
      <c r="B937">
        <v>55</v>
      </c>
      <c r="C937" t="s">
        <v>27</v>
      </c>
      <c r="D937" t="s">
        <v>45</v>
      </c>
      <c r="E937" t="s">
        <v>63</v>
      </c>
      <c r="F937" t="s">
        <v>37</v>
      </c>
      <c r="G937">
        <v>125040</v>
      </c>
      <c r="H937">
        <v>12</v>
      </c>
      <c r="I937">
        <v>31</v>
      </c>
      <c r="J937">
        <v>5</v>
      </c>
      <c r="K937">
        <v>3</v>
      </c>
      <c r="L937">
        <v>2</v>
      </c>
      <c r="M937">
        <v>4</v>
      </c>
      <c r="N937" t="s">
        <v>31</v>
      </c>
      <c r="O937" t="s">
        <v>32</v>
      </c>
      <c r="P937">
        <v>7</v>
      </c>
      <c r="Q937">
        <v>32</v>
      </c>
      <c r="R937">
        <v>3</v>
      </c>
      <c r="S937" t="s">
        <v>33</v>
      </c>
      <c r="T937">
        <v>4</v>
      </c>
      <c r="U937" t="s">
        <v>31</v>
      </c>
      <c r="V937" s="1">
        <v>43298</v>
      </c>
    </row>
    <row r="938" spans="1:23" x14ac:dyDescent="0.35">
      <c r="A938" t="s">
        <v>994</v>
      </c>
      <c r="B938">
        <v>43</v>
      </c>
      <c r="C938" t="s">
        <v>27</v>
      </c>
      <c r="D938" t="s">
        <v>45</v>
      </c>
      <c r="E938" t="s">
        <v>46</v>
      </c>
      <c r="F938" t="s">
        <v>30</v>
      </c>
      <c r="G938">
        <v>134453</v>
      </c>
      <c r="H938">
        <v>16</v>
      </c>
      <c r="I938">
        <v>20</v>
      </c>
      <c r="J938">
        <v>5</v>
      </c>
      <c r="K938">
        <v>4</v>
      </c>
      <c r="L938">
        <v>3</v>
      </c>
      <c r="M938">
        <v>4</v>
      </c>
      <c r="N938" t="s">
        <v>31</v>
      </c>
      <c r="O938" t="s">
        <v>42</v>
      </c>
      <c r="P938">
        <v>14</v>
      </c>
      <c r="Q938">
        <v>53</v>
      </c>
      <c r="R938">
        <v>3</v>
      </c>
      <c r="S938" t="s">
        <v>31</v>
      </c>
      <c r="T938">
        <v>3</v>
      </c>
      <c r="U938" t="s">
        <v>33</v>
      </c>
      <c r="V938" s="1">
        <v>45195</v>
      </c>
      <c r="W938" s="1">
        <v>45938</v>
      </c>
    </row>
    <row r="939" spans="1:23" x14ac:dyDescent="0.35">
      <c r="A939" t="s">
        <v>995</v>
      </c>
      <c r="B939">
        <v>36</v>
      </c>
      <c r="C939" t="s">
        <v>27</v>
      </c>
      <c r="D939" t="s">
        <v>28</v>
      </c>
      <c r="E939" t="s">
        <v>29</v>
      </c>
      <c r="F939" t="s">
        <v>30</v>
      </c>
      <c r="G939">
        <v>66885</v>
      </c>
      <c r="H939">
        <v>5</v>
      </c>
      <c r="I939">
        <v>14</v>
      </c>
      <c r="J939">
        <v>2</v>
      </c>
      <c r="K939">
        <v>3</v>
      </c>
      <c r="L939">
        <v>2</v>
      </c>
      <c r="M939">
        <v>2</v>
      </c>
      <c r="N939" t="s">
        <v>31</v>
      </c>
      <c r="O939" t="s">
        <v>32</v>
      </c>
      <c r="P939">
        <v>13</v>
      </c>
      <c r="Q939">
        <v>16</v>
      </c>
      <c r="R939">
        <v>3</v>
      </c>
      <c r="S939" t="s">
        <v>31</v>
      </c>
      <c r="T939">
        <v>4</v>
      </c>
      <c r="U939" t="s">
        <v>31</v>
      </c>
      <c r="V939" s="1">
        <v>43926</v>
      </c>
    </row>
    <row r="940" spans="1:23" x14ac:dyDescent="0.35">
      <c r="A940" t="s">
        <v>996</v>
      </c>
      <c r="B940">
        <v>54</v>
      </c>
      <c r="C940" t="s">
        <v>27</v>
      </c>
      <c r="D940" t="s">
        <v>49</v>
      </c>
      <c r="E940" t="s">
        <v>50</v>
      </c>
      <c r="F940" t="s">
        <v>78</v>
      </c>
      <c r="G940">
        <v>128323</v>
      </c>
      <c r="H940">
        <v>15</v>
      </c>
      <c r="I940">
        <v>33</v>
      </c>
      <c r="J940">
        <v>5</v>
      </c>
      <c r="K940">
        <v>2</v>
      </c>
      <c r="L940">
        <v>3</v>
      </c>
      <c r="M940">
        <v>1</v>
      </c>
      <c r="N940" t="s">
        <v>31</v>
      </c>
      <c r="O940" t="s">
        <v>47</v>
      </c>
      <c r="P940">
        <v>20</v>
      </c>
      <c r="Q940">
        <v>11</v>
      </c>
      <c r="R940">
        <v>3</v>
      </c>
      <c r="S940" t="s">
        <v>33</v>
      </c>
      <c r="T940">
        <v>2</v>
      </c>
      <c r="U940" t="s">
        <v>31</v>
      </c>
      <c r="V940" s="1">
        <v>40940</v>
      </c>
    </row>
    <row r="941" spans="1:23" x14ac:dyDescent="0.35">
      <c r="A941" t="s">
        <v>997</v>
      </c>
      <c r="B941">
        <v>57</v>
      </c>
      <c r="C941" t="s">
        <v>44</v>
      </c>
      <c r="D941" t="s">
        <v>49</v>
      </c>
      <c r="E941" t="s">
        <v>68</v>
      </c>
      <c r="F941" t="s">
        <v>56</v>
      </c>
      <c r="G941">
        <v>57909</v>
      </c>
      <c r="H941">
        <v>1</v>
      </c>
      <c r="I941">
        <v>34</v>
      </c>
      <c r="J941">
        <v>2</v>
      </c>
      <c r="K941">
        <v>4</v>
      </c>
      <c r="L941">
        <v>3</v>
      </c>
      <c r="M941">
        <v>1</v>
      </c>
      <c r="N941" t="s">
        <v>31</v>
      </c>
      <c r="O941" t="s">
        <v>32</v>
      </c>
      <c r="P941">
        <v>1</v>
      </c>
      <c r="Q941">
        <v>24</v>
      </c>
      <c r="R941">
        <v>3</v>
      </c>
      <c r="S941" t="s">
        <v>31</v>
      </c>
      <c r="T941">
        <v>4</v>
      </c>
      <c r="U941" t="s">
        <v>31</v>
      </c>
      <c r="V941" s="1">
        <v>41697</v>
      </c>
    </row>
    <row r="942" spans="1:23" x14ac:dyDescent="0.35">
      <c r="A942" t="s">
        <v>998</v>
      </c>
      <c r="B942">
        <v>59</v>
      </c>
      <c r="C942" t="s">
        <v>27</v>
      </c>
      <c r="D942" t="s">
        <v>28</v>
      </c>
      <c r="E942" t="s">
        <v>29</v>
      </c>
      <c r="F942" t="s">
        <v>56</v>
      </c>
      <c r="G942">
        <v>142203</v>
      </c>
      <c r="H942">
        <v>20</v>
      </c>
      <c r="I942">
        <v>36</v>
      </c>
      <c r="J942">
        <v>5</v>
      </c>
      <c r="K942">
        <v>1</v>
      </c>
      <c r="L942">
        <v>3</v>
      </c>
      <c r="M942">
        <v>4</v>
      </c>
      <c r="N942" t="s">
        <v>31</v>
      </c>
      <c r="O942" t="s">
        <v>42</v>
      </c>
      <c r="P942">
        <v>25</v>
      </c>
      <c r="Q942">
        <v>41</v>
      </c>
      <c r="R942">
        <v>3</v>
      </c>
      <c r="S942" t="s">
        <v>33</v>
      </c>
      <c r="T942">
        <v>3</v>
      </c>
      <c r="U942" t="s">
        <v>33</v>
      </c>
      <c r="V942" s="1">
        <v>42840</v>
      </c>
      <c r="W942" s="1">
        <v>43387</v>
      </c>
    </row>
    <row r="943" spans="1:23" x14ac:dyDescent="0.35">
      <c r="A943" t="s">
        <v>999</v>
      </c>
      <c r="B943">
        <v>23</v>
      </c>
      <c r="C943" t="s">
        <v>27</v>
      </c>
      <c r="D943" t="s">
        <v>52</v>
      </c>
      <c r="E943" t="s">
        <v>55</v>
      </c>
      <c r="F943" t="s">
        <v>61</v>
      </c>
      <c r="G943">
        <v>44457</v>
      </c>
      <c r="H943">
        <v>0</v>
      </c>
      <c r="I943">
        <v>2</v>
      </c>
      <c r="J943">
        <v>1</v>
      </c>
      <c r="K943">
        <v>3</v>
      </c>
      <c r="L943">
        <v>1</v>
      </c>
      <c r="M943">
        <v>3</v>
      </c>
      <c r="N943" t="s">
        <v>31</v>
      </c>
      <c r="O943" t="s">
        <v>32</v>
      </c>
      <c r="P943">
        <v>15</v>
      </c>
      <c r="Q943">
        <v>46</v>
      </c>
      <c r="R943">
        <v>2</v>
      </c>
      <c r="S943" t="s">
        <v>31</v>
      </c>
      <c r="T943">
        <v>3</v>
      </c>
      <c r="U943" t="s">
        <v>31</v>
      </c>
      <c r="V943" s="1">
        <v>44276</v>
      </c>
    </row>
    <row r="944" spans="1:23" x14ac:dyDescent="0.35">
      <c r="A944" t="s">
        <v>1000</v>
      </c>
      <c r="B944">
        <v>32</v>
      </c>
      <c r="C944" t="s">
        <v>27</v>
      </c>
      <c r="D944" t="s">
        <v>35</v>
      </c>
      <c r="E944" t="s">
        <v>85</v>
      </c>
      <c r="F944" t="s">
        <v>30</v>
      </c>
      <c r="G944">
        <v>42154</v>
      </c>
      <c r="H944">
        <v>0</v>
      </c>
      <c r="I944">
        <v>9</v>
      </c>
      <c r="J944">
        <v>1</v>
      </c>
      <c r="K944">
        <v>2</v>
      </c>
      <c r="L944">
        <v>4</v>
      </c>
      <c r="M944">
        <v>4</v>
      </c>
      <c r="N944" t="s">
        <v>31</v>
      </c>
      <c r="O944" t="s">
        <v>32</v>
      </c>
      <c r="P944">
        <v>16</v>
      </c>
      <c r="Q944">
        <v>36</v>
      </c>
      <c r="R944">
        <v>3</v>
      </c>
      <c r="S944" t="s">
        <v>31</v>
      </c>
      <c r="T944">
        <v>4</v>
      </c>
      <c r="U944" t="s">
        <v>31</v>
      </c>
      <c r="V944" s="1">
        <v>41950</v>
      </c>
    </row>
    <row r="945" spans="1:23" x14ac:dyDescent="0.35">
      <c r="A945" t="s">
        <v>1001</v>
      </c>
      <c r="B945">
        <v>48</v>
      </c>
      <c r="C945" t="s">
        <v>27</v>
      </c>
      <c r="D945" t="s">
        <v>49</v>
      </c>
      <c r="E945" t="s">
        <v>68</v>
      </c>
      <c r="F945" t="s">
        <v>30</v>
      </c>
      <c r="G945">
        <v>134299</v>
      </c>
      <c r="H945">
        <v>15</v>
      </c>
      <c r="I945">
        <v>25</v>
      </c>
      <c r="J945">
        <v>5</v>
      </c>
      <c r="K945">
        <v>1</v>
      </c>
      <c r="L945">
        <v>2</v>
      </c>
      <c r="M945">
        <v>4</v>
      </c>
      <c r="N945" t="s">
        <v>31</v>
      </c>
      <c r="O945" t="s">
        <v>32</v>
      </c>
      <c r="P945">
        <v>4</v>
      </c>
      <c r="Q945">
        <v>29</v>
      </c>
      <c r="R945">
        <v>3</v>
      </c>
      <c r="S945" t="s">
        <v>31</v>
      </c>
      <c r="T945">
        <v>7</v>
      </c>
      <c r="U945" t="s">
        <v>31</v>
      </c>
      <c r="V945" s="1">
        <v>43953</v>
      </c>
    </row>
    <row r="946" spans="1:23" x14ac:dyDescent="0.35">
      <c r="A946" t="s">
        <v>1002</v>
      </c>
      <c r="B946">
        <v>54</v>
      </c>
      <c r="C946" t="s">
        <v>27</v>
      </c>
      <c r="D946" t="s">
        <v>39</v>
      </c>
      <c r="E946" t="s">
        <v>74</v>
      </c>
      <c r="F946" t="s">
        <v>78</v>
      </c>
      <c r="G946">
        <v>135463</v>
      </c>
      <c r="H946">
        <v>18</v>
      </c>
      <c r="I946">
        <v>31</v>
      </c>
      <c r="J946">
        <v>5</v>
      </c>
      <c r="K946">
        <v>4</v>
      </c>
      <c r="L946">
        <v>3</v>
      </c>
      <c r="M946">
        <v>4</v>
      </c>
      <c r="N946" t="s">
        <v>33</v>
      </c>
      <c r="O946" t="s">
        <v>32</v>
      </c>
      <c r="P946">
        <v>14</v>
      </c>
      <c r="Q946">
        <v>46</v>
      </c>
      <c r="R946">
        <v>2</v>
      </c>
      <c r="S946" t="s">
        <v>31</v>
      </c>
      <c r="T946">
        <v>1</v>
      </c>
      <c r="U946" t="s">
        <v>33</v>
      </c>
      <c r="V946" s="1">
        <v>43550</v>
      </c>
      <c r="W946" s="1">
        <v>44143</v>
      </c>
    </row>
    <row r="947" spans="1:23" x14ac:dyDescent="0.35">
      <c r="A947" t="s">
        <v>1003</v>
      </c>
      <c r="B947">
        <v>22</v>
      </c>
      <c r="C947" t="s">
        <v>44</v>
      </c>
      <c r="D947" t="s">
        <v>35</v>
      </c>
      <c r="E947" t="s">
        <v>36</v>
      </c>
      <c r="F947" t="s">
        <v>30</v>
      </c>
      <c r="G947">
        <v>58635</v>
      </c>
      <c r="H947">
        <v>0</v>
      </c>
      <c r="I947">
        <v>1</v>
      </c>
      <c r="J947">
        <v>2</v>
      </c>
      <c r="K947">
        <v>2</v>
      </c>
      <c r="L947">
        <v>3</v>
      </c>
      <c r="M947">
        <v>3</v>
      </c>
      <c r="N947" t="s">
        <v>31</v>
      </c>
      <c r="O947" t="s">
        <v>32</v>
      </c>
      <c r="P947">
        <v>4</v>
      </c>
      <c r="Q947">
        <v>39</v>
      </c>
      <c r="R947">
        <v>4</v>
      </c>
      <c r="S947" t="s">
        <v>31</v>
      </c>
      <c r="T947">
        <v>2</v>
      </c>
      <c r="U947" t="s">
        <v>31</v>
      </c>
      <c r="V947" s="1">
        <v>42867</v>
      </c>
    </row>
    <row r="948" spans="1:23" x14ac:dyDescent="0.35">
      <c r="A948" t="s">
        <v>1004</v>
      </c>
      <c r="B948">
        <v>37</v>
      </c>
      <c r="C948" t="s">
        <v>27</v>
      </c>
      <c r="D948" t="s">
        <v>49</v>
      </c>
      <c r="E948" t="s">
        <v>68</v>
      </c>
      <c r="F948" t="s">
        <v>61</v>
      </c>
      <c r="G948">
        <v>101903</v>
      </c>
      <c r="H948">
        <v>9</v>
      </c>
      <c r="I948">
        <v>14</v>
      </c>
      <c r="J948">
        <v>4</v>
      </c>
      <c r="K948">
        <v>2</v>
      </c>
      <c r="L948">
        <v>4</v>
      </c>
      <c r="M948">
        <v>1</v>
      </c>
      <c r="N948" t="s">
        <v>31</v>
      </c>
      <c r="O948" t="s">
        <v>32</v>
      </c>
      <c r="P948">
        <v>19</v>
      </c>
      <c r="Q948">
        <v>35</v>
      </c>
      <c r="R948">
        <v>2</v>
      </c>
      <c r="S948" t="s">
        <v>31</v>
      </c>
      <c r="T948">
        <v>6</v>
      </c>
      <c r="U948" t="s">
        <v>31</v>
      </c>
      <c r="V948" s="1">
        <v>42749</v>
      </c>
    </row>
    <row r="949" spans="1:23" x14ac:dyDescent="0.35">
      <c r="A949" t="s">
        <v>1005</v>
      </c>
      <c r="B949">
        <v>46</v>
      </c>
      <c r="C949" t="s">
        <v>27</v>
      </c>
      <c r="D949" t="s">
        <v>28</v>
      </c>
      <c r="E949" t="s">
        <v>29</v>
      </c>
      <c r="F949" t="s">
        <v>41</v>
      </c>
      <c r="G949">
        <v>73299</v>
      </c>
      <c r="H949">
        <v>3</v>
      </c>
      <c r="I949">
        <v>22</v>
      </c>
      <c r="J949">
        <v>3</v>
      </c>
      <c r="K949">
        <v>3</v>
      </c>
      <c r="L949">
        <v>3</v>
      </c>
      <c r="M949">
        <v>4</v>
      </c>
      <c r="N949" t="s">
        <v>31</v>
      </c>
      <c r="O949" t="s">
        <v>32</v>
      </c>
      <c r="P949">
        <v>16</v>
      </c>
      <c r="Q949">
        <v>34</v>
      </c>
      <c r="R949">
        <v>3</v>
      </c>
      <c r="S949" t="s">
        <v>31</v>
      </c>
      <c r="T949">
        <v>4</v>
      </c>
      <c r="U949" t="s">
        <v>33</v>
      </c>
      <c r="V949" s="1">
        <v>41712</v>
      </c>
      <c r="W949" s="1">
        <v>41839</v>
      </c>
    </row>
    <row r="950" spans="1:23" x14ac:dyDescent="0.35">
      <c r="A950" t="s">
        <v>1006</v>
      </c>
      <c r="B950">
        <v>48</v>
      </c>
      <c r="C950" t="s">
        <v>44</v>
      </c>
      <c r="D950" t="s">
        <v>49</v>
      </c>
      <c r="E950" t="s">
        <v>68</v>
      </c>
      <c r="F950" t="s">
        <v>37</v>
      </c>
      <c r="G950">
        <v>43945</v>
      </c>
      <c r="H950">
        <v>1</v>
      </c>
      <c r="I950">
        <v>25</v>
      </c>
      <c r="J950">
        <v>1</v>
      </c>
      <c r="K950">
        <v>2</v>
      </c>
      <c r="L950">
        <v>1</v>
      </c>
      <c r="M950">
        <v>2</v>
      </c>
      <c r="N950" t="s">
        <v>31</v>
      </c>
      <c r="O950" t="s">
        <v>42</v>
      </c>
      <c r="P950">
        <v>19</v>
      </c>
      <c r="Q950">
        <v>23</v>
      </c>
      <c r="R950">
        <v>3</v>
      </c>
      <c r="S950" t="s">
        <v>31</v>
      </c>
      <c r="T950">
        <v>8</v>
      </c>
      <c r="U950" t="s">
        <v>31</v>
      </c>
      <c r="V950" s="1">
        <v>44734</v>
      </c>
    </row>
    <row r="951" spans="1:23" x14ac:dyDescent="0.35">
      <c r="A951" t="s">
        <v>1007</v>
      </c>
      <c r="B951">
        <v>58</v>
      </c>
      <c r="C951" t="s">
        <v>44</v>
      </c>
      <c r="D951" t="s">
        <v>35</v>
      </c>
      <c r="E951" t="s">
        <v>36</v>
      </c>
      <c r="F951" t="s">
        <v>41</v>
      </c>
      <c r="G951">
        <v>152269</v>
      </c>
      <c r="H951">
        <v>24</v>
      </c>
      <c r="I951">
        <v>35</v>
      </c>
      <c r="J951">
        <v>5</v>
      </c>
      <c r="K951">
        <v>4</v>
      </c>
      <c r="L951">
        <v>2</v>
      </c>
      <c r="M951">
        <v>1</v>
      </c>
      <c r="N951" t="s">
        <v>31</v>
      </c>
      <c r="O951" t="s">
        <v>32</v>
      </c>
      <c r="P951">
        <v>18</v>
      </c>
      <c r="Q951">
        <v>42</v>
      </c>
      <c r="R951">
        <v>3</v>
      </c>
      <c r="S951" t="s">
        <v>31</v>
      </c>
      <c r="T951">
        <v>9</v>
      </c>
      <c r="U951" t="s">
        <v>31</v>
      </c>
      <c r="V951" s="1">
        <v>43753</v>
      </c>
    </row>
    <row r="952" spans="1:23" x14ac:dyDescent="0.35">
      <c r="A952" t="s">
        <v>1008</v>
      </c>
      <c r="B952">
        <v>32</v>
      </c>
      <c r="C952" t="s">
        <v>27</v>
      </c>
      <c r="D952" t="s">
        <v>35</v>
      </c>
      <c r="E952" t="s">
        <v>85</v>
      </c>
      <c r="F952" t="s">
        <v>37</v>
      </c>
      <c r="G952">
        <v>52202</v>
      </c>
      <c r="H952">
        <v>0</v>
      </c>
      <c r="I952">
        <v>11</v>
      </c>
      <c r="J952">
        <v>2</v>
      </c>
      <c r="K952">
        <v>3</v>
      </c>
      <c r="L952">
        <v>4</v>
      </c>
      <c r="M952">
        <v>3</v>
      </c>
      <c r="N952" t="s">
        <v>31</v>
      </c>
      <c r="O952" t="s">
        <v>32</v>
      </c>
      <c r="P952">
        <v>17</v>
      </c>
      <c r="Q952">
        <v>27</v>
      </c>
      <c r="R952">
        <v>3</v>
      </c>
      <c r="S952" t="s">
        <v>31</v>
      </c>
      <c r="T952">
        <v>4</v>
      </c>
      <c r="U952" t="s">
        <v>31</v>
      </c>
      <c r="V952" s="1">
        <v>42353</v>
      </c>
    </row>
    <row r="953" spans="1:23" x14ac:dyDescent="0.35">
      <c r="A953" t="s">
        <v>1009</v>
      </c>
      <c r="B953">
        <v>32</v>
      </c>
      <c r="C953" t="s">
        <v>44</v>
      </c>
      <c r="D953" t="s">
        <v>28</v>
      </c>
      <c r="E953" t="s">
        <v>66</v>
      </c>
      <c r="F953" t="s">
        <v>56</v>
      </c>
      <c r="G953">
        <v>84290</v>
      </c>
      <c r="H953">
        <v>6</v>
      </c>
      <c r="I953">
        <v>8</v>
      </c>
      <c r="J953">
        <v>3</v>
      </c>
      <c r="K953">
        <v>2</v>
      </c>
      <c r="L953">
        <v>1</v>
      </c>
      <c r="M953">
        <v>2</v>
      </c>
      <c r="N953" t="s">
        <v>31</v>
      </c>
      <c r="O953" t="s">
        <v>42</v>
      </c>
      <c r="P953">
        <v>27</v>
      </c>
      <c r="Q953">
        <v>43</v>
      </c>
      <c r="R953">
        <v>3</v>
      </c>
      <c r="S953" t="s">
        <v>31</v>
      </c>
      <c r="T953">
        <v>9</v>
      </c>
      <c r="U953" t="s">
        <v>33</v>
      </c>
      <c r="V953" s="1">
        <v>43950</v>
      </c>
      <c r="W953" s="1">
        <v>44340</v>
      </c>
    </row>
    <row r="954" spans="1:23" x14ac:dyDescent="0.35">
      <c r="A954" t="s">
        <v>1010</v>
      </c>
      <c r="B954">
        <v>25</v>
      </c>
      <c r="C954" t="s">
        <v>27</v>
      </c>
      <c r="D954" t="s">
        <v>52</v>
      </c>
      <c r="E954" t="s">
        <v>55</v>
      </c>
      <c r="F954" t="s">
        <v>56</v>
      </c>
      <c r="G954">
        <v>40604</v>
      </c>
      <c r="H954">
        <v>1</v>
      </c>
      <c r="I954">
        <v>2</v>
      </c>
      <c r="J954">
        <v>1</v>
      </c>
      <c r="K954">
        <v>4</v>
      </c>
      <c r="L954">
        <v>3</v>
      </c>
      <c r="M954">
        <v>3</v>
      </c>
      <c r="N954" t="s">
        <v>31</v>
      </c>
      <c r="O954" t="s">
        <v>32</v>
      </c>
      <c r="P954">
        <v>8</v>
      </c>
      <c r="Q954">
        <v>38</v>
      </c>
      <c r="R954">
        <v>3</v>
      </c>
      <c r="S954" t="s">
        <v>31</v>
      </c>
      <c r="T954">
        <v>7</v>
      </c>
      <c r="U954" t="s">
        <v>31</v>
      </c>
      <c r="V954" s="1">
        <v>41065</v>
      </c>
    </row>
    <row r="955" spans="1:23" x14ac:dyDescent="0.35">
      <c r="A955" t="s">
        <v>1011</v>
      </c>
      <c r="B955">
        <v>31</v>
      </c>
      <c r="C955" t="s">
        <v>44</v>
      </c>
      <c r="D955" t="s">
        <v>35</v>
      </c>
      <c r="E955" t="s">
        <v>85</v>
      </c>
      <c r="F955" t="s">
        <v>41</v>
      </c>
      <c r="G955">
        <v>41976</v>
      </c>
      <c r="H955">
        <v>1</v>
      </c>
      <c r="I955">
        <v>10</v>
      </c>
      <c r="J955">
        <v>1</v>
      </c>
      <c r="K955">
        <v>4</v>
      </c>
      <c r="L955">
        <v>4</v>
      </c>
      <c r="M955">
        <v>2</v>
      </c>
      <c r="N955" t="s">
        <v>31</v>
      </c>
      <c r="O955" t="s">
        <v>42</v>
      </c>
      <c r="P955">
        <v>28</v>
      </c>
      <c r="Q955">
        <v>11</v>
      </c>
      <c r="R955">
        <v>3</v>
      </c>
      <c r="S955" t="s">
        <v>31</v>
      </c>
      <c r="T955">
        <v>6</v>
      </c>
      <c r="U955" t="s">
        <v>31</v>
      </c>
      <c r="V955" s="1">
        <v>42276</v>
      </c>
    </row>
    <row r="956" spans="1:23" x14ac:dyDescent="0.35">
      <c r="A956" t="s">
        <v>1012</v>
      </c>
      <c r="B956">
        <v>48</v>
      </c>
      <c r="C956" t="s">
        <v>44</v>
      </c>
      <c r="D956" t="s">
        <v>35</v>
      </c>
      <c r="E956" t="s">
        <v>85</v>
      </c>
      <c r="F956" t="s">
        <v>30</v>
      </c>
      <c r="G956">
        <v>110731</v>
      </c>
      <c r="H956">
        <v>11</v>
      </c>
      <c r="I956">
        <v>24</v>
      </c>
      <c r="J956">
        <v>4</v>
      </c>
      <c r="K956">
        <v>1</v>
      </c>
      <c r="L956">
        <v>1</v>
      </c>
      <c r="M956">
        <v>1</v>
      </c>
      <c r="N956" t="s">
        <v>31</v>
      </c>
      <c r="O956" t="s">
        <v>32</v>
      </c>
      <c r="P956">
        <v>1</v>
      </c>
      <c r="Q956">
        <v>19</v>
      </c>
      <c r="R956">
        <v>3</v>
      </c>
      <c r="S956" t="s">
        <v>33</v>
      </c>
      <c r="T956">
        <v>3</v>
      </c>
      <c r="U956" t="s">
        <v>31</v>
      </c>
      <c r="V956" s="1">
        <v>44309</v>
      </c>
    </row>
    <row r="957" spans="1:23" x14ac:dyDescent="0.35">
      <c r="A957" t="s">
        <v>1013</v>
      </c>
      <c r="B957">
        <v>46</v>
      </c>
      <c r="C957" t="s">
        <v>44</v>
      </c>
      <c r="D957" t="s">
        <v>52</v>
      </c>
      <c r="E957" t="s">
        <v>53</v>
      </c>
      <c r="F957" t="s">
        <v>41</v>
      </c>
      <c r="G957">
        <v>142417</v>
      </c>
      <c r="H957">
        <v>21</v>
      </c>
      <c r="I957">
        <v>25</v>
      </c>
      <c r="J957">
        <v>5</v>
      </c>
      <c r="K957">
        <v>3</v>
      </c>
      <c r="L957">
        <v>4</v>
      </c>
      <c r="M957">
        <v>1</v>
      </c>
      <c r="N957" t="s">
        <v>31</v>
      </c>
      <c r="O957" t="s">
        <v>47</v>
      </c>
      <c r="P957">
        <v>15</v>
      </c>
      <c r="Q957">
        <v>28</v>
      </c>
      <c r="R957">
        <v>3</v>
      </c>
      <c r="S957" t="s">
        <v>31</v>
      </c>
      <c r="T957">
        <v>4</v>
      </c>
      <c r="U957" t="s">
        <v>31</v>
      </c>
      <c r="V957" s="1">
        <v>43474</v>
      </c>
    </row>
    <row r="958" spans="1:23" x14ac:dyDescent="0.35">
      <c r="A958" t="s">
        <v>1014</v>
      </c>
      <c r="B958">
        <v>48</v>
      </c>
      <c r="C958" t="s">
        <v>44</v>
      </c>
      <c r="D958" t="s">
        <v>52</v>
      </c>
      <c r="E958" t="s">
        <v>53</v>
      </c>
      <c r="F958" t="s">
        <v>61</v>
      </c>
      <c r="G958">
        <v>136230</v>
      </c>
      <c r="H958">
        <v>19</v>
      </c>
      <c r="I958">
        <v>25</v>
      </c>
      <c r="J958">
        <v>5</v>
      </c>
      <c r="K958">
        <v>3</v>
      </c>
      <c r="L958">
        <v>3</v>
      </c>
      <c r="M958">
        <v>2</v>
      </c>
      <c r="N958" t="s">
        <v>31</v>
      </c>
      <c r="O958" t="s">
        <v>47</v>
      </c>
      <c r="P958">
        <v>2</v>
      </c>
      <c r="Q958">
        <v>24</v>
      </c>
      <c r="R958">
        <v>3</v>
      </c>
      <c r="S958" t="s">
        <v>33</v>
      </c>
      <c r="T958">
        <v>7</v>
      </c>
      <c r="U958" t="s">
        <v>33</v>
      </c>
      <c r="V958" s="1">
        <v>42323</v>
      </c>
      <c r="W958" s="1">
        <v>42719</v>
      </c>
    </row>
    <row r="959" spans="1:23" x14ac:dyDescent="0.35">
      <c r="A959" t="s">
        <v>1015</v>
      </c>
      <c r="B959">
        <v>57</v>
      </c>
      <c r="C959" t="s">
        <v>44</v>
      </c>
      <c r="D959" t="s">
        <v>52</v>
      </c>
      <c r="E959" t="s">
        <v>55</v>
      </c>
      <c r="F959" t="s">
        <v>78</v>
      </c>
      <c r="G959">
        <v>130476</v>
      </c>
      <c r="H959">
        <v>13</v>
      </c>
      <c r="I959">
        <v>34</v>
      </c>
      <c r="J959">
        <v>5</v>
      </c>
      <c r="K959">
        <v>2</v>
      </c>
      <c r="L959">
        <v>1</v>
      </c>
      <c r="M959">
        <v>1</v>
      </c>
      <c r="N959" t="s">
        <v>31</v>
      </c>
      <c r="O959" t="s">
        <v>32</v>
      </c>
      <c r="P959">
        <v>24</v>
      </c>
      <c r="Q959">
        <v>14</v>
      </c>
      <c r="R959">
        <v>3</v>
      </c>
      <c r="S959" t="s">
        <v>31</v>
      </c>
      <c r="T959">
        <v>6</v>
      </c>
      <c r="U959" t="s">
        <v>31</v>
      </c>
      <c r="V959" s="1">
        <v>44829</v>
      </c>
    </row>
    <row r="960" spans="1:23" x14ac:dyDescent="0.35">
      <c r="A960" t="s">
        <v>1016</v>
      </c>
      <c r="B960">
        <v>34</v>
      </c>
      <c r="C960" t="s">
        <v>27</v>
      </c>
      <c r="D960" t="s">
        <v>35</v>
      </c>
      <c r="E960" t="s">
        <v>36</v>
      </c>
      <c r="F960" t="s">
        <v>78</v>
      </c>
      <c r="G960">
        <v>85424</v>
      </c>
      <c r="H960">
        <v>7</v>
      </c>
      <c r="I960">
        <v>13</v>
      </c>
      <c r="J960">
        <v>3</v>
      </c>
      <c r="K960">
        <v>4</v>
      </c>
      <c r="L960">
        <v>4</v>
      </c>
      <c r="M960">
        <v>4</v>
      </c>
      <c r="N960" t="s">
        <v>31</v>
      </c>
      <c r="O960" t="s">
        <v>47</v>
      </c>
      <c r="P960">
        <v>5</v>
      </c>
      <c r="Q960">
        <v>26</v>
      </c>
      <c r="R960">
        <v>4</v>
      </c>
      <c r="S960" t="s">
        <v>33</v>
      </c>
      <c r="T960">
        <v>8</v>
      </c>
      <c r="U960" t="s">
        <v>31</v>
      </c>
      <c r="V960" s="1">
        <v>43030</v>
      </c>
    </row>
    <row r="961" spans="1:23" x14ac:dyDescent="0.35">
      <c r="A961" t="s">
        <v>1017</v>
      </c>
      <c r="B961">
        <v>26</v>
      </c>
      <c r="C961" t="s">
        <v>27</v>
      </c>
      <c r="D961" t="s">
        <v>52</v>
      </c>
      <c r="E961" t="s">
        <v>53</v>
      </c>
      <c r="F961" t="s">
        <v>78</v>
      </c>
      <c r="G961">
        <v>67520</v>
      </c>
      <c r="H961">
        <v>4</v>
      </c>
      <c r="I961">
        <v>5</v>
      </c>
      <c r="J961">
        <v>2</v>
      </c>
      <c r="K961">
        <v>2</v>
      </c>
      <c r="L961">
        <v>4</v>
      </c>
      <c r="M961">
        <v>3</v>
      </c>
      <c r="N961" t="s">
        <v>31</v>
      </c>
      <c r="O961" t="s">
        <v>32</v>
      </c>
      <c r="P961">
        <v>23</v>
      </c>
      <c r="Q961">
        <v>43</v>
      </c>
      <c r="R961">
        <v>3</v>
      </c>
      <c r="S961" t="s">
        <v>31</v>
      </c>
      <c r="T961">
        <v>5</v>
      </c>
      <c r="U961" t="s">
        <v>33</v>
      </c>
      <c r="V961" s="1">
        <v>41413</v>
      </c>
      <c r="W961" s="1">
        <v>41812</v>
      </c>
    </row>
    <row r="962" spans="1:23" x14ac:dyDescent="0.35">
      <c r="A962" t="s">
        <v>1018</v>
      </c>
      <c r="B962">
        <v>58</v>
      </c>
      <c r="C962" t="s">
        <v>27</v>
      </c>
      <c r="D962" t="s">
        <v>49</v>
      </c>
      <c r="E962" t="s">
        <v>68</v>
      </c>
      <c r="F962" t="s">
        <v>37</v>
      </c>
      <c r="G962">
        <v>97201</v>
      </c>
      <c r="H962">
        <v>7</v>
      </c>
      <c r="I962">
        <v>34</v>
      </c>
      <c r="J962">
        <v>4</v>
      </c>
      <c r="K962">
        <v>2</v>
      </c>
      <c r="L962">
        <v>1</v>
      </c>
      <c r="M962">
        <v>1</v>
      </c>
      <c r="N962" t="s">
        <v>33</v>
      </c>
      <c r="O962" t="s">
        <v>42</v>
      </c>
      <c r="P962">
        <v>22</v>
      </c>
      <c r="Q962">
        <v>23</v>
      </c>
      <c r="R962">
        <v>3</v>
      </c>
      <c r="S962" t="s">
        <v>33</v>
      </c>
      <c r="T962">
        <v>0</v>
      </c>
      <c r="U962" t="s">
        <v>31</v>
      </c>
      <c r="V962" s="1">
        <v>40972</v>
      </c>
    </row>
    <row r="963" spans="1:23" x14ac:dyDescent="0.35">
      <c r="A963" t="s">
        <v>1019</v>
      </c>
      <c r="B963">
        <v>33</v>
      </c>
      <c r="C963" t="s">
        <v>44</v>
      </c>
      <c r="D963" t="s">
        <v>39</v>
      </c>
      <c r="E963" t="s">
        <v>74</v>
      </c>
      <c r="F963" t="s">
        <v>41</v>
      </c>
      <c r="G963">
        <v>37931</v>
      </c>
      <c r="H963">
        <v>0</v>
      </c>
      <c r="I963">
        <v>11</v>
      </c>
      <c r="J963">
        <v>1</v>
      </c>
      <c r="K963">
        <v>4</v>
      </c>
      <c r="L963">
        <v>3</v>
      </c>
      <c r="M963">
        <v>1</v>
      </c>
      <c r="N963" t="s">
        <v>31</v>
      </c>
      <c r="O963" t="s">
        <v>42</v>
      </c>
      <c r="P963">
        <v>17</v>
      </c>
      <c r="Q963">
        <v>21</v>
      </c>
      <c r="R963">
        <v>4</v>
      </c>
      <c r="S963" t="s">
        <v>31</v>
      </c>
      <c r="T963">
        <v>1</v>
      </c>
      <c r="U963" t="s">
        <v>31</v>
      </c>
      <c r="V963" s="1">
        <v>41560</v>
      </c>
    </row>
    <row r="964" spans="1:23" x14ac:dyDescent="0.35">
      <c r="A964" t="s">
        <v>1020</v>
      </c>
      <c r="B964">
        <v>48</v>
      </c>
      <c r="C964" t="s">
        <v>44</v>
      </c>
      <c r="D964" t="s">
        <v>28</v>
      </c>
      <c r="E964" t="s">
        <v>66</v>
      </c>
      <c r="F964" t="s">
        <v>30</v>
      </c>
      <c r="G964">
        <v>142056</v>
      </c>
      <c r="H964">
        <v>20</v>
      </c>
      <c r="I964">
        <v>27</v>
      </c>
      <c r="J964">
        <v>5</v>
      </c>
      <c r="K964">
        <v>1</v>
      </c>
      <c r="L964">
        <v>3</v>
      </c>
      <c r="M964">
        <v>2</v>
      </c>
      <c r="N964" t="s">
        <v>31</v>
      </c>
      <c r="O964" t="s">
        <v>32</v>
      </c>
      <c r="P964">
        <v>2</v>
      </c>
      <c r="Q964">
        <v>31</v>
      </c>
      <c r="R964">
        <v>3</v>
      </c>
      <c r="S964" t="s">
        <v>31</v>
      </c>
      <c r="T964">
        <v>1</v>
      </c>
      <c r="U964" t="s">
        <v>31</v>
      </c>
      <c r="V964" s="1">
        <v>41479</v>
      </c>
    </row>
    <row r="965" spans="1:23" x14ac:dyDescent="0.35">
      <c r="A965" t="s">
        <v>1021</v>
      </c>
      <c r="B965">
        <v>25</v>
      </c>
      <c r="C965" t="s">
        <v>27</v>
      </c>
      <c r="D965" t="s">
        <v>49</v>
      </c>
      <c r="E965" t="s">
        <v>68</v>
      </c>
      <c r="F965" t="s">
        <v>78</v>
      </c>
      <c r="G965">
        <v>64526</v>
      </c>
      <c r="H965">
        <v>3</v>
      </c>
      <c r="I965">
        <v>4</v>
      </c>
      <c r="J965">
        <v>2</v>
      </c>
      <c r="K965">
        <v>1</v>
      </c>
      <c r="L965">
        <v>4</v>
      </c>
      <c r="M965">
        <v>4</v>
      </c>
      <c r="N965" t="s">
        <v>31</v>
      </c>
      <c r="O965" t="s">
        <v>32</v>
      </c>
      <c r="P965">
        <v>14</v>
      </c>
      <c r="Q965">
        <v>57</v>
      </c>
      <c r="R965">
        <v>3</v>
      </c>
      <c r="S965" t="s">
        <v>31</v>
      </c>
      <c r="T965">
        <v>1</v>
      </c>
      <c r="U965" t="s">
        <v>31</v>
      </c>
      <c r="V965" s="1">
        <v>44470</v>
      </c>
    </row>
    <row r="966" spans="1:23" x14ac:dyDescent="0.35">
      <c r="A966" t="s">
        <v>1022</v>
      </c>
      <c r="B966">
        <v>56</v>
      </c>
      <c r="C966" t="s">
        <v>44</v>
      </c>
      <c r="D966" t="s">
        <v>28</v>
      </c>
      <c r="E966" t="s">
        <v>29</v>
      </c>
      <c r="F966" t="s">
        <v>37</v>
      </c>
      <c r="G966">
        <v>100198</v>
      </c>
      <c r="H966">
        <v>9</v>
      </c>
      <c r="I966">
        <v>32</v>
      </c>
      <c r="J966">
        <v>4</v>
      </c>
      <c r="K966">
        <v>1</v>
      </c>
      <c r="L966">
        <v>3</v>
      </c>
      <c r="M966">
        <v>1</v>
      </c>
      <c r="N966" t="s">
        <v>31</v>
      </c>
      <c r="O966" t="s">
        <v>32</v>
      </c>
      <c r="P966">
        <v>25</v>
      </c>
      <c r="Q966">
        <v>17</v>
      </c>
      <c r="R966">
        <v>3</v>
      </c>
      <c r="S966" t="s">
        <v>31</v>
      </c>
      <c r="T966">
        <v>5</v>
      </c>
      <c r="U966" t="s">
        <v>31</v>
      </c>
      <c r="V966" s="1">
        <v>44757</v>
      </c>
    </row>
    <row r="967" spans="1:23" x14ac:dyDescent="0.35">
      <c r="A967" t="s">
        <v>1023</v>
      </c>
      <c r="B967">
        <v>27</v>
      </c>
      <c r="C967" t="s">
        <v>44</v>
      </c>
      <c r="D967" t="s">
        <v>35</v>
      </c>
      <c r="E967" t="s">
        <v>36</v>
      </c>
      <c r="F967" t="s">
        <v>56</v>
      </c>
      <c r="G967">
        <v>61515</v>
      </c>
      <c r="H967">
        <v>4</v>
      </c>
      <c r="I967">
        <v>5</v>
      </c>
      <c r="J967">
        <v>2</v>
      </c>
      <c r="K967">
        <v>3</v>
      </c>
      <c r="L967">
        <v>1</v>
      </c>
      <c r="M967">
        <v>1</v>
      </c>
      <c r="N967" t="s">
        <v>33</v>
      </c>
      <c r="O967" t="s">
        <v>32</v>
      </c>
      <c r="P967">
        <v>16</v>
      </c>
      <c r="Q967">
        <v>49</v>
      </c>
      <c r="R967">
        <v>2</v>
      </c>
      <c r="S967" t="s">
        <v>31</v>
      </c>
      <c r="T967">
        <v>8</v>
      </c>
      <c r="U967" t="s">
        <v>31</v>
      </c>
      <c r="V967" s="1">
        <v>41227</v>
      </c>
    </row>
    <row r="968" spans="1:23" x14ac:dyDescent="0.35">
      <c r="A968" t="s">
        <v>1024</v>
      </c>
      <c r="B968">
        <v>49</v>
      </c>
      <c r="C968" t="s">
        <v>27</v>
      </c>
      <c r="D968" t="s">
        <v>35</v>
      </c>
      <c r="E968" t="s">
        <v>36</v>
      </c>
      <c r="F968" t="s">
        <v>78</v>
      </c>
      <c r="G968">
        <v>101606</v>
      </c>
      <c r="H968">
        <v>7</v>
      </c>
      <c r="I968">
        <v>28</v>
      </c>
      <c r="J968">
        <v>4</v>
      </c>
      <c r="K968">
        <v>1</v>
      </c>
      <c r="L968">
        <v>4</v>
      </c>
      <c r="M968">
        <v>2</v>
      </c>
      <c r="N968" t="s">
        <v>31</v>
      </c>
      <c r="O968" t="s">
        <v>32</v>
      </c>
      <c r="P968">
        <v>18</v>
      </c>
      <c r="Q968">
        <v>41</v>
      </c>
      <c r="R968">
        <v>4</v>
      </c>
      <c r="S968" t="s">
        <v>31</v>
      </c>
      <c r="T968">
        <v>3</v>
      </c>
      <c r="U968" t="s">
        <v>31</v>
      </c>
      <c r="V968" s="1">
        <v>41628</v>
      </c>
    </row>
    <row r="969" spans="1:23" x14ac:dyDescent="0.35">
      <c r="A969" t="s">
        <v>1025</v>
      </c>
      <c r="B969">
        <v>39</v>
      </c>
      <c r="C969" t="s">
        <v>44</v>
      </c>
      <c r="D969" t="s">
        <v>35</v>
      </c>
      <c r="E969" t="s">
        <v>85</v>
      </c>
      <c r="F969" t="s">
        <v>41</v>
      </c>
      <c r="G969">
        <v>57172</v>
      </c>
      <c r="H969">
        <v>1</v>
      </c>
      <c r="I969">
        <v>18</v>
      </c>
      <c r="J969">
        <v>2</v>
      </c>
      <c r="K969">
        <v>2</v>
      </c>
      <c r="L969">
        <v>3</v>
      </c>
      <c r="M969">
        <v>2</v>
      </c>
      <c r="N969" t="s">
        <v>31</v>
      </c>
      <c r="O969" t="s">
        <v>47</v>
      </c>
      <c r="P969">
        <v>11</v>
      </c>
      <c r="Q969">
        <v>41</v>
      </c>
      <c r="R969">
        <v>3</v>
      </c>
      <c r="S969" t="s">
        <v>31</v>
      </c>
      <c r="T969">
        <v>7</v>
      </c>
      <c r="U969" t="s">
        <v>31</v>
      </c>
      <c r="V969" s="1">
        <v>41602</v>
      </c>
    </row>
    <row r="970" spans="1:23" x14ac:dyDescent="0.35">
      <c r="A970" t="s">
        <v>1026</v>
      </c>
      <c r="B970">
        <v>52</v>
      </c>
      <c r="C970" t="s">
        <v>27</v>
      </c>
      <c r="D970" t="s">
        <v>45</v>
      </c>
      <c r="E970" t="s">
        <v>46</v>
      </c>
      <c r="F970" t="s">
        <v>30</v>
      </c>
      <c r="G970">
        <v>147453</v>
      </c>
      <c r="H970">
        <v>24</v>
      </c>
      <c r="I970">
        <v>29</v>
      </c>
      <c r="J970">
        <v>5</v>
      </c>
      <c r="K970">
        <v>4</v>
      </c>
      <c r="L970">
        <v>1</v>
      </c>
      <c r="M970">
        <v>3</v>
      </c>
      <c r="N970" t="s">
        <v>31</v>
      </c>
      <c r="O970" t="s">
        <v>32</v>
      </c>
      <c r="P970">
        <v>9</v>
      </c>
      <c r="Q970">
        <v>31</v>
      </c>
      <c r="R970">
        <v>3</v>
      </c>
      <c r="S970" t="s">
        <v>31</v>
      </c>
      <c r="T970">
        <v>3</v>
      </c>
      <c r="U970" t="s">
        <v>31</v>
      </c>
      <c r="V970" s="1">
        <v>43905</v>
      </c>
    </row>
    <row r="971" spans="1:23" x14ac:dyDescent="0.35">
      <c r="A971" t="s">
        <v>1027</v>
      </c>
      <c r="B971">
        <v>48</v>
      </c>
      <c r="C971" t="s">
        <v>44</v>
      </c>
      <c r="D971" t="s">
        <v>52</v>
      </c>
      <c r="E971" t="s">
        <v>55</v>
      </c>
      <c r="F971" t="s">
        <v>30</v>
      </c>
      <c r="G971">
        <v>130005</v>
      </c>
      <c r="H971">
        <v>15</v>
      </c>
      <c r="I971">
        <v>27</v>
      </c>
      <c r="J971">
        <v>5</v>
      </c>
      <c r="K971">
        <v>3</v>
      </c>
      <c r="L971">
        <v>1</v>
      </c>
      <c r="M971">
        <v>2</v>
      </c>
      <c r="N971" t="s">
        <v>31</v>
      </c>
      <c r="O971" t="s">
        <v>32</v>
      </c>
      <c r="P971">
        <v>12</v>
      </c>
      <c r="Q971">
        <v>17</v>
      </c>
      <c r="R971">
        <v>3</v>
      </c>
      <c r="S971" t="s">
        <v>31</v>
      </c>
      <c r="T971">
        <v>0</v>
      </c>
      <c r="U971" t="s">
        <v>31</v>
      </c>
      <c r="V971" s="1">
        <v>43686</v>
      </c>
    </row>
    <row r="972" spans="1:23" x14ac:dyDescent="0.35">
      <c r="A972" t="s">
        <v>1028</v>
      </c>
      <c r="B972">
        <v>44</v>
      </c>
      <c r="C972" t="s">
        <v>27</v>
      </c>
      <c r="D972" t="s">
        <v>39</v>
      </c>
      <c r="E972" t="s">
        <v>40</v>
      </c>
      <c r="F972" t="s">
        <v>30</v>
      </c>
      <c r="G972">
        <v>102621</v>
      </c>
      <c r="H972">
        <v>9</v>
      </c>
      <c r="I972">
        <v>21</v>
      </c>
      <c r="J972">
        <v>4</v>
      </c>
      <c r="K972">
        <v>3</v>
      </c>
      <c r="L972">
        <v>1</v>
      </c>
      <c r="M972">
        <v>4</v>
      </c>
      <c r="N972" t="s">
        <v>31</v>
      </c>
      <c r="O972" t="s">
        <v>32</v>
      </c>
      <c r="P972">
        <v>3</v>
      </c>
      <c r="Q972">
        <v>47</v>
      </c>
      <c r="R972">
        <v>3</v>
      </c>
      <c r="S972" t="s">
        <v>31</v>
      </c>
      <c r="T972">
        <v>4</v>
      </c>
      <c r="U972" t="s">
        <v>31</v>
      </c>
      <c r="V972" s="1">
        <v>41902</v>
      </c>
    </row>
    <row r="973" spans="1:23" x14ac:dyDescent="0.35">
      <c r="A973" t="s">
        <v>1029</v>
      </c>
      <c r="B973">
        <v>25</v>
      </c>
      <c r="C973" t="s">
        <v>27</v>
      </c>
      <c r="D973" t="s">
        <v>39</v>
      </c>
      <c r="E973" t="s">
        <v>59</v>
      </c>
      <c r="F973" t="s">
        <v>78</v>
      </c>
      <c r="G973">
        <v>39259</v>
      </c>
      <c r="H973">
        <v>1</v>
      </c>
      <c r="I973">
        <v>4</v>
      </c>
      <c r="J973">
        <v>1</v>
      </c>
      <c r="K973">
        <v>1</v>
      </c>
      <c r="L973">
        <v>2</v>
      </c>
      <c r="M973">
        <v>4</v>
      </c>
      <c r="N973" t="s">
        <v>31</v>
      </c>
      <c r="O973" t="s">
        <v>32</v>
      </c>
      <c r="P973">
        <v>10</v>
      </c>
      <c r="Q973">
        <v>27</v>
      </c>
      <c r="R973">
        <v>3</v>
      </c>
      <c r="S973" t="s">
        <v>31</v>
      </c>
      <c r="T973">
        <v>6</v>
      </c>
      <c r="U973" t="s">
        <v>31</v>
      </c>
      <c r="V973" s="1">
        <v>41764</v>
      </c>
    </row>
    <row r="974" spans="1:23" x14ac:dyDescent="0.35">
      <c r="A974" t="s">
        <v>1030</v>
      </c>
      <c r="B974">
        <v>37</v>
      </c>
      <c r="C974" t="s">
        <v>44</v>
      </c>
      <c r="D974" t="s">
        <v>45</v>
      </c>
      <c r="E974" t="s">
        <v>46</v>
      </c>
      <c r="F974" t="s">
        <v>41</v>
      </c>
      <c r="G974">
        <v>88661</v>
      </c>
      <c r="H974">
        <v>7</v>
      </c>
      <c r="I974">
        <v>15</v>
      </c>
      <c r="J974">
        <v>3</v>
      </c>
      <c r="K974">
        <v>1</v>
      </c>
      <c r="L974">
        <v>4</v>
      </c>
      <c r="M974">
        <v>3</v>
      </c>
      <c r="N974" t="s">
        <v>31</v>
      </c>
      <c r="O974" t="s">
        <v>47</v>
      </c>
      <c r="P974">
        <v>14</v>
      </c>
      <c r="Q974">
        <v>46</v>
      </c>
      <c r="R974">
        <v>3</v>
      </c>
      <c r="S974" t="s">
        <v>33</v>
      </c>
      <c r="T974">
        <v>3</v>
      </c>
      <c r="U974" t="s">
        <v>31</v>
      </c>
      <c r="V974" s="1">
        <v>44476</v>
      </c>
    </row>
    <row r="975" spans="1:23" x14ac:dyDescent="0.35">
      <c r="A975" t="s">
        <v>1031</v>
      </c>
      <c r="B975">
        <v>42</v>
      </c>
      <c r="C975" t="s">
        <v>27</v>
      </c>
      <c r="D975" t="s">
        <v>28</v>
      </c>
      <c r="E975" t="s">
        <v>29</v>
      </c>
      <c r="F975" t="s">
        <v>78</v>
      </c>
      <c r="G975">
        <v>64842</v>
      </c>
      <c r="H975">
        <v>3</v>
      </c>
      <c r="I975">
        <v>18</v>
      </c>
      <c r="J975">
        <v>2</v>
      </c>
      <c r="K975">
        <v>3</v>
      </c>
      <c r="L975">
        <v>4</v>
      </c>
      <c r="M975">
        <v>3</v>
      </c>
      <c r="N975" t="s">
        <v>33</v>
      </c>
      <c r="O975" t="s">
        <v>32</v>
      </c>
      <c r="P975">
        <v>24</v>
      </c>
      <c r="Q975">
        <v>49</v>
      </c>
      <c r="R975">
        <v>2</v>
      </c>
      <c r="S975" t="s">
        <v>31</v>
      </c>
      <c r="T975">
        <v>7</v>
      </c>
      <c r="U975" t="s">
        <v>31</v>
      </c>
      <c r="V975" s="1">
        <v>43307</v>
      </c>
    </row>
    <row r="976" spans="1:23" x14ac:dyDescent="0.35">
      <c r="A976" t="s">
        <v>1032</v>
      </c>
      <c r="B976">
        <v>49</v>
      </c>
      <c r="C976" t="s">
        <v>27</v>
      </c>
      <c r="D976" t="s">
        <v>28</v>
      </c>
      <c r="E976" t="s">
        <v>66</v>
      </c>
      <c r="F976" t="s">
        <v>30</v>
      </c>
      <c r="G976">
        <v>140355</v>
      </c>
      <c r="H976">
        <v>20</v>
      </c>
      <c r="I976">
        <v>25</v>
      </c>
      <c r="J976">
        <v>5</v>
      </c>
      <c r="K976">
        <v>3</v>
      </c>
      <c r="L976">
        <v>2</v>
      </c>
      <c r="M976">
        <v>1</v>
      </c>
      <c r="N976" t="s">
        <v>31</v>
      </c>
      <c r="O976" t="s">
        <v>32</v>
      </c>
      <c r="P976">
        <v>25</v>
      </c>
      <c r="Q976">
        <v>52</v>
      </c>
      <c r="R976">
        <v>4</v>
      </c>
      <c r="S976" t="s">
        <v>31</v>
      </c>
      <c r="T976">
        <v>5</v>
      </c>
      <c r="U976" t="s">
        <v>33</v>
      </c>
      <c r="V976" s="1">
        <v>44835</v>
      </c>
      <c r="W976" s="1">
        <v>44953</v>
      </c>
    </row>
    <row r="977" spans="1:23" x14ac:dyDescent="0.35">
      <c r="A977" t="s">
        <v>1033</v>
      </c>
      <c r="B977">
        <v>51</v>
      </c>
      <c r="C977" t="s">
        <v>44</v>
      </c>
      <c r="D977" t="s">
        <v>52</v>
      </c>
      <c r="E977" t="s">
        <v>55</v>
      </c>
      <c r="F977" t="s">
        <v>41</v>
      </c>
      <c r="G977">
        <v>46562</v>
      </c>
      <c r="H977">
        <v>1</v>
      </c>
      <c r="I977">
        <v>27</v>
      </c>
      <c r="J977">
        <v>1</v>
      </c>
      <c r="K977">
        <v>2</v>
      </c>
      <c r="L977">
        <v>4</v>
      </c>
      <c r="M977">
        <v>3</v>
      </c>
      <c r="N977" t="s">
        <v>31</v>
      </c>
      <c r="O977" t="s">
        <v>32</v>
      </c>
      <c r="P977">
        <v>22</v>
      </c>
      <c r="Q977">
        <v>31</v>
      </c>
      <c r="R977">
        <v>3</v>
      </c>
      <c r="S977" t="s">
        <v>31</v>
      </c>
      <c r="T977">
        <v>3</v>
      </c>
      <c r="U977" t="s">
        <v>31</v>
      </c>
      <c r="V977" s="1">
        <v>43850</v>
      </c>
    </row>
    <row r="978" spans="1:23" x14ac:dyDescent="0.35">
      <c r="A978" t="s">
        <v>1034</v>
      </c>
      <c r="B978">
        <v>50</v>
      </c>
      <c r="C978" t="s">
        <v>27</v>
      </c>
      <c r="D978" t="s">
        <v>28</v>
      </c>
      <c r="E978" t="s">
        <v>66</v>
      </c>
      <c r="F978" t="s">
        <v>41</v>
      </c>
      <c r="G978">
        <v>151407</v>
      </c>
      <c r="H978">
        <v>24</v>
      </c>
      <c r="I978">
        <v>28</v>
      </c>
      <c r="J978">
        <v>5</v>
      </c>
      <c r="K978">
        <v>1</v>
      </c>
      <c r="L978">
        <v>4</v>
      </c>
      <c r="M978">
        <v>2</v>
      </c>
      <c r="N978" t="s">
        <v>31</v>
      </c>
      <c r="O978" t="s">
        <v>42</v>
      </c>
      <c r="P978">
        <v>18</v>
      </c>
      <c r="Q978">
        <v>45</v>
      </c>
      <c r="R978">
        <v>3</v>
      </c>
      <c r="S978" t="s">
        <v>33</v>
      </c>
      <c r="T978">
        <v>5</v>
      </c>
      <c r="U978" t="s">
        <v>33</v>
      </c>
      <c r="V978" s="1">
        <v>41788</v>
      </c>
      <c r="W978" s="1">
        <v>41888</v>
      </c>
    </row>
    <row r="979" spans="1:23" x14ac:dyDescent="0.35">
      <c r="A979" t="s">
        <v>1035</v>
      </c>
      <c r="B979">
        <v>37</v>
      </c>
      <c r="C979" t="s">
        <v>44</v>
      </c>
      <c r="D979" t="s">
        <v>45</v>
      </c>
      <c r="E979" t="s">
        <v>63</v>
      </c>
      <c r="F979" t="s">
        <v>56</v>
      </c>
      <c r="G979">
        <v>105634</v>
      </c>
      <c r="H979">
        <v>11</v>
      </c>
      <c r="I979">
        <v>15</v>
      </c>
      <c r="J979">
        <v>4</v>
      </c>
      <c r="K979">
        <v>3</v>
      </c>
      <c r="L979">
        <v>4</v>
      </c>
      <c r="M979">
        <v>3</v>
      </c>
      <c r="N979" t="s">
        <v>31</v>
      </c>
      <c r="O979" t="s">
        <v>32</v>
      </c>
      <c r="P979">
        <v>5</v>
      </c>
      <c r="Q979">
        <v>34</v>
      </c>
      <c r="R979">
        <v>4</v>
      </c>
      <c r="S979" t="s">
        <v>33</v>
      </c>
      <c r="T979">
        <v>4</v>
      </c>
      <c r="U979" t="s">
        <v>31</v>
      </c>
      <c r="V979" s="1">
        <v>44774</v>
      </c>
    </row>
    <row r="980" spans="1:23" x14ac:dyDescent="0.35">
      <c r="A980" t="s">
        <v>1036</v>
      </c>
      <c r="B980">
        <v>28</v>
      </c>
      <c r="C980" t="s">
        <v>44</v>
      </c>
      <c r="D980" t="s">
        <v>28</v>
      </c>
      <c r="E980" t="s">
        <v>66</v>
      </c>
      <c r="F980" t="s">
        <v>30</v>
      </c>
      <c r="G980">
        <v>81630</v>
      </c>
      <c r="H980">
        <v>5</v>
      </c>
      <c r="I980">
        <v>7</v>
      </c>
      <c r="J980">
        <v>3</v>
      </c>
      <c r="K980">
        <v>3</v>
      </c>
      <c r="L980">
        <v>4</v>
      </c>
      <c r="M980">
        <v>2</v>
      </c>
      <c r="N980" t="s">
        <v>31</v>
      </c>
      <c r="O980" t="s">
        <v>32</v>
      </c>
      <c r="P980">
        <v>18</v>
      </c>
      <c r="Q980">
        <v>45</v>
      </c>
      <c r="R980">
        <v>3</v>
      </c>
      <c r="S980" t="s">
        <v>31</v>
      </c>
      <c r="T980">
        <v>2</v>
      </c>
      <c r="U980" t="s">
        <v>31</v>
      </c>
      <c r="V980" s="1">
        <v>42979</v>
      </c>
    </row>
    <row r="981" spans="1:23" x14ac:dyDescent="0.35">
      <c r="A981" t="s">
        <v>1037</v>
      </c>
      <c r="B981">
        <v>55</v>
      </c>
      <c r="C981" t="s">
        <v>27</v>
      </c>
      <c r="D981" t="s">
        <v>39</v>
      </c>
      <c r="E981" t="s">
        <v>74</v>
      </c>
      <c r="F981" t="s">
        <v>41</v>
      </c>
      <c r="G981">
        <v>132621</v>
      </c>
      <c r="H981">
        <v>15</v>
      </c>
      <c r="I981">
        <v>33</v>
      </c>
      <c r="J981">
        <v>5</v>
      </c>
      <c r="K981">
        <v>3</v>
      </c>
      <c r="L981">
        <v>1</v>
      </c>
      <c r="M981">
        <v>4</v>
      </c>
      <c r="N981" t="s">
        <v>33</v>
      </c>
      <c r="O981" t="s">
        <v>32</v>
      </c>
      <c r="P981">
        <v>24</v>
      </c>
      <c r="Q981">
        <v>53</v>
      </c>
      <c r="R981">
        <v>4</v>
      </c>
      <c r="S981" t="s">
        <v>33</v>
      </c>
      <c r="T981">
        <v>4</v>
      </c>
      <c r="U981" t="s">
        <v>31</v>
      </c>
      <c r="V981" s="1">
        <v>44893</v>
      </c>
    </row>
    <row r="982" spans="1:23" x14ac:dyDescent="0.35">
      <c r="A982" t="s">
        <v>1038</v>
      </c>
      <c r="B982">
        <v>49</v>
      </c>
      <c r="C982" t="s">
        <v>44</v>
      </c>
      <c r="D982" t="s">
        <v>35</v>
      </c>
      <c r="E982" t="s">
        <v>36</v>
      </c>
      <c r="F982" t="s">
        <v>61</v>
      </c>
      <c r="G982">
        <v>124007</v>
      </c>
      <c r="H982">
        <v>12</v>
      </c>
      <c r="I982">
        <v>28</v>
      </c>
      <c r="J982">
        <v>5</v>
      </c>
      <c r="K982">
        <v>4</v>
      </c>
      <c r="L982">
        <v>4</v>
      </c>
      <c r="M982">
        <v>1</v>
      </c>
      <c r="N982" t="s">
        <v>33</v>
      </c>
      <c r="O982" t="s">
        <v>32</v>
      </c>
      <c r="P982">
        <v>10</v>
      </c>
      <c r="Q982">
        <v>46</v>
      </c>
      <c r="R982">
        <v>3</v>
      </c>
      <c r="S982" t="s">
        <v>33</v>
      </c>
      <c r="T982">
        <v>4</v>
      </c>
      <c r="U982" t="s">
        <v>31</v>
      </c>
      <c r="V982" s="1">
        <v>41029</v>
      </c>
    </row>
    <row r="983" spans="1:23" x14ac:dyDescent="0.35">
      <c r="A983" t="s">
        <v>1039</v>
      </c>
      <c r="B983">
        <v>38</v>
      </c>
      <c r="C983" t="s">
        <v>27</v>
      </c>
      <c r="D983" t="s">
        <v>52</v>
      </c>
      <c r="E983" t="s">
        <v>55</v>
      </c>
      <c r="F983" t="s">
        <v>37</v>
      </c>
      <c r="G983">
        <v>44112</v>
      </c>
      <c r="H983">
        <v>1</v>
      </c>
      <c r="I983">
        <v>16</v>
      </c>
      <c r="J983">
        <v>1</v>
      </c>
      <c r="K983">
        <v>1</v>
      </c>
      <c r="L983">
        <v>3</v>
      </c>
      <c r="M983">
        <v>3</v>
      </c>
      <c r="N983" t="s">
        <v>31</v>
      </c>
      <c r="O983" t="s">
        <v>32</v>
      </c>
      <c r="P983">
        <v>23</v>
      </c>
      <c r="Q983">
        <v>35</v>
      </c>
      <c r="R983">
        <v>3</v>
      </c>
      <c r="S983" t="s">
        <v>31</v>
      </c>
      <c r="T983">
        <v>4</v>
      </c>
      <c r="U983" t="s">
        <v>33</v>
      </c>
      <c r="V983" s="1">
        <v>44164</v>
      </c>
      <c r="W983" s="1">
        <v>44934</v>
      </c>
    </row>
    <row r="984" spans="1:23" x14ac:dyDescent="0.35">
      <c r="A984" t="s">
        <v>1040</v>
      </c>
      <c r="B984">
        <v>23</v>
      </c>
      <c r="C984" t="s">
        <v>27</v>
      </c>
      <c r="D984" t="s">
        <v>39</v>
      </c>
      <c r="E984" t="s">
        <v>40</v>
      </c>
      <c r="F984" t="s">
        <v>37</v>
      </c>
      <c r="G984">
        <v>58530</v>
      </c>
      <c r="H984">
        <v>2</v>
      </c>
      <c r="I984">
        <v>2</v>
      </c>
      <c r="J984">
        <v>2</v>
      </c>
      <c r="K984">
        <v>1</v>
      </c>
      <c r="L984">
        <v>1</v>
      </c>
      <c r="M984">
        <v>4</v>
      </c>
      <c r="N984" t="s">
        <v>33</v>
      </c>
      <c r="O984" t="s">
        <v>32</v>
      </c>
      <c r="P984">
        <v>22</v>
      </c>
      <c r="Q984">
        <v>39</v>
      </c>
      <c r="R984">
        <v>3</v>
      </c>
      <c r="S984" t="s">
        <v>31</v>
      </c>
      <c r="T984">
        <v>4</v>
      </c>
      <c r="U984" t="s">
        <v>31</v>
      </c>
      <c r="V984" s="1">
        <v>44773</v>
      </c>
    </row>
    <row r="985" spans="1:23" x14ac:dyDescent="0.35">
      <c r="A985" t="s">
        <v>1041</v>
      </c>
      <c r="B985">
        <v>59</v>
      </c>
      <c r="C985" t="s">
        <v>27</v>
      </c>
      <c r="D985" t="s">
        <v>49</v>
      </c>
      <c r="E985" t="s">
        <v>50</v>
      </c>
      <c r="F985" t="s">
        <v>37</v>
      </c>
      <c r="G985">
        <v>168490</v>
      </c>
      <c r="H985">
        <v>34</v>
      </c>
      <c r="I985">
        <v>38</v>
      </c>
      <c r="J985">
        <v>5</v>
      </c>
      <c r="K985">
        <v>3</v>
      </c>
      <c r="L985">
        <v>3</v>
      </c>
      <c r="M985">
        <v>1</v>
      </c>
      <c r="N985" t="s">
        <v>31</v>
      </c>
      <c r="O985" t="s">
        <v>32</v>
      </c>
      <c r="P985">
        <v>17</v>
      </c>
      <c r="Q985">
        <v>52</v>
      </c>
      <c r="R985">
        <v>3</v>
      </c>
      <c r="S985" t="s">
        <v>31</v>
      </c>
      <c r="T985">
        <v>4</v>
      </c>
      <c r="U985" t="s">
        <v>33</v>
      </c>
      <c r="V985" s="1">
        <v>45225</v>
      </c>
      <c r="W985" s="1">
        <v>45547</v>
      </c>
    </row>
    <row r="986" spans="1:23" x14ac:dyDescent="0.35">
      <c r="A986" t="s">
        <v>1042</v>
      </c>
      <c r="B986">
        <v>58</v>
      </c>
      <c r="C986" t="s">
        <v>27</v>
      </c>
      <c r="D986" t="s">
        <v>49</v>
      </c>
      <c r="E986" t="s">
        <v>50</v>
      </c>
      <c r="F986" t="s">
        <v>37</v>
      </c>
      <c r="G986">
        <v>78271</v>
      </c>
      <c r="H986">
        <v>5</v>
      </c>
      <c r="I986">
        <v>35</v>
      </c>
      <c r="J986">
        <v>3</v>
      </c>
      <c r="K986">
        <v>1</v>
      </c>
      <c r="L986">
        <v>2</v>
      </c>
      <c r="M986">
        <v>1</v>
      </c>
      <c r="N986" t="s">
        <v>31</v>
      </c>
      <c r="O986" t="s">
        <v>32</v>
      </c>
      <c r="P986">
        <v>28</v>
      </c>
      <c r="Q986">
        <v>47</v>
      </c>
      <c r="R986">
        <v>3</v>
      </c>
      <c r="S986" t="s">
        <v>33</v>
      </c>
      <c r="T986">
        <v>6</v>
      </c>
      <c r="U986" t="s">
        <v>33</v>
      </c>
      <c r="V986" s="1">
        <v>44231</v>
      </c>
      <c r="W986" s="1">
        <v>44977</v>
      </c>
    </row>
    <row r="987" spans="1:23" x14ac:dyDescent="0.35">
      <c r="A987" t="s">
        <v>1043</v>
      </c>
      <c r="B987">
        <v>28</v>
      </c>
      <c r="C987" t="s">
        <v>44</v>
      </c>
      <c r="D987" t="s">
        <v>49</v>
      </c>
      <c r="E987" t="s">
        <v>50</v>
      </c>
      <c r="F987" t="s">
        <v>30</v>
      </c>
      <c r="G987">
        <v>41187</v>
      </c>
      <c r="H987">
        <v>0</v>
      </c>
      <c r="I987">
        <v>7</v>
      </c>
      <c r="J987">
        <v>1</v>
      </c>
      <c r="K987">
        <v>4</v>
      </c>
      <c r="L987">
        <v>4</v>
      </c>
      <c r="M987">
        <v>3</v>
      </c>
      <c r="N987" t="s">
        <v>33</v>
      </c>
      <c r="O987" t="s">
        <v>32</v>
      </c>
      <c r="P987">
        <v>19</v>
      </c>
      <c r="Q987">
        <v>38</v>
      </c>
      <c r="R987">
        <v>2</v>
      </c>
      <c r="S987" t="s">
        <v>31</v>
      </c>
      <c r="T987">
        <v>3</v>
      </c>
      <c r="U987" t="s">
        <v>31</v>
      </c>
      <c r="V987" s="1">
        <v>41247</v>
      </c>
    </row>
    <row r="988" spans="1:23" x14ac:dyDescent="0.35">
      <c r="A988" t="s">
        <v>1044</v>
      </c>
      <c r="B988">
        <v>38</v>
      </c>
      <c r="C988" t="s">
        <v>27</v>
      </c>
      <c r="D988" t="s">
        <v>28</v>
      </c>
      <c r="E988" t="s">
        <v>66</v>
      </c>
      <c r="F988" t="s">
        <v>41</v>
      </c>
      <c r="G988">
        <v>119233</v>
      </c>
      <c r="H988">
        <v>9</v>
      </c>
      <c r="I988">
        <v>16</v>
      </c>
      <c r="J988">
        <v>5</v>
      </c>
      <c r="K988">
        <v>4</v>
      </c>
      <c r="L988">
        <v>3</v>
      </c>
      <c r="M988">
        <v>2</v>
      </c>
      <c r="N988" t="s">
        <v>31</v>
      </c>
      <c r="O988" t="s">
        <v>42</v>
      </c>
      <c r="P988">
        <v>18</v>
      </c>
      <c r="Q988">
        <v>10</v>
      </c>
      <c r="R988">
        <v>4</v>
      </c>
      <c r="S988" t="s">
        <v>31</v>
      </c>
      <c r="T988">
        <v>5</v>
      </c>
      <c r="U988" t="s">
        <v>31</v>
      </c>
      <c r="V988" s="1">
        <v>44252</v>
      </c>
    </row>
    <row r="989" spans="1:23" x14ac:dyDescent="0.35">
      <c r="A989" t="s">
        <v>1045</v>
      </c>
      <c r="B989">
        <v>23</v>
      </c>
      <c r="C989" t="s">
        <v>44</v>
      </c>
      <c r="D989" t="s">
        <v>45</v>
      </c>
      <c r="E989" t="s">
        <v>63</v>
      </c>
      <c r="F989" t="s">
        <v>78</v>
      </c>
      <c r="G989">
        <v>44758</v>
      </c>
      <c r="H989">
        <v>1</v>
      </c>
      <c r="I989">
        <v>1</v>
      </c>
      <c r="J989">
        <v>1</v>
      </c>
      <c r="K989">
        <v>3</v>
      </c>
      <c r="L989">
        <v>2</v>
      </c>
      <c r="M989">
        <v>2</v>
      </c>
      <c r="N989" t="s">
        <v>31</v>
      </c>
      <c r="O989" t="s">
        <v>32</v>
      </c>
      <c r="P989">
        <v>17</v>
      </c>
      <c r="Q989">
        <v>27</v>
      </c>
      <c r="R989">
        <v>3</v>
      </c>
      <c r="S989" t="s">
        <v>31</v>
      </c>
      <c r="T989">
        <v>4</v>
      </c>
      <c r="U989" t="s">
        <v>31</v>
      </c>
      <c r="V989" s="1">
        <v>45137</v>
      </c>
    </row>
    <row r="990" spans="1:23" x14ac:dyDescent="0.35">
      <c r="A990" t="s">
        <v>1046</v>
      </c>
      <c r="B990">
        <v>35</v>
      </c>
      <c r="C990" t="s">
        <v>27</v>
      </c>
      <c r="D990" t="s">
        <v>35</v>
      </c>
      <c r="E990" t="s">
        <v>36</v>
      </c>
      <c r="F990" t="s">
        <v>41</v>
      </c>
      <c r="G990">
        <v>66555</v>
      </c>
      <c r="H990">
        <v>4</v>
      </c>
      <c r="I990">
        <v>11</v>
      </c>
      <c r="J990">
        <v>2</v>
      </c>
      <c r="K990">
        <v>3</v>
      </c>
      <c r="L990">
        <v>2</v>
      </c>
      <c r="M990">
        <v>1</v>
      </c>
      <c r="N990" t="s">
        <v>33</v>
      </c>
      <c r="O990" t="s">
        <v>32</v>
      </c>
      <c r="P990">
        <v>23</v>
      </c>
      <c r="Q990">
        <v>33</v>
      </c>
      <c r="R990">
        <v>2</v>
      </c>
      <c r="S990" t="s">
        <v>31</v>
      </c>
      <c r="T990">
        <v>6</v>
      </c>
      <c r="U990" t="s">
        <v>31</v>
      </c>
      <c r="V990" s="1">
        <v>44543</v>
      </c>
    </row>
    <row r="991" spans="1:23" x14ac:dyDescent="0.35">
      <c r="A991" t="s">
        <v>1047</v>
      </c>
      <c r="B991">
        <v>34</v>
      </c>
      <c r="C991" t="s">
        <v>27</v>
      </c>
      <c r="D991" t="s">
        <v>28</v>
      </c>
      <c r="E991" t="s">
        <v>66</v>
      </c>
      <c r="F991" t="s">
        <v>37</v>
      </c>
      <c r="G991">
        <v>75803</v>
      </c>
      <c r="H991">
        <v>3</v>
      </c>
      <c r="I991">
        <v>12</v>
      </c>
      <c r="J991">
        <v>3</v>
      </c>
      <c r="K991">
        <v>4</v>
      </c>
      <c r="L991">
        <v>1</v>
      </c>
      <c r="M991">
        <v>1</v>
      </c>
      <c r="N991" t="s">
        <v>31</v>
      </c>
      <c r="O991" t="s">
        <v>32</v>
      </c>
      <c r="P991">
        <v>8</v>
      </c>
      <c r="Q991">
        <v>13</v>
      </c>
      <c r="R991">
        <v>3</v>
      </c>
      <c r="S991" t="s">
        <v>31</v>
      </c>
      <c r="T991">
        <v>7</v>
      </c>
      <c r="U991" t="s">
        <v>31</v>
      </c>
      <c r="V991" s="1">
        <v>42492</v>
      </c>
    </row>
    <row r="992" spans="1:23" x14ac:dyDescent="0.35">
      <c r="A992" t="s">
        <v>1048</v>
      </c>
      <c r="B992">
        <v>48</v>
      </c>
      <c r="C992" t="s">
        <v>44</v>
      </c>
      <c r="D992" t="s">
        <v>49</v>
      </c>
      <c r="E992" t="s">
        <v>50</v>
      </c>
      <c r="F992" t="s">
        <v>41</v>
      </c>
      <c r="G992">
        <v>63363</v>
      </c>
      <c r="H992">
        <v>2</v>
      </c>
      <c r="I992">
        <v>24</v>
      </c>
      <c r="J992">
        <v>2</v>
      </c>
      <c r="K992">
        <v>1</v>
      </c>
      <c r="L992">
        <v>4</v>
      </c>
      <c r="M992">
        <v>1</v>
      </c>
      <c r="N992" t="s">
        <v>31</v>
      </c>
      <c r="O992" t="s">
        <v>32</v>
      </c>
      <c r="P992">
        <v>16</v>
      </c>
      <c r="Q992">
        <v>16</v>
      </c>
      <c r="R992">
        <v>3</v>
      </c>
      <c r="S992" t="s">
        <v>31</v>
      </c>
      <c r="T992">
        <v>8</v>
      </c>
      <c r="U992" t="s">
        <v>31</v>
      </c>
      <c r="V992" s="1">
        <v>44518</v>
      </c>
    </row>
    <row r="993" spans="1:22" x14ac:dyDescent="0.35">
      <c r="A993" t="s">
        <v>1049</v>
      </c>
      <c r="B993">
        <v>52</v>
      </c>
      <c r="C993" t="s">
        <v>27</v>
      </c>
      <c r="D993" t="s">
        <v>52</v>
      </c>
      <c r="E993" t="s">
        <v>53</v>
      </c>
      <c r="F993" t="s">
        <v>30</v>
      </c>
      <c r="G993">
        <v>59654</v>
      </c>
      <c r="H993">
        <v>2</v>
      </c>
      <c r="I993">
        <v>29</v>
      </c>
      <c r="J993">
        <v>2</v>
      </c>
      <c r="K993">
        <v>1</v>
      </c>
      <c r="L993">
        <v>4</v>
      </c>
      <c r="M993">
        <v>1</v>
      </c>
      <c r="N993" t="s">
        <v>31</v>
      </c>
      <c r="O993" t="s">
        <v>32</v>
      </c>
      <c r="P993">
        <v>3</v>
      </c>
      <c r="Q993">
        <v>48</v>
      </c>
      <c r="R993">
        <v>4</v>
      </c>
      <c r="S993" t="s">
        <v>31</v>
      </c>
      <c r="T993">
        <v>5</v>
      </c>
      <c r="U993" t="s">
        <v>31</v>
      </c>
      <c r="V993" s="1">
        <v>42141</v>
      </c>
    </row>
    <row r="994" spans="1:22" x14ac:dyDescent="0.35">
      <c r="A994" t="s">
        <v>1050</v>
      </c>
      <c r="B994">
        <v>47</v>
      </c>
      <c r="C994" t="s">
        <v>44</v>
      </c>
      <c r="D994" t="s">
        <v>52</v>
      </c>
      <c r="E994" t="s">
        <v>55</v>
      </c>
      <c r="F994" t="s">
        <v>78</v>
      </c>
      <c r="G994">
        <v>129531</v>
      </c>
      <c r="H994">
        <v>13</v>
      </c>
      <c r="I994">
        <v>26</v>
      </c>
      <c r="J994">
        <v>5</v>
      </c>
      <c r="K994">
        <v>3</v>
      </c>
      <c r="L994">
        <v>2</v>
      </c>
      <c r="M994">
        <v>4</v>
      </c>
      <c r="N994" t="s">
        <v>31</v>
      </c>
      <c r="O994" t="s">
        <v>42</v>
      </c>
      <c r="P994">
        <v>17</v>
      </c>
      <c r="Q994">
        <v>36</v>
      </c>
      <c r="R994">
        <v>3</v>
      </c>
      <c r="S994" t="s">
        <v>31</v>
      </c>
      <c r="T994">
        <v>4</v>
      </c>
      <c r="U994" t="s">
        <v>31</v>
      </c>
      <c r="V994" s="1">
        <v>43810</v>
      </c>
    </row>
    <row r="995" spans="1:22" x14ac:dyDescent="0.35">
      <c r="A995" t="s">
        <v>1051</v>
      </c>
      <c r="B995">
        <v>23</v>
      </c>
      <c r="C995" t="s">
        <v>27</v>
      </c>
      <c r="D995" t="s">
        <v>28</v>
      </c>
      <c r="E995" t="s">
        <v>29</v>
      </c>
      <c r="F995" t="s">
        <v>37</v>
      </c>
      <c r="G995">
        <v>40638</v>
      </c>
      <c r="H995">
        <v>0</v>
      </c>
      <c r="I995">
        <v>1</v>
      </c>
      <c r="J995">
        <v>1</v>
      </c>
      <c r="K995">
        <v>1</v>
      </c>
      <c r="L995">
        <v>2</v>
      </c>
      <c r="M995">
        <v>3</v>
      </c>
      <c r="N995" t="s">
        <v>31</v>
      </c>
      <c r="O995" t="s">
        <v>32</v>
      </c>
      <c r="P995">
        <v>2</v>
      </c>
      <c r="Q995">
        <v>28</v>
      </c>
      <c r="R995">
        <v>3</v>
      </c>
      <c r="S995" t="s">
        <v>31</v>
      </c>
      <c r="T995">
        <v>2</v>
      </c>
      <c r="U995" t="s">
        <v>31</v>
      </c>
      <c r="V995" s="1">
        <v>41559</v>
      </c>
    </row>
    <row r="996" spans="1:22" x14ac:dyDescent="0.35">
      <c r="A996" t="s">
        <v>1052</v>
      </c>
      <c r="B996">
        <v>27</v>
      </c>
      <c r="C996" t="s">
        <v>44</v>
      </c>
      <c r="D996" t="s">
        <v>49</v>
      </c>
      <c r="E996" t="s">
        <v>50</v>
      </c>
      <c r="F996" t="s">
        <v>78</v>
      </c>
      <c r="G996">
        <v>60224</v>
      </c>
      <c r="H996">
        <v>1</v>
      </c>
      <c r="I996">
        <v>4</v>
      </c>
      <c r="J996">
        <v>2</v>
      </c>
      <c r="K996">
        <v>2</v>
      </c>
      <c r="L996">
        <v>3</v>
      </c>
      <c r="M996">
        <v>3</v>
      </c>
      <c r="N996" t="s">
        <v>31</v>
      </c>
      <c r="O996" t="s">
        <v>32</v>
      </c>
      <c r="P996">
        <v>10</v>
      </c>
      <c r="Q996">
        <v>50</v>
      </c>
      <c r="R996">
        <v>2</v>
      </c>
      <c r="S996" t="s">
        <v>31</v>
      </c>
      <c r="T996">
        <v>5</v>
      </c>
      <c r="U996" t="s">
        <v>31</v>
      </c>
      <c r="V996" s="1">
        <v>44840</v>
      </c>
    </row>
    <row r="997" spans="1:22" x14ac:dyDescent="0.35">
      <c r="A997" t="s">
        <v>1053</v>
      </c>
      <c r="B997">
        <v>53</v>
      </c>
      <c r="C997" t="s">
        <v>27</v>
      </c>
      <c r="D997" t="s">
        <v>45</v>
      </c>
      <c r="E997" t="s">
        <v>63</v>
      </c>
      <c r="F997" t="s">
        <v>56</v>
      </c>
      <c r="G997">
        <v>144452</v>
      </c>
      <c r="H997">
        <v>23</v>
      </c>
      <c r="I997">
        <v>29</v>
      </c>
      <c r="J997">
        <v>5</v>
      </c>
      <c r="K997">
        <v>2</v>
      </c>
      <c r="L997">
        <v>2</v>
      </c>
      <c r="M997">
        <v>2</v>
      </c>
      <c r="N997" t="s">
        <v>33</v>
      </c>
      <c r="O997" t="s">
        <v>42</v>
      </c>
      <c r="P997">
        <v>22</v>
      </c>
      <c r="Q997">
        <v>49</v>
      </c>
      <c r="R997">
        <v>3</v>
      </c>
      <c r="S997" t="s">
        <v>31</v>
      </c>
      <c r="T997">
        <v>5</v>
      </c>
      <c r="U997" t="s">
        <v>31</v>
      </c>
      <c r="V997" s="1">
        <v>42185</v>
      </c>
    </row>
    <row r="998" spans="1:22" x14ac:dyDescent="0.35">
      <c r="A998" t="s">
        <v>1054</v>
      </c>
      <c r="B998">
        <v>47</v>
      </c>
      <c r="C998" t="s">
        <v>27</v>
      </c>
      <c r="D998" t="s">
        <v>35</v>
      </c>
      <c r="E998" t="s">
        <v>36</v>
      </c>
      <c r="F998" t="s">
        <v>41</v>
      </c>
      <c r="G998">
        <v>87676</v>
      </c>
      <c r="H998">
        <v>7</v>
      </c>
      <c r="I998">
        <v>23</v>
      </c>
      <c r="J998">
        <v>3</v>
      </c>
      <c r="K998">
        <v>4</v>
      </c>
      <c r="L998">
        <v>3</v>
      </c>
      <c r="M998">
        <v>4</v>
      </c>
      <c r="N998" t="s">
        <v>31</v>
      </c>
      <c r="O998" t="s">
        <v>47</v>
      </c>
      <c r="P998">
        <v>24</v>
      </c>
      <c r="Q998">
        <v>57</v>
      </c>
      <c r="R998">
        <v>3</v>
      </c>
      <c r="S998" t="s">
        <v>31</v>
      </c>
      <c r="T998">
        <v>5</v>
      </c>
      <c r="U998" t="s">
        <v>31</v>
      </c>
      <c r="V998" s="1">
        <v>41295</v>
      </c>
    </row>
    <row r="999" spans="1:22" x14ac:dyDescent="0.35">
      <c r="A999" t="s">
        <v>1055</v>
      </c>
      <c r="B999">
        <v>49</v>
      </c>
      <c r="C999" t="s">
        <v>27</v>
      </c>
      <c r="D999" t="s">
        <v>45</v>
      </c>
      <c r="E999" t="s">
        <v>63</v>
      </c>
      <c r="F999" t="s">
        <v>41</v>
      </c>
      <c r="G999">
        <v>127168</v>
      </c>
      <c r="H999">
        <v>12</v>
      </c>
      <c r="I999">
        <v>28</v>
      </c>
      <c r="J999">
        <v>5</v>
      </c>
      <c r="K999">
        <v>2</v>
      </c>
      <c r="L999">
        <v>2</v>
      </c>
      <c r="M999">
        <v>1</v>
      </c>
      <c r="N999" t="s">
        <v>31</v>
      </c>
      <c r="O999" t="s">
        <v>32</v>
      </c>
      <c r="P999">
        <v>15</v>
      </c>
      <c r="Q999">
        <v>49</v>
      </c>
      <c r="R999">
        <v>4</v>
      </c>
      <c r="S999" t="s">
        <v>31</v>
      </c>
      <c r="T999">
        <v>1</v>
      </c>
      <c r="U999" t="s">
        <v>31</v>
      </c>
      <c r="V999" s="1">
        <v>44718</v>
      </c>
    </row>
    <row r="1000" spans="1:22" x14ac:dyDescent="0.35">
      <c r="A1000" t="s">
        <v>1056</v>
      </c>
      <c r="B1000">
        <v>25</v>
      </c>
      <c r="C1000" t="s">
        <v>27</v>
      </c>
      <c r="D1000" t="s">
        <v>52</v>
      </c>
      <c r="E1000" t="s">
        <v>55</v>
      </c>
      <c r="F1000" t="s">
        <v>56</v>
      </c>
      <c r="G1000">
        <v>43489</v>
      </c>
      <c r="H1000">
        <v>2</v>
      </c>
      <c r="I1000">
        <v>2</v>
      </c>
      <c r="J1000">
        <v>1</v>
      </c>
      <c r="K1000">
        <v>1</v>
      </c>
      <c r="L1000">
        <v>3</v>
      </c>
      <c r="M1000">
        <v>1</v>
      </c>
      <c r="N1000" t="s">
        <v>33</v>
      </c>
      <c r="O1000" t="s">
        <v>42</v>
      </c>
      <c r="P1000">
        <v>23</v>
      </c>
      <c r="Q1000">
        <v>59</v>
      </c>
      <c r="R1000">
        <v>4</v>
      </c>
      <c r="S1000" t="s">
        <v>31</v>
      </c>
      <c r="T1000">
        <v>9</v>
      </c>
      <c r="U1000" t="s">
        <v>31</v>
      </c>
      <c r="V1000" s="1">
        <v>43498</v>
      </c>
    </row>
    <row r="1001" spans="1:22" x14ac:dyDescent="0.35">
      <c r="A1001" t="s">
        <v>1057</v>
      </c>
      <c r="B1001">
        <v>51</v>
      </c>
      <c r="C1001" t="s">
        <v>27</v>
      </c>
      <c r="D1001" t="s">
        <v>52</v>
      </c>
      <c r="E1001" t="s">
        <v>53</v>
      </c>
      <c r="F1001" t="s">
        <v>37</v>
      </c>
      <c r="G1001">
        <v>148162</v>
      </c>
      <c r="H1001">
        <v>23</v>
      </c>
      <c r="I1001">
        <v>28</v>
      </c>
      <c r="J1001">
        <v>5</v>
      </c>
      <c r="K1001">
        <v>2</v>
      </c>
      <c r="L1001">
        <v>4</v>
      </c>
      <c r="M1001">
        <v>1</v>
      </c>
      <c r="N1001" t="s">
        <v>31</v>
      </c>
      <c r="O1001" t="s">
        <v>32</v>
      </c>
      <c r="P1001">
        <v>15</v>
      </c>
      <c r="Q1001">
        <v>45</v>
      </c>
      <c r="R1001">
        <v>4</v>
      </c>
      <c r="S1001" t="s">
        <v>31</v>
      </c>
      <c r="T1001">
        <v>4</v>
      </c>
      <c r="U1001" t="s">
        <v>31</v>
      </c>
      <c r="V1001" s="1">
        <v>43350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C798-E8AB-46A5-9F8D-F77149ADE82F}">
  <dimension ref="A1:Z1001"/>
  <sheetViews>
    <sheetView tabSelected="1" topLeftCell="Q1" workbookViewId="0">
      <selection activeCell="G12" sqref="G12"/>
    </sheetView>
  </sheetViews>
  <sheetFormatPr defaultRowHeight="14.5" x14ac:dyDescent="0.35"/>
  <cols>
    <col min="1" max="1" width="13.81640625" customWidth="1"/>
    <col min="3" max="3" width="9" customWidth="1"/>
    <col min="4" max="4" width="13.08984375" customWidth="1"/>
    <col min="5" max="5" width="18.54296875" bestFit="1" customWidth="1"/>
    <col min="6" max="6" width="11.1796875" customWidth="1"/>
    <col min="7" max="7" width="17.08984375" customWidth="1"/>
    <col min="8" max="8" width="19.1796875" customWidth="1"/>
    <col min="9" max="9" width="20.7265625" customWidth="1"/>
    <col min="10" max="10" width="10.81640625" customWidth="1"/>
    <col min="11" max="11" width="16.36328125" customWidth="1"/>
    <col min="12" max="12" width="24.36328125" customWidth="1"/>
    <col min="13" max="13" width="18.81640625" customWidth="1"/>
    <col min="14" max="14" width="10.90625" customWidth="1"/>
    <col min="15" max="15" width="16.08984375" customWidth="1"/>
    <col min="16" max="16" width="21.36328125" customWidth="1"/>
    <col min="17" max="17" width="15.54296875" customWidth="1"/>
    <col min="18" max="18" width="19.90625" customWidth="1"/>
    <col min="19" max="19" width="23.7265625" customWidth="1"/>
    <col min="20" max="20" width="18.6328125" customWidth="1"/>
    <col min="21" max="21" width="10" customWidth="1"/>
    <col min="22" max="22" width="13.54296875" customWidth="1"/>
    <col min="23" max="23" width="10.90625" customWidth="1"/>
    <col min="24" max="24" width="17.54296875" customWidth="1"/>
    <col min="25" max="25" width="11.6328125" customWidth="1"/>
    <col min="26" max="26" width="15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50</v>
      </c>
      <c r="C2" t="s">
        <v>27</v>
      </c>
      <c r="D2" t="s">
        <v>28</v>
      </c>
      <c r="E2" t="s">
        <v>29</v>
      </c>
      <c r="F2" t="s">
        <v>30</v>
      </c>
      <c r="G2">
        <v>146578</v>
      </c>
      <c r="H2">
        <v>22</v>
      </c>
      <c r="I2">
        <v>27</v>
      </c>
      <c r="J2">
        <v>5</v>
      </c>
      <c r="K2">
        <v>4</v>
      </c>
      <c r="L2">
        <v>1</v>
      </c>
      <c r="M2">
        <v>4</v>
      </c>
      <c r="N2" t="s">
        <v>31</v>
      </c>
      <c r="O2" t="s">
        <v>32</v>
      </c>
      <c r="P2">
        <v>24</v>
      </c>
      <c r="Q2">
        <v>53</v>
      </c>
      <c r="R2">
        <v>2</v>
      </c>
      <c r="S2" t="s">
        <v>33</v>
      </c>
      <c r="T2">
        <v>0</v>
      </c>
      <c r="U2" t="s">
        <v>33</v>
      </c>
      <c r="V2" s="1">
        <v>42093</v>
      </c>
      <c r="W2" s="1">
        <v>42652</v>
      </c>
      <c r="X2" s="1" t="str">
        <f>IF(ISBLANK(W2), "Active", TEXT(W2, "yyyy-mm-dd"))</f>
        <v>2016-10-09</v>
      </c>
      <c r="Y2" t="str">
        <f>_xlfn.IFS(B2&lt;=25, "18-25", B2&lt;=35, "26-35", B2&lt;=45, "36-45", B2&lt;=55, "46-55", B2&gt;55, "56+")</f>
        <v>46-55</v>
      </c>
      <c r="Z2" t="str">
        <f>_xlfn.IFS(H2&lt;=1, "0-1 Year", H2&lt;=3, "2-3 Years", H2&lt;=5, "4-5 Years", H2&lt;=10, "6-10 Years", H2&gt;10, "10+ Years")</f>
        <v>10+ Years</v>
      </c>
    </row>
    <row r="3" spans="1:26" x14ac:dyDescent="0.35">
      <c r="A3" t="s">
        <v>34</v>
      </c>
      <c r="B3">
        <v>43</v>
      </c>
      <c r="C3" t="s">
        <v>27</v>
      </c>
      <c r="D3" t="s">
        <v>35</v>
      </c>
      <c r="E3" t="s">
        <v>36</v>
      </c>
      <c r="F3" t="s">
        <v>37</v>
      </c>
      <c r="G3">
        <v>122643</v>
      </c>
      <c r="H3">
        <v>9</v>
      </c>
      <c r="I3">
        <v>20</v>
      </c>
      <c r="J3">
        <v>5</v>
      </c>
      <c r="K3">
        <v>4</v>
      </c>
      <c r="L3">
        <v>4</v>
      </c>
      <c r="M3">
        <v>3</v>
      </c>
      <c r="N3" t="s">
        <v>31</v>
      </c>
      <c r="O3" t="s">
        <v>32</v>
      </c>
      <c r="P3">
        <v>23</v>
      </c>
      <c r="Q3">
        <v>12</v>
      </c>
      <c r="R3">
        <v>3</v>
      </c>
      <c r="S3" t="s">
        <v>33</v>
      </c>
      <c r="T3">
        <v>2</v>
      </c>
      <c r="U3" t="s">
        <v>33</v>
      </c>
      <c r="V3" s="1">
        <v>42970</v>
      </c>
      <c r="W3" s="1">
        <v>43311</v>
      </c>
      <c r="X3" s="1" t="str">
        <f t="shared" ref="X3:X66" si="0">IF(ISBLANK(W3), "Active", TEXT(W3, "yyyy-mm-dd"))</f>
        <v>2018-07-30</v>
      </c>
      <c r="Y3" t="str">
        <f t="shared" ref="Y3:Y66" si="1">_xlfn.IFS(B3&lt;=25, "18-25", B3&lt;=35, "26-35", B3&lt;=45, "36-45", B3&lt;=55, "46-55", B3&gt;55, "56+")</f>
        <v>36-45</v>
      </c>
      <c r="Z3" t="str">
        <f t="shared" ref="Z3:Z66" si="2">_xlfn.IFS(H3&lt;=1, "0-1 Year", H3&lt;=3, "2-3 Years", H3&lt;=5, "4-5 Years", H3&lt;=10, "6-10 Years", H3&gt;10, "10+ Years")</f>
        <v>6-10 Years</v>
      </c>
    </row>
    <row r="4" spans="1:26" x14ac:dyDescent="0.35">
      <c r="A4" t="s">
        <v>38</v>
      </c>
      <c r="B4">
        <v>30</v>
      </c>
      <c r="C4" t="s">
        <v>27</v>
      </c>
      <c r="D4" t="s">
        <v>39</v>
      </c>
      <c r="E4" t="s">
        <v>40</v>
      </c>
      <c r="F4" t="s">
        <v>41</v>
      </c>
      <c r="G4">
        <v>58775</v>
      </c>
      <c r="H4">
        <v>3</v>
      </c>
      <c r="I4">
        <v>7</v>
      </c>
      <c r="J4">
        <v>2</v>
      </c>
      <c r="K4">
        <v>3</v>
      </c>
      <c r="L4">
        <v>3</v>
      </c>
      <c r="M4">
        <v>2</v>
      </c>
      <c r="N4" t="s">
        <v>33</v>
      </c>
      <c r="O4" t="s">
        <v>42</v>
      </c>
      <c r="P4">
        <v>6</v>
      </c>
      <c r="Q4">
        <v>51</v>
      </c>
      <c r="R4">
        <v>3</v>
      </c>
      <c r="S4" t="s">
        <v>31</v>
      </c>
      <c r="T4">
        <v>3</v>
      </c>
      <c r="U4" t="s">
        <v>31</v>
      </c>
      <c r="V4" s="1">
        <v>41904</v>
      </c>
      <c r="X4" s="1" t="str">
        <f t="shared" si="0"/>
        <v>Active</v>
      </c>
      <c r="Y4" t="str">
        <f t="shared" si="1"/>
        <v>26-35</v>
      </c>
      <c r="Z4" t="str">
        <f t="shared" si="2"/>
        <v>2-3 Years</v>
      </c>
    </row>
    <row r="5" spans="1:26" x14ac:dyDescent="0.35">
      <c r="A5" t="s">
        <v>43</v>
      </c>
      <c r="B5">
        <v>35</v>
      </c>
      <c r="C5" t="s">
        <v>44</v>
      </c>
      <c r="D5" t="s">
        <v>45</v>
      </c>
      <c r="E5" t="s">
        <v>46</v>
      </c>
      <c r="F5" t="s">
        <v>41</v>
      </c>
      <c r="G5">
        <v>130892</v>
      </c>
      <c r="H5">
        <v>13</v>
      </c>
      <c r="I5">
        <v>14</v>
      </c>
      <c r="J5">
        <v>5</v>
      </c>
      <c r="K5">
        <v>4</v>
      </c>
      <c r="L5">
        <v>1</v>
      </c>
      <c r="M5">
        <v>2</v>
      </c>
      <c r="N5" t="s">
        <v>31</v>
      </c>
      <c r="O5" t="s">
        <v>47</v>
      </c>
      <c r="P5">
        <v>28</v>
      </c>
      <c r="Q5">
        <v>54</v>
      </c>
      <c r="R5">
        <v>3</v>
      </c>
      <c r="S5" t="s">
        <v>31</v>
      </c>
      <c r="T5">
        <v>5</v>
      </c>
      <c r="U5" t="s">
        <v>31</v>
      </c>
      <c r="V5" s="1">
        <v>41300</v>
      </c>
      <c r="X5" s="1" t="str">
        <f t="shared" si="0"/>
        <v>Active</v>
      </c>
      <c r="Y5" t="str">
        <f t="shared" si="1"/>
        <v>26-35</v>
      </c>
      <c r="Z5" t="str">
        <f t="shared" si="2"/>
        <v>10+ Years</v>
      </c>
    </row>
    <row r="6" spans="1:26" x14ac:dyDescent="0.35">
      <c r="A6" t="s">
        <v>48</v>
      </c>
      <c r="B6">
        <v>56</v>
      </c>
      <c r="C6" t="s">
        <v>44</v>
      </c>
      <c r="D6" t="s">
        <v>49</v>
      </c>
      <c r="E6" t="s">
        <v>50</v>
      </c>
      <c r="F6" t="s">
        <v>30</v>
      </c>
      <c r="G6">
        <v>151200</v>
      </c>
      <c r="H6">
        <v>27</v>
      </c>
      <c r="I6">
        <v>33</v>
      </c>
      <c r="J6">
        <v>5</v>
      </c>
      <c r="K6">
        <v>4</v>
      </c>
      <c r="L6">
        <v>4</v>
      </c>
      <c r="M6">
        <v>2</v>
      </c>
      <c r="N6" t="s">
        <v>31</v>
      </c>
      <c r="O6" t="s">
        <v>32</v>
      </c>
      <c r="P6">
        <v>5</v>
      </c>
      <c r="Q6">
        <v>44</v>
      </c>
      <c r="R6">
        <v>2</v>
      </c>
      <c r="S6" t="s">
        <v>31</v>
      </c>
      <c r="T6">
        <v>7</v>
      </c>
      <c r="U6" t="s">
        <v>31</v>
      </c>
      <c r="V6" s="1">
        <v>41115</v>
      </c>
      <c r="X6" s="1" t="str">
        <f t="shared" si="0"/>
        <v>Active</v>
      </c>
      <c r="Y6" t="str">
        <f t="shared" si="1"/>
        <v>56+</v>
      </c>
      <c r="Z6" t="str">
        <f t="shared" si="2"/>
        <v>10+ Years</v>
      </c>
    </row>
    <row r="7" spans="1:26" x14ac:dyDescent="0.35">
      <c r="A7" t="s">
        <v>51</v>
      </c>
      <c r="B7">
        <v>36</v>
      </c>
      <c r="C7" t="s">
        <v>27</v>
      </c>
      <c r="D7" t="s">
        <v>52</v>
      </c>
      <c r="E7" t="s">
        <v>53</v>
      </c>
      <c r="F7" t="s">
        <v>37</v>
      </c>
      <c r="G7">
        <v>79563</v>
      </c>
      <c r="H7">
        <v>6</v>
      </c>
      <c r="I7">
        <v>13</v>
      </c>
      <c r="J7">
        <v>3</v>
      </c>
      <c r="K7">
        <v>1</v>
      </c>
      <c r="L7">
        <v>4</v>
      </c>
      <c r="M7">
        <v>4</v>
      </c>
      <c r="N7" t="s">
        <v>33</v>
      </c>
      <c r="O7" t="s">
        <v>32</v>
      </c>
      <c r="P7">
        <v>11</v>
      </c>
      <c r="Q7">
        <v>38</v>
      </c>
      <c r="R7">
        <v>4</v>
      </c>
      <c r="S7" t="s">
        <v>31</v>
      </c>
      <c r="T7">
        <v>2</v>
      </c>
      <c r="U7" t="s">
        <v>33</v>
      </c>
      <c r="V7" s="1">
        <v>42506</v>
      </c>
      <c r="W7" s="1">
        <v>43251</v>
      </c>
      <c r="X7" s="1" t="str">
        <f t="shared" si="0"/>
        <v>2018-05-31</v>
      </c>
      <c r="Y7" t="str">
        <f t="shared" si="1"/>
        <v>36-45</v>
      </c>
      <c r="Z7" t="str">
        <f t="shared" si="2"/>
        <v>6-10 Years</v>
      </c>
    </row>
    <row r="8" spans="1:26" x14ac:dyDescent="0.35">
      <c r="A8" t="s">
        <v>54</v>
      </c>
      <c r="B8">
        <v>49</v>
      </c>
      <c r="C8" t="s">
        <v>44</v>
      </c>
      <c r="D8" t="s">
        <v>52</v>
      </c>
      <c r="E8" t="s">
        <v>55</v>
      </c>
      <c r="F8" t="s">
        <v>56</v>
      </c>
      <c r="G8">
        <v>118529</v>
      </c>
      <c r="H8">
        <v>10</v>
      </c>
      <c r="I8">
        <v>27</v>
      </c>
      <c r="J8">
        <v>5</v>
      </c>
      <c r="K8">
        <v>3</v>
      </c>
      <c r="L8">
        <v>4</v>
      </c>
      <c r="M8">
        <v>1</v>
      </c>
      <c r="N8" t="s">
        <v>33</v>
      </c>
      <c r="O8" t="s">
        <v>32</v>
      </c>
      <c r="P8">
        <v>25</v>
      </c>
      <c r="Q8">
        <v>22</v>
      </c>
      <c r="R8">
        <v>3</v>
      </c>
      <c r="S8" t="s">
        <v>33</v>
      </c>
      <c r="T8">
        <v>1</v>
      </c>
      <c r="U8" t="s">
        <v>31</v>
      </c>
      <c r="V8" s="1">
        <v>44657</v>
      </c>
      <c r="X8" s="1" t="str">
        <f t="shared" si="0"/>
        <v>Active</v>
      </c>
      <c r="Y8" t="str">
        <f t="shared" si="1"/>
        <v>46-55</v>
      </c>
      <c r="Z8" t="str">
        <f t="shared" si="2"/>
        <v>6-10 Years</v>
      </c>
    </row>
    <row r="9" spans="1:26" x14ac:dyDescent="0.35">
      <c r="A9" t="s">
        <v>57</v>
      </c>
      <c r="B9">
        <v>54</v>
      </c>
      <c r="C9" t="s">
        <v>27</v>
      </c>
      <c r="D9" t="s">
        <v>52</v>
      </c>
      <c r="E9" t="s">
        <v>55</v>
      </c>
      <c r="F9" t="s">
        <v>37</v>
      </c>
      <c r="G9">
        <v>160495</v>
      </c>
      <c r="H9">
        <v>31</v>
      </c>
      <c r="I9">
        <v>32</v>
      </c>
      <c r="J9">
        <v>5</v>
      </c>
      <c r="K9">
        <v>1</v>
      </c>
      <c r="L9">
        <v>4</v>
      </c>
      <c r="M9">
        <v>1</v>
      </c>
      <c r="N9" t="s">
        <v>33</v>
      </c>
      <c r="O9" t="s">
        <v>32</v>
      </c>
      <c r="P9">
        <v>7</v>
      </c>
      <c r="Q9">
        <v>11</v>
      </c>
      <c r="R9">
        <v>2</v>
      </c>
      <c r="S9" t="s">
        <v>33</v>
      </c>
      <c r="T9">
        <v>5</v>
      </c>
      <c r="U9" t="s">
        <v>31</v>
      </c>
      <c r="V9" s="1">
        <v>44383</v>
      </c>
      <c r="X9" s="1" t="str">
        <f t="shared" si="0"/>
        <v>Active</v>
      </c>
      <c r="Y9" t="str">
        <f t="shared" si="1"/>
        <v>46-55</v>
      </c>
      <c r="Z9" t="str">
        <f t="shared" si="2"/>
        <v>10+ Years</v>
      </c>
    </row>
    <row r="10" spans="1:26" x14ac:dyDescent="0.35">
      <c r="A10" t="s">
        <v>58</v>
      </c>
      <c r="B10">
        <v>23</v>
      </c>
      <c r="C10" t="s">
        <v>27</v>
      </c>
      <c r="D10" t="s">
        <v>39</v>
      </c>
      <c r="E10" t="s">
        <v>59</v>
      </c>
      <c r="F10" t="s">
        <v>41</v>
      </c>
      <c r="G10">
        <v>56218</v>
      </c>
      <c r="H10">
        <v>0</v>
      </c>
      <c r="I10">
        <v>1</v>
      </c>
      <c r="J10">
        <v>2</v>
      </c>
      <c r="K10">
        <v>1</v>
      </c>
      <c r="L10">
        <v>3</v>
      </c>
      <c r="M10">
        <v>2</v>
      </c>
      <c r="N10" t="s">
        <v>31</v>
      </c>
      <c r="O10" t="s">
        <v>32</v>
      </c>
      <c r="P10">
        <v>11</v>
      </c>
      <c r="Q10">
        <v>57</v>
      </c>
      <c r="R10">
        <v>3</v>
      </c>
      <c r="S10" t="s">
        <v>31</v>
      </c>
      <c r="T10">
        <v>6</v>
      </c>
      <c r="U10" t="s">
        <v>31</v>
      </c>
      <c r="V10" s="1">
        <v>41055</v>
      </c>
      <c r="X10" s="1" t="str">
        <f t="shared" si="0"/>
        <v>Active</v>
      </c>
      <c r="Y10" t="str">
        <f t="shared" si="1"/>
        <v>18-25</v>
      </c>
      <c r="Z10" t="str">
        <f t="shared" si="2"/>
        <v>0-1 Year</v>
      </c>
    </row>
    <row r="11" spans="1:26" x14ac:dyDescent="0.35">
      <c r="A11" t="s">
        <v>60</v>
      </c>
      <c r="B11">
        <v>41</v>
      </c>
      <c r="C11" t="s">
        <v>44</v>
      </c>
      <c r="D11" t="s">
        <v>52</v>
      </c>
      <c r="E11" t="s">
        <v>53</v>
      </c>
      <c r="F11" t="s">
        <v>61</v>
      </c>
      <c r="G11">
        <v>96919</v>
      </c>
      <c r="H11">
        <v>6</v>
      </c>
      <c r="I11">
        <v>17</v>
      </c>
      <c r="J11">
        <v>4</v>
      </c>
      <c r="K11">
        <v>1</v>
      </c>
      <c r="L11">
        <v>3</v>
      </c>
      <c r="M11">
        <v>4</v>
      </c>
      <c r="N11" t="s">
        <v>33</v>
      </c>
      <c r="O11" t="s">
        <v>32</v>
      </c>
      <c r="P11">
        <v>10</v>
      </c>
      <c r="Q11">
        <v>44</v>
      </c>
      <c r="R11">
        <v>3</v>
      </c>
      <c r="S11" t="s">
        <v>31</v>
      </c>
      <c r="T11">
        <v>8</v>
      </c>
      <c r="U11" t="s">
        <v>31</v>
      </c>
      <c r="V11" s="1">
        <v>42591</v>
      </c>
      <c r="X11" s="1" t="str">
        <f t="shared" si="0"/>
        <v>Active</v>
      </c>
      <c r="Y11" t="str">
        <f t="shared" si="1"/>
        <v>36-45</v>
      </c>
      <c r="Z11" t="str">
        <f t="shared" si="2"/>
        <v>6-10 Years</v>
      </c>
    </row>
    <row r="12" spans="1:26" x14ac:dyDescent="0.35">
      <c r="A12" t="s">
        <v>62</v>
      </c>
      <c r="B12">
        <v>37</v>
      </c>
      <c r="C12" t="s">
        <v>44</v>
      </c>
      <c r="D12" t="s">
        <v>45</v>
      </c>
      <c r="E12" t="s">
        <v>63</v>
      </c>
      <c r="F12" t="s">
        <v>61</v>
      </c>
      <c r="G12">
        <v>59648</v>
      </c>
      <c r="H12">
        <v>3</v>
      </c>
      <c r="I12">
        <v>13</v>
      </c>
      <c r="J12">
        <v>2</v>
      </c>
      <c r="K12">
        <v>4</v>
      </c>
      <c r="L12">
        <v>4</v>
      </c>
      <c r="M12">
        <v>2</v>
      </c>
      <c r="N12" t="s">
        <v>31</v>
      </c>
      <c r="O12" t="s">
        <v>32</v>
      </c>
      <c r="P12">
        <v>25</v>
      </c>
      <c r="Q12">
        <v>44</v>
      </c>
      <c r="R12">
        <v>3</v>
      </c>
      <c r="S12" t="s">
        <v>31</v>
      </c>
      <c r="T12">
        <v>6</v>
      </c>
      <c r="U12" t="s">
        <v>31</v>
      </c>
      <c r="V12" s="1">
        <v>42209</v>
      </c>
      <c r="X12" s="1" t="str">
        <f t="shared" si="0"/>
        <v>Active</v>
      </c>
      <c r="Y12" t="str">
        <f t="shared" si="1"/>
        <v>36-45</v>
      </c>
      <c r="Z12" t="str">
        <f t="shared" si="2"/>
        <v>2-3 Years</v>
      </c>
    </row>
    <row r="13" spans="1:26" x14ac:dyDescent="0.35">
      <c r="A13" t="s">
        <v>64</v>
      </c>
      <c r="B13">
        <v>41</v>
      </c>
      <c r="C13" t="s">
        <v>27</v>
      </c>
      <c r="D13" t="s">
        <v>49</v>
      </c>
      <c r="E13" t="s">
        <v>50</v>
      </c>
      <c r="F13" t="s">
        <v>61</v>
      </c>
      <c r="G13">
        <v>108565</v>
      </c>
      <c r="H13">
        <v>11</v>
      </c>
      <c r="I13">
        <v>17</v>
      </c>
      <c r="J13">
        <v>4</v>
      </c>
      <c r="K13">
        <v>3</v>
      </c>
      <c r="L13">
        <v>2</v>
      </c>
      <c r="M13">
        <v>2</v>
      </c>
      <c r="N13" t="s">
        <v>31</v>
      </c>
      <c r="O13" t="s">
        <v>32</v>
      </c>
      <c r="P13">
        <v>8</v>
      </c>
      <c r="Q13">
        <v>36</v>
      </c>
      <c r="R13">
        <v>3</v>
      </c>
      <c r="S13" t="s">
        <v>31</v>
      </c>
      <c r="T13">
        <v>7</v>
      </c>
      <c r="U13" t="s">
        <v>31</v>
      </c>
      <c r="V13" s="1">
        <v>42152</v>
      </c>
      <c r="X13" s="1" t="str">
        <f t="shared" si="0"/>
        <v>Active</v>
      </c>
      <c r="Y13" t="str">
        <f t="shared" si="1"/>
        <v>36-45</v>
      </c>
      <c r="Z13" t="str">
        <f t="shared" si="2"/>
        <v>10+ Years</v>
      </c>
    </row>
    <row r="14" spans="1:26" x14ac:dyDescent="0.35">
      <c r="A14" t="s">
        <v>65</v>
      </c>
      <c r="B14">
        <v>51</v>
      </c>
      <c r="C14" t="s">
        <v>44</v>
      </c>
      <c r="D14" t="s">
        <v>28</v>
      </c>
      <c r="E14" t="s">
        <v>66</v>
      </c>
      <c r="F14" t="s">
        <v>37</v>
      </c>
      <c r="G14">
        <v>85327</v>
      </c>
      <c r="H14">
        <v>8</v>
      </c>
      <c r="I14">
        <v>27</v>
      </c>
      <c r="J14">
        <v>3</v>
      </c>
      <c r="K14">
        <v>1</v>
      </c>
      <c r="L14">
        <v>1</v>
      </c>
      <c r="M14">
        <v>2</v>
      </c>
      <c r="N14" t="s">
        <v>31</v>
      </c>
      <c r="O14" t="s">
        <v>42</v>
      </c>
      <c r="P14">
        <v>29</v>
      </c>
      <c r="Q14">
        <v>30</v>
      </c>
      <c r="R14">
        <v>4</v>
      </c>
      <c r="S14" t="s">
        <v>31</v>
      </c>
      <c r="T14">
        <v>6</v>
      </c>
      <c r="U14" t="s">
        <v>31</v>
      </c>
      <c r="V14" s="1">
        <v>44923</v>
      </c>
      <c r="X14" s="1" t="str">
        <f t="shared" si="0"/>
        <v>Active</v>
      </c>
      <c r="Y14" t="str">
        <f t="shared" si="1"/>
        <v>46-55</v>
      </c>
      <c r="Z14" t="str">
        <f t="shared" si="2"/>
        <v>6-10 Years</v>
      </c>
    </row>
    <row r="15" spans="1:26" x14ac:dyDescent="0.35">
      <c r="A15" t="s">
        <v>67</v>
      </c>
      <c r="B15">
        <v>43</v>
      </c>
      <c r="C15" t="s">
        <v>27</v>
      </c>
      <c r="D15" t="s">
        <v>49</v>
      </c>
      <c r="E15" t="s">
        <v>68</v>
      </c>
      <c r="F15" t="s">
        <v>30</v>
      </c>
      <c r="G15">
        <v>136560</v>
      </c>
      <c r="H15">
        <v>16</v>
      </c>
      <c r="I15">
        <v>21</v>
      </c>
      <c r="J15">
        <v>5</v>
      </c>
      <c r="K15">
        <v>3</v>
      </c>
      <c r="L15">
        <v>2</v>
      </c>
      <c r="M15">
        <v>4</v>
      </c>
      <c r="N15" t="s">
        <v>33</v>
      </c>
      <c r="O15" t="s">
        <v>32</v>
      </c>
      <c r="P15">
        <v>18</v>
      </c>
      <c r="Q15">
        <v>34</v>
      </c>
      <c r="R15">
        <v>3</v>
      </c>
      <c r="S15" t="s">
        <v>33</v>
      </c>
      <c r="T15">
        <v>1</v>
      </c>
      <c r="U15" t="s">
        <v>31</v>
      </c>
      <c r="V15" s="1">
        <v>45024</v>
      </c>
      <c r="X15" s="1" t="str">
        <f t="shared" si="0"/>
        <v>Active</v>
      </c>
      <c r="Y15" t="str">
        <f t="shared" si="1"/>
        <v>36-45</v>
      </c>
      <c r="Z15" t="str">
        <f t="shared" si="2"/>
        <v>10+ Years</v>
      </c>
    </row>
    <row r="16" spans="1:26" x14ac:dyDescent="0.35">
      <c r="A16" t="s">
        <v>69</v>
      </c>
      <c r="B16">
        <v>22</v>
      </c>
      <c r="C16" t="s">
        <v>27</v>
      </c>
      <c r="D16" t="s">
        <v>45</v>
      </c>
      <c r="E16" t="s">
        <v>63</v>
      </c>
      <c r="F16" t="s">
        <v>56</v>
      </c>
      <c r="G16">
        <v>38166</v>
      </c>
      <c r="H16">
        <v>0</v>
      </c>
      <c r="I16">
        <v>1</v>
      </c>
      <c r="J16">
        <v>1</v>
      </c>
      <c r="K16">
        <v>4</v>
      </c>
      <c r="L16">
        <v>2</v>
      </c>
      <c r="M16">
        <v>2</v>
      </c>
      <c r="N16" t="s">
        <v>31</v>
      </c>
      <c r="O16" t="s">
        <v>32</v>
      </c>
      <c r="P16">
        <v>26</v>
      </c>
      <c r="Q16">
        <v>31</v>
      </c>
      <c r="R16">
        <v>3</v>
      </c>
      <c r="S16" t="s">
        <v>31</v>
      </c>
      <c r="T16">
        <v>2</v>
      </c>
      <c r="U16" t="s">
        <v>31</v>
      </c>
      <c r="V16" s="1">
        <v>43400</v>
      </c>
      <c r="X16" s="1" t="str">
        <f t="shared" si="0"/>
        <v>Active</v>
      </c>
      <c r="Y16" t="str">
        <f t="shared" si="1"/>
        <v>18-25</v>
      </c>
      <c r="Z16" t="str">
        <f t="shared" si="2"/>
        <v>0-1 Year</v>
      </c>
    </row>
    <row r="17" spans="1:26" x14ac:dyDescent="0.35">
      <c r="A17" t="s">
        <v>70</v>
      </c>
      <c r="B17">
        <v>58</v>
      </c>
      <c r="C17" t="s">
        <v>27</v>
      </c>
      <c r="D17" t="s">
        <v>28</v>
      </c>
      <c r="E17" t="s">
        <v>66</v>
      </c>
      <c r="F17" t="s">
        <v>41</v>
      </c>
      <c r="G17">
        <v>65315</v>
      </c>
      <c r="H17">
        <v>4</v>
      </c>
      <c r="I17">
        <v>34</v>
      </c>
      <c r="J17">
        <v>2</v>
      </c>
      <c r="K17">
        <v>2</v>
      </c>
      <c r="L17">
        <v>1</v>
      </c>
      <c r="M17">
        <v>4</v>
      </c>
      <c r="N17" t="s">
        <v>31</v>
      </c>
      <c r="O17" t="s">
        <v>32</v>
      </c>
      <c r="P17">
        <v>20</v>
      </c>
      <c r="Q17">
        <v>25</v>
      </c>
      <c r="R17">
        <v>3</v>
      </c>
      <c r="S17" t="s">
        <v>31</v>
      </c>
      <c r="T17">
        <v>6</v>
      </c>
      <c r="U17" t="s">
        <v>31</v>
      </c>
      <c r="V17" s="1">
        <v>41025</v>
      </c>
      <c r="X17" s="1" t="str">
        <f t="shared" si="0"/>
        <v>Active</v>
      </c>
      <c r="Y17" t="str">
        <f t="shared" si="1"/>
        <v>56+</v>
      </c>
      <c r="Z17" t="str">
        <f t="shared" si="2"/>
        <v>4-5 Years</v>
      </c>
    </row>
    <row r="18" spans="1:26" x14ac:dyDescent="0.35">
      <c r="A18" t="s">
        <v>71</v>
      </c>
      <c r="B18">
        <v>44</v>
      </c>
      <c r="C18" t="s">
        <v>27</v>
      </c>
      <c r="D18" t="s">
        <v>52</v>
      </c>
      <c r="E18" t="s">
        <v>53</v>
      </c>
      <c r="F18" t="s">
        <v>61</v>
      </c>
      <c r="G18">
        <v>39849</v>
      </c>
      <c r="H18">
        <v>0</v>
      </c>
      <c r="I18">
        <v>22</v>
      </c>
      <c r="J18">
        <v>1</v>
      </c>
      <c r="K18">
        <v>4</v>
      </c>
      <c r="L18">
        <v>2</v>
      </c>
      <c r="M18">
        <v>2</v>
      </c>
      <c r="N18" t="s">
        <v>31</v>
      </c>
      <c r="O18" t="s">
        <v>32</v>
      </c>
      <c r="P18">
        <v>16</v>
      </c>
      <c r="Q18">
        <v>48</v>
      </c>
      <c r="R18">
        <v>3</v>
      </c>
      <c r="S18" t="s">
        <v>31</v>
      </c>
      <c r="T18">
        <v>4</v>
      </c>
      <c r="U18" t="s">
        <v>31</v>
      </c>
      <c r="V18" s="1">
        <v>43653</v>
      </c>
      <c r="X18" s="1" t="str">
        <f t="shared" si="0"/>
        <v>Active</v>
      </c>
      <c r="Y18" t="str">
        <f t="shared" si="1"/>
        <v>36-45</v>
      </c>
      <c r="Z18" t="str">
        <f t="shared" si="2"/>
        <v>0-1 Year</v>
      </c>
    </row>
    <row r="19" spans="1:26" x14ac:dyDescent="0.35">
      <c r="A19" t="s">
        <v>72</v>
      </c>
      <c r="B19">
        <v>50</v>
      </c>
      <c r="C19" t="s">
        <v>27</v>
      </c>
      <c r="D19" t="s">
        <v>28</v>
      </c>
      <c r="E19" t="s">
        <v>29</v>
      </c>
      <c r="F19" t="s">
        <v>61</v>
      </c>
      <c r="G19">
        <v>126059</v>
      </c>
      <c r="H19">
        <v>13</v>
      </c>
      <c r="I19">
        <v>28</v>
      </c>
      <c r="J19">
        <v>5</v>
      </c>
      <c r="K19">
        <v>1</v>
      </c>
      <c r="L19">
        <v>4</v>
      </c>
      <c r="M19">
        <v>4</v>
      </c>
      <c r="N19" t="s">
        <v>31</v>
      </c>
      <c r="O19" t="s">
        <v>32</v>
      </c>
      <c r="P19">
        <v>1</v>
      </c>
      <c r="Q19">
        <v>39</v>
      </c>
      <c r="R19">
        <v>2</v>
      </c>
      <c r="S19" t="s">
        <v>33</v>
      </c>
      <c r="T19">
        <v>4</v>
      </c>
      <c r="U19" t="s">
        <v>33</v>
      </c>
      <c r="V19" s="1">
        <v>42540</v>
      </c>
      <c r="W19" s="1">
        <v>43408</v>
      </c>
      <c r="X19" s="1" t="str">
        <f t="shared" si="0"/>
        <v>2018-11-04</v>
      </c>
      <c r="Y19" t="str">
        <f t="shared" si="1"/>
        <v>46-55</v>
      </c>
      <c r="Z19" t="str">
        <f t="shared" si="2"/>
        <v>10+ Years</v>
      </c>
    </row>
    <row r="20" spans="1:26" x14ac:dyDescent="0.35">
      <c r="A20" t="s">
        <v>73</v>
      </c>
      <c r="B20">
        <v>26</v>
      </c>
      <c r="C20" t="s">
        <v>44</v>
      </c>
      <c r="D20" t="s">
        <v>39</v>
      </c>
      <c r="E20" t="s">
        <v>74</v>
      </c>
      <c r="F20" t="s">
        <v>41</v>
      </c>
      <c r="G20">
        <v>57687</v>
      </c>
      <c r="H20">
        <v>2</v>
      </c>
      <c r="I20">
        <v>2</v>
      </c>
      <c r="J20">
        <v>2</v>
      </c>
      <c r="K20">
        <v>4</v>
      </c>
      <c r="L20">
        <v>2</v>
      </c>
      <c r="M20">
        <v>3</v>
      </c>
      <c r="N20" t="s">
        <v>31</v>
      </c>
      <c r="O20" t="s">
        <v>32</v>
      </c>
      <c r="P20">
        <v>5</v>
      </c>
      <c r="Q20">
        <v>21</v>
      </c>
      <c r="R20">
        <v>3</v>
      </c>
      <c r="S20" t="s">
        <v>31</v>
      </c>
      <c r="T20">
        <v>4</v>
      </c>
      <c r="U20" t="s">
        <v>31</v>
      </c>
      <c r="V20" s="1">
        <v>44878</v>
      </c>
      <c r="X20" s="1" t="str">
        <f t="shared" si="0"/>
        <v>Active</v>
      </c>
      <c r="Y20" t="str">
        <f t="shared" si="1"/>
        <v>26-35</v>
      </c>
      <c r="Z20" t="str">
        <f t="shared" si="2"/>
        <v>2-3 Years</v>
      </c>
    </row>
    <row r="21" spans="1:26" x14ac:dyDescent="0.35">
      <c r="A21" t="s">
        <v>75</v>
      </c>
      <c r="B21">
        <v>56</v>
      </c>
      <c r="C21" t="s">
        <v>27</v>
      </c>
      <c r="D21" t="s">
        <v>39</v>
      </c>
      <c r="E21" t="s">
        <v>74</v>
      </c>
      <c r="F21" t="s">
        <v>30</v>
      </c>
      <c r="G21">
        <v>147417</v>
      </c>
      <c r="H21">
        <v>25</v>
      </c>
      <c r="I21">
        <v>34</v>
      </c>
      <c r="J21">
        <v>5</v>
      </c>
      <c r="K21">
        <v>3</v>
      </c>
      <c r="L21">
        <v>1</v>
      </c>
      <c r="M21">
        <v>3</v>
      </c>
      <c r="N21" t="s">
        <v>31</v>
      </c>
      <c r="O21" t="s">
        <v>32</v>
      </c>
      <c r="P21">
        <v>29</v>
      </c>
      <c r="Q21">
        <v>45</v>
      </c>
      <c r="R21">
        <v>2</v>
      </c>
      <c r="S21" t="s">
        <v>31</v>
      </c>
      <c r="T21">
        <v>7</v>
      </c>
      <c r="U21" t="s">
        <v>31</v>
      </c>
      <c r="V21" s="1">
        <v>45041</v>
      </c>
      <c r="X21" s="1" t="str">
        <f t="shared" si="0"/>
        <v>Active</v>
      </c>
      <c r="Y21" t="str">
        <f t="shared" si="1"/>
        <v>56+</v>
      </c>
      <c r="Z21" t="str">
        <f t="shared" si="2"/>
        <v>10+ Years</v>
      </c>
    </row>
    <row r="22" spans="1:26" x14ac:dyDescent="0.35">
      <c r="A22" t="s">
        <v>76</v>
      </c>
      <c r="B22">
        <v>33</v>
      </c>
      <c r="C22" t="s">
        <v>27</v>
      </c>
      <c r="D22" t="s">
        <v>28</v>
      </c>
      <c r="E22" t="s">
        <v>29</v>
      </c>
      <c r="F22" t="s">
        <v>61</v>
      </c>
      <c r="G22">
        <v>103392</v>
      </c>
      <c r="H22">
        <v>8</v>
      </c>
      <c r="I22">
        <v>10</v>
      </c>
      <c r="J22">
        <v>4</v>
      </c>
      <c r="K22">
        <v>1</v>
      </c>
      <c r="L22">
        <v>2</v>
      </c>
      <c r="M22">
        <v>4</v>
      </c>
      <c r="N22" t="s">
        <v>31</v>
      </c>
      <c r="O22" t="s">
        <v>42</v>
      </c>
      <c r="P22">
        <v>17</v>
      </c>
      <c r="Q22">
        <v>45</v>
      </c>
      <c r="R22">
        <v>3</v>
      </c>
      <c r="S22" t="s">
        <v>31</v>
      </c>
      <c r="T22">
        <v>7</v>
      </c>
      <c r="U22" t="s">
        <v>31</v>
      </c>
      <c r="V22" s="1">
        <v>43847</v>
      </c>
      <c r="X22" s="1" t="str">
        <f t="shared" si="0"/>
        <v>Active</v>
      </c>
      <c r="Y22" t="str">
        <f t="shared" si="1"/>
        <v>26-35</v>
      </c>
      <c r="Z22" t="str">
        <f t="shared" si="2"/>
        <v>6-10 Years</v>
      </c>
    </row>
    <row r="23" spans="1:26" x14ac:dyDescent="0.35">
      <c r="A23" t="s">
        <v>77</v>
      </c>
      <c r="B23">
        <v>42</v>
      </c>
      <c r="C23" t="s">
        <v>44</v>
      </c>
      <c r="D23" t="s">
        <v>35</v>
      </c>
      <c r="E23" t="s">
        <v>36</v>
      </c>
      <c r="F23" t="s">
        <v>78</v>
      </c>
      <c r="G23">
        <v>117982</v>
      </c>
      <c r="H23">
        <v>9</v>
      </c>
      <c r="I23">
        <v>21</v>
      </c>
      <c r="J23">
        <v>5</v>
      </c>
      <c r="K23">
        <v>2</v>
      </c>
      <c r="L23">
        <v>3</v>
      </c>
      <c r="M23">
        <v>2</v>
      </c>
      <c r="N23" t="s">
        <v>31</v>
      </c>
      <c r="O23" t="s">
        <v>32</v>
      </c>
      <c r="P23">
        <v>18</v>
      </c>
      <c r="Q23">
        <v>56</v>
      </c>
      <c r="R23">
        <v>3</v>
      </c>
      <c r="S23" t="s">
        <v>31</v>
      </c>
      <c r="T23">
        <v>3</v>
      </c>
      <c r="U23" t="s">
        <v>31</v>
      </c>
      <c r="V23" s="1">
        <v>43902</v>
      </c>
      <c r="X23" s="1" t="str">
        <f t="shared" si="0"/>
        <v>Active</v>
      </c>
      <c r="Y23" t="str">
        <f t="shared" si="1"/>
        <v>36-45</v>
      </c>
      <c r="Z23" t="str">
        <f t="shared" si="2"/>
        <v>6-10 Years</v>
      </c>
    </row>
    <row r="24" spans="1:26" x14ac:dyDescent="0.35">
      <c r="A24" t="s">
        <v>79</v>
      </c>
      <c r="B24">
        <v>48</v>
      </c>
      <c r="C24" t="s">
        <v>44</v>
      </c>
      <c r="D24" t="s">
        <v>28</v>
      </c>
      <c r="E24" t="s">
        <v>29</v>
      </c>
      <c r="F24" t="s">
        <v>78</v>
      </c>
      <c r="G24">
        <v>138615</v>
      </c>
      <c r="H24">
        <v>18</v>
      </c>
      <c r="I24">
        <v>26</v>
      </c>
      <c r="J24">
        <v>5</v>
      </c>
      <c r="K24">
        <v>1</v>
      </c>
      <c r="L24">
        <v>1</v>
      </c>
      <c r="M24">
        <v>2</v>
      </c>
      <c r="N24" t="s">
        <v>31</v>
      </c>
      <c r="O24" t="s">
        <v>47</v>
      </c>
      <c r="P24">
        <v>4</v>
      </c>
      <c r="Q24">
        <v>45</v>
      </c>
      <c r="R24">
        <v>3</v>
      </c>
      <c r="S24" t="s">
        <v>31</v>
      </c>
      <c r="T24">
        <v>5</v>
      </c>
      <c r="U24" t="s">
        <v>31</v>
      </c>
      <c r="V24" s="1">
        <v>42152</v>
      </c>
      <c r="X24" s="1" t="str">
        <f t="shared" si="0"/>
        <v>Active</v>
      </c>
      <c r="Y24" t="str">
        <f t="shared" si="1"/>
        <v>46-55</v>
      </c>
      <c r="Z24" t="str">
        <f t="shared" si="2"/>
        <v>10+ Years</v>
      </c>
    </row>
    <row r="25" spans="1:26" x14ac:dyDescent="0.35">
      <c r="A25" t="s">
        <v>80</v>
      </c>
      <c r="B25">
        <v>41</v>
      </c>
      <c r="C25" t="s">
        <v>27</v>
      </c>
      <c r="D25" t="s">
        <v>28</v>
      </c>
      <c r="E25" t="s">
        <v>29</v>
      </c>
      <c r="F25" t="s">
        <v>61</v>
      </c>
      <c r="G25">
        <v>38996</v>
      </c>
      <c r="H25">
        <v>0</v>
      </c>
      <c r="I25">
        <v>18</v>
      </c>
      <c r="J25">
        <v>1</v>
      </c>
      <c r="K25">
        <v>4</v>
      </c>
      <c r="L25">
        <v>2</v>
      </c>
      <c r="M25">
        <v>1</v>
      </c>
      <c r="N25" t="s">
        <v>33</v>
      </c>
      <c r="O25" t="s">
        <v>42</v>
      </c>
      <c r="P25">
        <v>6</v>
      </c>
      <c r="Q25">
        <v>15</v>
      </c>
      <c r="R25">
        <v>3</v>
      </c>
      <c r="S25" t="s">
        <v>31</v>
      </c>
      <c r="T25">
        <v>4</v>
      </c>
      <c r="U25" t="s">
        <v>33</v>
      </c>
      <c r="V25" s="1">
        <v>43720</v>
      </c>
      <c r="W25" s="1">
        <v>44048</v>
      </c>
      <c r="X25" s="1" t="str">
        <f t="shared" si="0"/>
        <v>2020-08-05</v>
      </c>
      <c r="Y25" t="str">
        <f t="shared" si="1"/>
        <v>36-45</v>
      </c>
      <c r="Z25" t="str">
        <f t="shared" si="2"/>
        <v>0-1 Year</v>
      </c>
    </row>
    <row r="26" spans="1:26" x14ac:dyDescent="0.35">
      <c r="A26" t="s">
        <v>81</v>
      </c>
      <c r="B26">
        <v>57</v>
      </c>
      <c r="C26" t="s">
        <v>44</v>
      </c>
      <c r="D26" t="s">
        <v>52</v>
      </c>
      <c r="E26" t="s">
        <v>53</v>
      </c>
      <c r="F26" t="s">
        <v>30</v>
      </c>
      <c r="G26">
        <v>126486</v>
      </c>
      <c r="H26">
        <v>13</v>
      </c>
      <c r="I26">
        <v>34</v>
      </c>
      <c r="J26">
        <v>5</v>
      </c>
      <c r="K26">
        <v>1</v>
      </c>
      <c r="L26">
        <v>1</v>
      </c>
      <c r="M26">
        <v>2</v>
      </c>
      <c r="N26" t="s">
        <v>31</v>
      </c>
      <c r="O26" t="s">
        <v>32</v>
      </c>
      <c r="P26">
        <v>12</v>
      </c>
      <c r="Q26">
        <v>19</v>
      </c>
      <c r="R26">
        <v>3</v>
      </c>
      <c r="S26" t="s">
        <v>33</v>
      </c>
      <c r="T26">
        <v>5</v>
      </c>
      <c r="U26" t="s">
        <v>31</v>
      </c>
      <c r="V26" s="1">
        <v>41448</v>
      </c>
      <c r="X26" s="1" t="str">
        <f t="shared" si="0"/>
        <v>Active</v>
      </c>
      <c r="Y26" t="str">
        <f t="shared" si="1"/>
        <v>56+</v>
      </c>
      <c r="Z26" t="str">
        <f t="shared" si="2"/>
        <v>10+ Years</v>
      </c>
    </row>
    <row r="27" spans="1:26" x14ac:dyDescent="0.35">
      <c r="A27" t="s">
        <v>82</v>
      </c>
      <c r="B27">
        <v>49</v>
      </c>
      <c r="C27" t="s">
        <v>27</v>
      </c>
      <c r="D27" t="s">
        <v>52</v>
      </c>
      <c r="E27" t="s">
        <v>55</v>
      </c>
      <c r="F27" t="s">
        <v>37</v>
      </c>
      <c r="G27">
        <v>134024</v>
      </c>
      <c r="H27">
        <v>16</v>
      </c>
      <c r="I27">
        <v>27</v>
      </c>
      <c r="J27">
        <v>5</v>
      </c>
      <c r="K27">
        <v>1</v>
      </c>
      <c r="L27">
        <v>4</v>
      </c>
      <c r="M27">
        <v>1</v>
      </c>
      <c r="N27" t="s">
        <v>33</v>
      </c>
      <c r="O27" t="s">
        <v>47</v>
      </c>
      <c r="P27">
        <v>29</v>
      </c>
      <c r="Q27">
        <v>15</v>
      </c>
      <c r="R27">
        <v>3</v>
      </c>
      <c r="S27" t="s">
        <v>33</v>
      </c>
      <c r="T27">
        <v>6</v>
      </c>
      <c r="U27" t="s">
        <v>31</v>
      </c>
      <c r="V27" s="1">
        <v>44045</v>
      </c>
      <c r="X27" s="1" t="str">
        <f t="shared" si="0"/>
        <v>Active</v>
      </c>
      <c r="Y27" t="str">
        <f t="shared" si="1"/>
        <v>46-55</v>
      </c>
      <c r="Z27" t="str">
        <f t="shared" si="2"/>
        <v>10+ Years</v>
      </c>
    </row>
    <row r="28" spans="1:26" x14ac:dyDescent="0.35">
      <c r="A28" t="s">
        <v>83</v>
      </c>
      <c r="B28">
        <v>39</v>
      </c>
      <c r="C28" t="s">
        <v>44</v>
      </c>
      <c r="D28" t="s">
        <v>35</v>
      </c>
      <c r="E28" t="s">
        <v>36</v>
      </c>
      <c r="F28" t="s">
        <v>78</v>
      </c>
      <c r="G28">
        <v>133000</v>
      </c>
      <c r="H28">
        <v>16</v>
      </c>
      <c r="I28">
        <v>17</v>
      </c>
      <c r="J28">
        <v>5</v>
      </c>
      <c r="K28">
        <v>2</v>
      </c>
      <c r="L28">
        <v>1</v>
      </c>
      <c r="M28">
        <v>3</v>
      </c>
      <c r="N28" t="s">
        <v>33</v>
      </c>
      <c r="O28" t="s">
        <v>32</v>
      </c>
      <c r="P28">
        <v>28</v>
      </c>
      <c r="Q28">
        <v>26</v>
      </c>
      <c r="R28">
        <v>2</v>
      </c>
      <c r="S28" t="s">
        <v>31</v>
      </c>
      <c r="T28">
        <v>7</v>
      </c>
      <c r="U28" t="s">
        <v>31</v>
      </c>
      <c r="V28" s="1">
        <v>41625</v>
      </c>
      <c r="X28" s="1" t="str">
        <f t="shared" si="0"/>
        <v>Active</v>
      </c>
      <c r="Y28" t="str">
        <f t="shared" si="1"/>
        <v>36-45</v>
      </c>
      <c r="Z28" t="str">
        <f t="shared" si="2"/>
        <v>10+ Years</v>
      </c>
    </row>
    <row r="29" spans="1:26" x14ac:dyDescent="0.35">
      <c r="A29" t="s">
        <v>84</v>
      </c>
      <c r="B29">
        <v>25</v>
      </c>
      <c r="C29" t="s">
        <v>27</v>
      </c>
      <c r="D29" t="s">
        <v>35</v>
      </c>
      <c r="E29" t="s">
        <v>85</v>
      </c>
      <c r="F29" t="s">
        <v>30</v>
      </c>
      <c r="G29">
        <v>53574</v>
      </c>
      <c r="H29">
        <v>0</v>
      </c>
      <c r="I29">
        <v>1</v>
      </c>
      <c r="J29">
        <v>2</v>
      </c>
      <c r="K29">
        <v>2</v>
      </c>
      <c r="L29">
        <v>2</v>
      </c>
      <c r="M29">
        <v>2</v>
      </c>
      <c r="N29" t="s">
        <v>31</v>
      </c>
      <c r="O29" t="s">
        <v>32</v>
      </c>
      <c r="P29">
        <v>1</v>
      </c>
      <c r="Q29">
        <v>53</v>
      </c>
      <c r="R29">
        <v>3</v>
      </c>
      <c r="S29" t="s">
        <v>31</v>
      </c>
      <c r="T29">
        <v>4</v>
      </c>
      <c r="U29" t="s">
        <v>31</v>
      </c>
      <c r="V29" s="1">
        <v>44890</v>
      </c>
      <c r="X29" s="1" t="str">
        <f t="shared" si="0"/>
        <v>Active</v>
      </c>
      <c r="Y29" t="str">
        <f t="shared" si="1"/>
        <v>18-25</v>
      </c>
      <c r="Z29" t="str">
        <f t="shared" si="2"/>
        <v>0-1 Year</v>
      </c>
    </row>
    <row r="30" spans="1:26" x14ac:dyDescent="0.35">
      <c r="A30" t="s">
        <v>86</v>
      </c>
      <c r="B30">
        <v>23</v>
      </c>
      <c r="C30" t="s">
        <v>44</v>
      </c>
      <c r="D30" t="s">
        <v>45</v>
      </c>
      <c r="E30" t="s">
        <v>63</v>
      </c>
      <c r="F30" t="s">
        <v>41</v>
      </c>
      <c r="G30">
        <v>60241</v>
      </c>
      <c r="H30">
        <v>1</v>
      </c>
      <c r="I30">
        <v>1</v>
      </c>
      <c r="J30">
        <v>2</v>
      </c>
      <c r="K30">
        <v>2</v>
      </c>
      <c r="L30">
        <v>2</v>
      </c>
      <c r="M30">
        <v>3</v>
      </c>
      <c r="N30" t="s">
        <v>31</v>
      </c>
      <c r="O30" t="s">
        <v>32</v>
      </c>
      <c r="P30">
        <v>6</v>
      </c>
      <c r="Q30">
        <v>42</v>
      </c>
      <c r="R30">
        <v>3</v>
      </c>
      <c r="S30" t="s">
        <v>31</v>
      </c>
      <c r="T30">
        <v>8</v>
      </c>
      <c r="U30" t="s">
        <v>31</v>
      </c>
      <c r="V30" s="1">
        <v>43502</v>
      </c>
      <c r="X30" s="1" t="str">
        <f t="shared" si="0"/>
        <v>Active</v>
      </c>
      <c r="Y30" t="str">
        <f t="shared" si="1"/>
        <v>18-25</v>
      </c>
      <c r="Z30" t="str">
        <f t="shared" si="2"/>
        <v>0-1 Year</v>
      </c>
    </row>
    <row r="31" spans="1:26" x14ac:dyDescent="0.35">
      <c r="A31" t="s">
        <v>87</v>
      </c>
      <c r="B31">
        <v>27</v>
      </c>
      <c r="C31" t="s">
        <v>27</v>
      </c>
      <c r="D31" t="s">
        <v>28</v>
      </c>
      <c r="E31" t="s">
        <v>66</v>
      </c>
      <c r="F31" t="s">
        <v>37</v>
      </c>
      <c r="G31">
        <v>47254</v>
      </c>
      <c r="H31">
        <v>2</v>
      </c>
      <c r="I31">
        <v>4</v>
      </c>
      <c r="J31">
        <v>1</v>
      </c>
      <c r="K31">
        <v>1</v>
      </c>
      <c r="L31">
        <v>3</v>
      </c>
      <c r="M31">
        <v>3</v>
      </c>
      <c r="N31" t="s">
        <v>31</v>
      </c>
      <c r="O31" t="s">
        <v>32</v>
      </c>
      <c r="P31">
        <v>4</v>
      </c>
      <c r="Q31">
        <v>49</v>
      </c>
      <c r="R31">
        <v>3</v>
      </c>
      <c r="S31" t="s">
        <v>31</v>
      </c>
      <c r="T31">
        <v>8</v>
      </c>
      <c r="U31" t="s">
        <v>31</v>
      </c>
      <c r="V31" s="1">
        <v>41432</v>
      </c>
      <c r="X31" s="1" t="str">
        <f t="shared" si="0"/>
        <v>Active</v>
      </c>
      <c r="Y31" t="str">
        <f t="shared" si="1"/>
        <v>26-35</v>
      </c>
      <c r="Z31" t="str">
        <f t="shared" si="2"/>
        <v>2-3 Years</v>
      </c>
    </row>
    <row r="32" spans="1:26" x14ac:dyDescent="0.35">
      <c r="A32" t="s">
        <v>88</v>
      </c>
      <c r="B32">
        <v>47</v>
      </c>
      <c r="C32" t="s">
        <v>44</v>
      </c>
      <c r="D32" t="s">
        <v>35</v>
      </c>
      <c r="E32" t="s">
        <v>85</v>
      </c>
      <c r="F32" t="s">
        <v>30</v>
      </c>
      <c r="G32">
        <v>155937</v>
      </c>
      <c r="H32">
        <v>26</v>
      </c>
      <c r="I32">
        <v>26</v>
      </c>
      <c r="J32">
        <v>5</v>
      </c>
      <c r="K32">
        <v>1</v>
      </c>
      <c r="L32">
        <v>3</v>
      </c>
      <c r="M32">
        <v>1</v>
      </c>
      <c r="N32" t="s">
        <v>31</v>
      </c>
      <c r="O32" t="s">
        <v>32</v>
      </c>
      <c r="P32">
        <v>16</v>
      </c>
      <c r="Q32">
        <v>26</v>
      </c>
      <c r="R32">
        <v>3</v>
      </c>
      <c r="S32" t="s">
        <v>31</v>
      </c>
      <c r="T32">
        <v>5</v>
      </c>
      <c r="U32" t="s">
        <v>31</v>
      </c>
      <c r="V32" s="1">
        <v>43034</v>
      </c>
      <c r="X32" s="1" t="str">
        <f t="shared" si="0"/>
        <v>Active</v>
      </c>
      <c r="Y32" t="str">
        <f t="shared" si="1"/>
        <v>46-55</v>
      </c>
      <c r="Z32" t="str">
        <f t="shared" si="2"/>
        <v>10+ Years</v>
      </c>
    </row>
    <row r="33" spans="1:26" x14ac:dyDescent="0.35">
      <c r="A33" t="s">
        <v>89</v>
      </c>
      <c r="B33">
        <v>45</v>
      </c>
      <c r="C33" t="s">
        <v>44</v>
      </c>
      <c r="D33" t="s">
        <v>39</v>
      </c>
      <c r="E33" t="s">
        <v>59</v>
      </c>
      <c r="F33" t="s">
        <v>37</v>
      </c>
      <c r="G33">
        <v>138122</v>
      </c>
      <c r="H33">
        <v>18</v>
      </c>
      <c r="I33">
        <v>21</v>
      </c>
      <c r="J33">
        <v>5</v>
      </c>
      <c r="K33">
        <v>3</v>
      </c>
      <c r="L33">
        <v>3</v>
      </c>
      <c r="M33">
        <v>2</v>
      </c>
      <c r="N33" t="s">
        <v>33</v>
      </c>
      <c r="O33" t="s">
        <v>42</v>
      </c>
      <c r="P33">
        <v>6</v>
      </c>
      <c r="Q33">
        <v>44</v>
      </c>
      <c r="R33">
        <v>3</v>
      </c>
      <c r="S33" t="s">
        <v>31</v>
      </c>
      <c r="T33">
        <v>4</v>
      </c>
      <c r="U33" t="s">
        <v>31</v>
      </c>
      <c r="V33" s="1">
        <v>41034</v>
      </c>
      <c r="X33" s="1" t="str">
        <f t="shared" si="0"/>
        <v>Active</v>
      </c>
      <c r="Y33" t="str">
        <f t="shared" si="1"/>
        <v>36-45</v>
      </c>
      <c r="Z33" t="str">
        <f t="shared" si="2"/>
        <v>10+ Years</v>
      </c>
    </row>
    <row r="34" spans="1:26" x14ac:dyDescent="0.35">
      <c r="A34" t="s">
        <v>90</v>
      </c>
      <c r="B34">
        <v>46</v>
      </c>
      <c r="C34" t="s">
        <v>44</v>
      </c>
      <c r="D34" t="s">
        <v>52</v>
      </c>
      <c r="E34" t="s">
        <v>53</v>
      </c>
      <c r="F34" t="s">
        <v>41</v>
      </c>
      <c r="G34">
        <v>43156</v>
      </c>
      <c r="H34">
        <v>2</v>
      </c>
      <c r="I34">
        <v>24</v>
      </c>
      <c r="J34">
        <v>1</v>
      </c>
      <c r="K34">
        <v>2</v>
      </c>
      <c r="L34">
        <v>3</v>
      </c>
      <c r="M34">
        <v>4</v>
      </c>
      <c r="N34" t="s">
        <v>31</v>
      </c>
      <c r="O34" t="s">
        <v>42</v>
      </c>
      <c r="P34">
        <v>17</v>
      </c>
      <c r="Q34">
        <v>53</v>
      </c>
      <c r="R34">
        <v>3</v>
      </c>
      <c r="S34" t="s">
        <v>31</v>
      </c>
      <c r="T34">
        <v>4</v>
      </c>
      <c r="U34" t="s">
        <v>31</v>
      </c>
      <c r="V34" s="1">
        <v>41785</v>
      </c>
      <c r="X34" s="1" t="str">
        <f t="shared" si="0"/>
        <v>Active</v>
      </c>
      <c r="Y34" t="str">
        <f t="shared" si="1"/>
        <v>46-55</v>
      </c>
      <c r="Z34" t="str">
        <f t="shared" si="2"/>
        <v>2-3 Years</v>
      </c>
    </row>
    <row r="35" spans="1:26" x14ac:dyDescent="0.35">
      <c r="A35" t="s">
        <v>91</v>
      </c>
      <c r="B35">
        <v>27</v>
      </c>
      <c r="C35" t="s">
        <v>44</v>
      </c>
      <c r="D35" t="s">
        <v>35</v>
      </c>
      <c r="E35" t="s">
        <v>36</v>
      </c>
      <c r="F35" t="s">
        <v>56</v>
      </c>
      <c r="G35">
        <v>82622</v>
      </c>
      <c r="H35">
        <v>5</v>
      </c>
      <c r="I35">
        <v>6</v>
      </c>
      <c r="J35">
        <v>3</v>
      </c>
      <c r="K35">
        <v>4</v>
      </c>
      <c r="L35">
        <v>4</v>
      </c>
      <c r="M35">
        <v>2</v>
      </c>
      <c r="N35" t="s">
        <v>33</v>
      </c>
      <c r="O35" t="s">
        <v>32</v>
      </c>
      <c r="P35">
        <v>23</v>
      </c>
      <c r="Q35">
        <v>18</v>
      </c>
      <c r="R35">
        <v>3</v>
      </c>
      <c r="S35" t="s">
        <v>31</v>
      </c>
      <c r="T35">
        <v>7</v>
      </c>
      <c r="U35" t="s">
        <v>31</v>
      </c>
      <c r="V35" s="1">
        <v>43460</v>
      </c>
      <c r="X35" s="1" t="str">
        <f t="shared" si="0"/>
        <v>Active</v>
      </c>
      <c r="Y35" t="str">
        <f t="shared" si="1"/>
        <v>26-35</v>
      </c>
      <c r="Z35" t="str">
        <f t="shared" si="2"/>
        <v>4-5 Years</v>
      </c>
    </row>
    <row r="36" spans="1:26" x14ac:dyDescent="0.35">
      <c r="A36" t="s">
        <v>92</v>
      </c>
      <c r="B36">
        <v>59</v>
      </c>
      <c r="C36" t="s">
        <v>44</v>
      </c>
      <c r="D36" t="s">
        <v>35</v>
      </c>
      <c r="E36" t="s">
        <v>85</v>
      </c>
      <c r="F36" t="s">
        <v>37</v>
      </c>
      <c r="G36">
        <v>153316</v>
      </c>
      <c r="H36">
        <v>25</v>
      </c>
      <c r="I36">
        <v>35</v>
      </c>
      <c r="J36">
        <v>5</v>
      </c>
      <c r="K36">
        <v>4</v>
      </c>
      <c r="L36">
        <v>1</v>
      </c>
      <c r="M36">
        <v>2</v>
      </c>
      <c r="N36" t="s">
        <v>31</v>
      </c>
      <c r="O36" t="s">
        <v>32</v>
      </c>
      <c r="P36">
        <v>20</v>
      </c>
      <c r="Q36">
        <v>58</v>
      </c>
      <c r="R36">
        <v>4</v>
      </c>
      <c r="S36" t="s">
        <v>31</v>
      </c>
      <c r="T36">
        <v>6</v>
      </c>
      <c r="U36" t="s">
        <v>31</v>
      </c>
      <c r="V36" s="1">
        <v>42948</v>
      </c>
      <c r="X36" s="1" t="str">
        <f t="shared" si="0"/>
        <v>Active</v>
      </c>
      <c r="Y36" t="str">
        <f t="shared" si="1"/>
        <v>56+</v>
      </c>
      <c r="Z36" t="str">
        <f t="shared" si="2"/>
        <v>10+ Years</v>
      </c>
    </row>
    <row r="37" spans="1:26" x14ac:dyDescent="0.35">
      <c r="A37" t="s">
        <v>93</v>
      </c>
      <c r="B37">
        <v>31</v>
      </c>
      <c r="C37" t="s">
        <v>27</v>
      </c>
      <c r="D37" t="s">
        <v>39</v>
      </c>
      <c r="E37" t="s">
        <v>59</v>
      </c>
      <c r="F37" t="s">
        <v>78</v>
      </c>
      <c r="G37">
        <v>54320</v>
      </c>
      <c r="H37">
        <v>1</v>
      </c>
      <c r="I37">
        <v>7</v>
      </c>
      <c r="J37">
        <v>2</v>
      </c>
      <c r="K37">
        <v>3</v>
      </c>
      <c r="L37">
        <v>1</v>
      </c>
      <c r="M37">
        <v>1</v>
      </c>
      <c r="N37" t="s">
        <v>31</v>
      </c>
      <c r="O37" t="s">
        <v>32</v>
      </c>
      <c r="P37">
        <v>23</v>
      </c>
      <c r="Q37">
        <v>44</v>
      </c>
      <c r="R37">
        <v>3</v>
      </c>
      <c r="S37" t="s">
        <v>31</v>
      </c>
      <c r="T37">
        <v>7</v>
      </c>
      <c r="U37" t="s">
        <v>31</v>
      </c>
      <c r="V37" s="1">
        <v>44300</v>
      </c>
      <c r="X37" s="1" t="str">
        <f t="shared" si="0"/>
        <v>Active</v>
      </c>
      <c r="Y37" t="str">
        <f t="shared" si="1"/>
        <v>26-35</v>
      </c>
      <c r="Z37" t="str">
        <f t="shared" si="2"/>
        <v>0-1 Year</v>
      </c>
    </row>
    <row r="38" spans="1:26" x14ac:dyDescent="0.35">
      <c r="A38" t="s">
        <v>94</v>
      </c>
      <c r="B38">
        <v>43</v>
      </c>
      <c r="C38" t="s">
        <v>27</v>
      </c>
      <c r="D38" t="s">
        <v>28</v>
      </c>
      <c r="E38" t="s">
        <v>66</v>
      </c>
      <c r="F38" t="s">
        <v>37</v>
      </c>
      <c r="G38">
        <v>80947</v>
      </c>
      <c r="H38">
        <v>4</v>
      </c>
      <c r="I38">
        <v>22</v>
      </c>
      <c r="J38">
        <v>3</v>
      </c>
      <c r="K38">
        <v>2</v>
      </c>
      <c r="L38">
        <v>3</v>
      </c>
      <c r="M38">
        <v>1</v>
      </c>
      <c r="N38" t="s">
        <v>33</v>
      </c>
      <c r="O38" t="s">
        <v>32</v>
      </c>
      <c r="P38">
        <v>4</v>
      </c>
      <c r="Q38">
        <v>34</v>
      </c>
      <c r="R38">
        <v>3</v>
      </c>
      <c r="S38" t="s">
        <v>31</v>
      </c>
      <c r="T38">
        <v>6</v>
      </c>
      <c r="U38" t="s">
        <v>31</v>
      </c>
      <c r="V38" s="1">
        <v>43099</v>
      </c>
      <c r="X38" s="1" t="str">
        <f t="shared" si="0"/>
        <v>Active</v>
      </c>
      <c r="Y38" t="str">
        <f t="shared" si="1"/>
        <v>36-45</v>
      </c>
      <c r="Z38" t="str">
        <f t="shared" si="2"/>
        <v>4-5 Years</v>
      </c>
    </row>
    <row r="39" spans="1:26" x14ac:dyDescent="0.35">
      <c r="A39" t="s">
        <v>95</v>
      </c>
      <c r="B39">
        <v>54</v>
      </c>
      <c r="C39" t="s">
        <v>27</v>
      </c>
      <c r="D39" t="s">
        <v>35</v>
      </c>
      <c r="E39" t="s">
        <v>36</v>
      </c>
      <c r="F39" t="s">
        <v>30</v>
      </c>
      <c r="G39">
        <v>79626</v>
      </c>
      <c r="H39">
        <v>5</v>
      </c>
      <c r="I39">
        <v>32</v>
      </c>
      <c r="J39">
        <v>3</v>
      </c>
      <c r="K39">
        <v>3</v>
      </c>
      <c r="L39">
        <v>3</v>
      </c>
      <c r="M39">
        <v>4</v>
      </c>
      <c r="N39" t="s">
        <v>33</v>
      </c>
      <c r="O39" t="s">
        <v>42</v>
      </c>
      <c r="P39">
        <v>1</v>
      </c>
      <c r="Q39">
        <v>39</v>
      </c>
      <c r="R39">
        <v>3</v>
      </c>
      <c r="S39" t="s">
        <v>33</v>
      </c>
      <c r="T39">
        <v>5</v>
      </c>
      <c r="U39" t="s">
        <v>31</v>
      </c>
      <c r="V39" s="1">
        <v>42774</v>
      </c>
      <c r="X39" s="1" t="str">
        <f t="shared" si="0"/>
        <v>Active</v>
      </c>
      <c r="Y39" t="str">
        <f t="shared" si="1"/>
        <v>46-55</v>
      </c>
      <c r="Z39" t="str">
        <f t="shared" si="2"/>
        <v>4-5 Years</v>
      </c>
    </row>
    <row r="40" spans="1:26" x14ac:dyDescent="0.35">
      <c r="A40" t="s">
        <v>96</v>
      </c>
      <c r="B40">
        <v>54</v>
      </c>
      <c r="C40" t="s">
        <v>27</v>
      </c>
      <c r="D40" t="s">
        <v>28</v>
      </c>
      <c r="E40" t="s">
        <v>29</v>
      </c>
      <c r="F40" t="s">
        <v>41</v>
      </c>
      <c r="G40">
        <v>150863</v>
      </c>
      <c r="H40">
        <v>23</v>
      </c>
      <c r="I40">
        <v>33</v>
      </c>
      <c r="J40">
        <v>5</v>
      </c>
      <c r="K40">
        <v>3</v>
      </c>
      <c r="L40">
        <v>1</v>
      </c>
      <c r="M40">
        <v>4</v>
      </c>
      <c r="N40" t="s">
        <v>33</v>
      </c>
      <c r="O40" t="s">
        <v>42</v>
      </c>
      <c r="P40">
        <v>2</v>
      </c>
      <c r="Q40">
        <v>36</v>
      </c>
      <c r="R40">
        <v>2</v>
      </c>
      <c r="S40" t="s">
        <v>33</v>
      </c>
      <c r="T40">
        <v>4</v>
      </c>
      <c r="U40" t="s">
        <v>33</v>
      </c>
      <c r="V40" s="1">
        <v>43506</v>
      </c>
      <c r="W40" s="1">
        <v>43739</v>
      </c>
      <c r="X40" s="1" t="str">
        <f t="shared" si="0"/>
        <v>2019-10-01</v>
      </c>
      <c r="Y40" t="str">
        <f t="shared" si="1"/>
        <v>46-55</v>
      </c>
      <c r="Z40" t="str">
        <f t="shared" si="2"/>
        <v>10+ Years</v>
      </c>
    </row>
    <row r="41" spans="1:26" x14ac:dyDescent="0.35">
      <c r="A41" t="s">
        <v>97</v>
      </c>
      <c r="B41">
        <v>29</v>
      </c>
      <c r="C41" t="s">
        <v>27</v>
      </c>
      <c r="D41" t="s">
        <v>39</v>
      </c>
      <c r="E41" t="s">
        <v>59</v>
      </c>
      <c r="F41" t="s">
        <v>37</v>
      </c>
      <c r="G41">
        <v>46783</v>
      </c>
      <c r="H41">
        <v>1</v>
      </c>
      <c r="I41">
        <v>5</v>
      </c>
      <c r="J41">
        <v>1</v>
      </c>
      <c r="K41">
        <v>2</v>
      </c>
      <c r="L41">
        <v>2</v>
      </c>
      <c r="M41">
        <v>1</v>
      </c>
      <c r="N41" t="s">
        <v>31</v>
      </c>
      <c r="O41" t="s">
        <v>32</v>
      </c>
      <c r="P41">
        <v>12</v>
      </c>
      <c r="Q41">
        <v>45</v>
      </c>
      <c r="R41">
        <v>3</v>
      </c>
      <c r="S41" t="s">
        <v>31</v>
      </c>
      <c r="T41">
        <v>5</v>
      </c>
      <c r="U41" t="s">
        <v>31</v>
      </c>
      <c r="V41" s="1">
        <v>45055</v>
      </c>
      <c r="X41" s="1" t="str">
        <f t="shared" si="0"/>
        <v>Active</v>
      </c>
      <c r="Y41" t="str">
        <f t="shared" si="1"/>
        <v>26-35</v>
      </c>
      <c r="Z41" t="str">
        <f t="shared" si="2"/>
        <v>0-1 Year</v>
      </c>
    </row>
    <row r="42" spans="1:26" x14ac:dyDescent="0.35">
      <c r="A42" t="s">
        <v>98</v>
      </c>
      <c r="B42">
        <v>50</v>
      </c>
      <c r="C42" t="s">
        <v>27</v>
      </c>
      <c r="D42" t="s">
        <v>35</v>
      </c>
      <c r="E42" t="s">
        <v>85</v>
      </c>
      <c r="F42" t="s">
        <v>37</v>
      </c>
      <c r="G42">
        <v>57732</v>
      </c>
      <c r="H42">
        <v>0</v>
      </c>
      <c r="I42">
        <v>27</v>
      </c>
      <c r="J42">
        <v>2</v>
      </c>
      <c r="K42">
        <v>1</v>
      </c>
      <c r="L42">
        <v>2</v>
      </c>
      <c r="M42">
        <v>2</v>
      </c>
      <c r="N42" t="s">
        <v>31</v>
      </c>
      <c r="O42" t="s">
        <v>32</v>
      </c>
      <c r="P42">
        <v>22</v>
      </c>
      <c r="Q42">
        <v>49</v>
      </c>
      <c r="R42">
        <v>3</v>
      </c>
      <c r="S42" t="s">
        <v>31</v>
      </c>
      <c r="T42">
        <v>6</v>
      </c>
      <c r="U42" t="s">
        <v>31</v>
      </c>
      <c r="V42" s="1">
        <v>42534</v>
      </c>
      <c r="X42" s="1" t="str">
        <f t="shared" si="0"/>
        <v>Active</v>
      </c>
      <c r="Y42" t="str">
        <f t="shared" si="1"/>
        <v>46-55</v>
      </c>
      <c r="Z42" t="str">
        <f t="shared" si="2"/>
        <v>0-1 Year</v>
      </c>
    </row>
    <row r="43" spans="1:26" x14ac:dyDescent="0.35">
      <c r="A43" t="s">
        <v>99</v>
      </c>
      <c r="B43">
        <v>32</v>
      </c>
      <c r="C43" t="s">
        <v>44</v>
      </c>
      <c r="D43" t="s">
        <v>39</v>
      </c>
      <c r="E43" t="s">
        <v>40</v>
      </c>
      <c r="F43" t="s">
        <v>30</v>
      </c>
      <c r="G43">
        <v>57034</v>
      </c>
      <c r="H43">
        <v>0</v>
      </c>
      <c r="I43">
        <v>9</v>
      </c>
      <c r="J43">
        <v>2</v>
      </c>
      <c r="K43">
        <v>3</v>
      </c>
      <c r="L43">
        <v>4</v>
      </c>
      <c r="M43">
        <v>3</v>
      </c>
      <c r="N43" t="s">
        <v>33</v>
      </c>
      <c r="O43" t="s">
        <v>32</v>
      </c>
      <c r="P43">
        <v>6</v>
      </c>
      <c r="Q43">
        <v>33</v>
      </c>
      <c r="R43">
        <v>2</v>
      </c>
      <c r="S43" t="s">
        <v>31</v>
      </c>
      <c r="T43">
        <v>4</v>
      </c>
      <c r="U43" t="s">
        <v>31</v>
      </c>
      <c r="V43" s="1">
        <v>44341</v>
      </c>
      <c r="X43" s="1" t="str">
        <f t="shared" si="0"/>
        <v>Active</v>
      </c>
      <c r="Y43" t="str">
        <f t="shared" si="1"/>
        <v>26-35</v>
      </c>
      <c r="Z43" t="str">
        <f t="shared" si="2"/>
        <v>0-1 Year</v>
      </c>
    </row>
    <row r="44" spans="1:26" x14ac:dyDescent="0.35">
      <c r="A44" t="s">
        <v>100</v>
      </c>
      <c r="B44">
        <v>41</v>
      </c>
      <c r="C44" t="s">
        <v>27</v>
      </c>
      <c r="D44" t="s">
        <v>52</v>
      </c>
      <c r="E44" t="s">
        <v>53</v>
      </c>
      <c r="F44" t="s">
        <v>78</v>
      </c>
      <c r="G44">
        <v>130792</v>
      </c>
      <c r="H44">
        <v>16</v>
      </c>
      <c r="I44">
        <v>17</v>
      </c>
      <c r="J44">
        <v>5</v>
      </c>
      <c r="K44">
        <v>4</v>
      </c>
      <c r="L44">
        <v>1</v>
      </c>
      <c r="M44">
        <v>2</v>
      </c>
      <c r="N44" t="s">
        <v>33</v>
      </c>
      <c r="O44" t="s">
        <v>42</v>
      </c>
      <c r="P44">
        <v>29</v>
      </c>
      <c r="Q44">
        <v>58</v>
      </c>
      <c r="R44">
        <v>3</v>
      </c>
      <c r="S44" t="s">
        <v>31</v>
      </c>
      <c r="T44">
        <v>4</v>
      </c>
      <c r="U44" t="s">
        <v>31</v>
      </c>
      <c r="V44" s="1">
        <v>43070</v>
      </c>
      <c r="X44" s="1" t="str">
        <f t="shared" si="0"/>
        <v>Active</v>
      </c>
      <c r="Y44" t="str">
        <f t="shared" si="1"/>
        <v>36-45</v>
      </c>
      <c r="Z44" t="str">
        <f t="shared" si="2"/>
        <v>10+ Years</v>
      </c>
    </row>
    <row r="45" spans="1:26" x14ac:dyDescent="0.35">
      <c r="A45" t="s">
        <v>101</v>
      </c>
      <c r="B45">
        <v>51</v>
      </c>
      <c r="C45" t="s">
        <v>44</v>
      </c>
      <c r="D45" t="s">
        <v>52</v>
      </c>
      <c r="E45" t="s">
        <v>53</v>
      </c>
      <c r="F45" t="s">
        <v>78</v>
      </c>
      <c r="G45">
        <v>83895</v>
      </c>
      <c r="H45">
        <v>6</v>
      </c>
      <c r="I45">
        <v>28</v>
      </c>
      <c r="J45">
        <v>3</v>
      </c>
      <c r="K45">
        <v>2</v>
      </c>
      <c r="L45">
        <v>2</v>
      </c>
      <c r="M45">
        <v>3</v>
      </c>
      <c r="N45" t="s">
        <v>31</v>
      </c>
      <c r="O45" t="s">
        <v>32</v>
      </c>
      <c r="P45">
        <v>28</v>
      </c>
      <c r="Q45">
        <v>41</v>
      </c>
      <c r="R45">
        <v>3</v>
      </c>
      <c r="S45" t="s">
        <v>33</v>
      </c>
      <c r="T45">
        <v>2</v>
      </c>
      <c r="U45" t="s">
        <v>31</v>
      </c>
      <c r="V45" s="1">
        <v>43399</v>
      </c>
      <c r="X45" s="1" t="str">
        <f t="shared" si="0"/>
        <v>Active</v>
      </c>
      <c r="Y45" t="str">
        <f t="shared" si="1"/>
        <v>46-55</v>
      </c>
      <c r="Z45" t="str">
        <f t="shared" si="2"/>
        <v>6-10 Years</v>
      </c>
    </row>
    <row r="46" spans="1:26" x14ac:dyDescent="0.35">
      <c r="A46" t="s">
        <v>102</v>
      </c>
      <c r="B46">
        <v>29</v>
      </c>
      <c r="C46" t="s">
        <v>27</v>
      </c>
      <c r="D46" t="s">
        <v>28</v>
      </c>
      <c r="E46" t="s">
        <v>29</v>
      </c>
      <c r="F46" t="s">
        <v>37</v>
      </c>
      <c r="G46">
        <v>103970</v>
      </c>
      <c r="H46">
        <v>7</v>
      </c>
      <c r="I46">
        <v>8</v>
      </c>
      <c r="J46">
        <v>4</v>
      </c>
      <c r="K46">
        <v>4</v>
      </c>
      <c r="L46">
        <v>4</v>
      </c>
      <c r="M46">
        <v>2</v>
      </c>
      <c r="N46" t="s">
        <v>31</v>
      </c>
      <c r="O46" t="s">
        <v>47</v>
      </c>
      <c r="P46">
        <v>20</v>
      </c>
      <c r="Q46">
        <v>46</v>
      </c>
      <c r="R46">
        <v>3</v>
      </c>
      <c r="S46" t="s">
        <v>31</v>
      </c>
      <c r="T46">
        <v>4</v>
      </c>
      <c r="U46" t="s">
        <v>33</v>
      </c>
      <c r="V46" s="1">
        <v>44604</v>
      </c>
      <c r="W46" s="1">
        <v>45084</v>
      </c>
      <c r="X46" s="1" t="str">
        <f t="shared" si="0"/>
        <v>2023-06-07</v>
      </c>
      <c r="Y46" t="str">
        <f t="shared" si="1"/>
        <v>26-35</v>
      </c>
      <c r="Z46" t="str">
        <f t="shared" si="2"/>
        <v>6-10 Years</v>
      </c>
    </row>
    <row r="47" spans="1:26" x14ac:dyDescent="0.35">
      <c r="A47" t="s">
        <v>103</v>
      </c>
      <c r="B47">
        <v>40</v>
      </c>
      <c r="C47" t="s">
        <v>44</v>
      </c>
      <c r="D47" t="s">
        <v>52</v>
      </c>
      <c r="E47" t="s">
        <v>55</v>
      </c>
      <c r="F47" t="s">
        <v>30</v>
      </c>
      <c r="G47">
        <v>131035</v>
      </c>
      <c r="H47">
        <v>14</v>
      </c>
      <c r="I47">
        <v>19</v>
      </c>
      <c r="J47">
        <v>5</v>
      </c>
      <c r="K47">
        <v>3</v>
      </c>
      <c r="L47">
        <v>2</v>
      </c>
      <c r="M47">
        <v>3</v>
      </c>
      <c r="N47" t="s">
        <v>31</v>
      </c>
      <c r="O47" t="s">
        <v>32</v>
      </c>
      <c r="P47">
        <v>5</v>
      </c>
      <c r="Q47">
        <v>46</v>
      </c>
      <c r="R47">
        <v>3</v>
      </c>
      <c r="S47" t="s">
        <v>31</v>
      </c>
      <c r="T47">
        <v>6</v>
      </c>
      <c r="U47" t="s">
        <v>31</v>
      </c>
      <c r="V47" s="1">
        <v>45132</v>
      </c>
      <c r="X47" s="1" t="str">
        <f t="shared" si="0"/>
        <v>Active</v>
      </c>
      <c r="Y47" t="str">
        <f t="shared" si="1"/>
        <v>36-45</v>
      </c>
      <c r="Z47" t="str">
        <f t="shared" si="2"/>
        <v>10+ Years</v>
      </c>
    </row>
    <row r="48" spans="1:26" x14ac:dyDescent="0.35">
      <c r="A48" t="s">
        <v>104</v>
      </c>
      <c r="B48">
        <v>53</v>
      </c>
      <c r="C48" t="s">
        <v>27</v>
      </c>
      <c r="D48" t="s">
        <v>49</v>
      </c>
      <c r="E48" t="s">
        <v>50</v>
      </c>
      <c r="F48" t="s">
        <v>56</v>
      </c>
      <c r="G48">
        <v>40304</v>
      </c>
      <c r="H48">
        <v>1</v>
      </c>
      <c r="I48">
        <v>32</v>
      </c>
      <c r="J48">
        <v>1</v>
      </c>
      <c r="K48">
        <v>3</v>
      </c>
      <c r="L48">
        <v>1</v>
      </c>
      <c r="M48">
        <v>2</v>
      </c>
      <c r="N48" t="s">
        <v>31</v>
      </c>
      <c r="O48" t="s">
        <v>32</v>
      </c>
      <c r="P48">
        <v>29</v>
      </c>
      <c r="Q48">
        <v>54</v>
      </c>
      <c r="R48">
        <v>3</v>
      </c>
      <c r="S48" t="s">
        <v>31</v>
      </c>
      <c r="T48">
        <v>6</v>
      </c>
      <c r="U48" t="s">
        <v>31</v>
      </c>
      <c r="V48" s="1">
        <v>42531</v>
      </c>
      <c r="X48" s="1" t="str">
        <f t="shared" si="0"/>
        <v>Active</v>
      </c>
      <c r="Y48" t="str">
        <f t="shared" si="1"/>
        <v>46-55</v>
      </c>
      <c r="Z48" t="str">
        <f t="shared" si="2"/>
        <v>0-1 Year</v>
      </c>
    </row>
    <row r="49" spans="1:26" x14ac:dyDescent="0.35">
      <c r="A49" t="s">
        <v>105</v>
      </c>
      <c r="B49">
        <v>43</v>
      </c>
      <c r="C49" t="s">
        <v>27</v>
      </c>
      <c r="D49" t="s">
        <v>35</v>
      </c>
      <c r="E49" t="s">
        <v>36</v>
      </c>
      <c r="F49" t="s">
        <v>56</v>
      </c>
      <c r="G49">
        <v>102411</v>
      </c>
      <c r="H49">
        <v>7</v>
      </c>
      <c r="I49">
        <v>20</v>
      </c>
      <c r="J49">
        <v>4</v>
      </c>
      <c r="K49">
        <v>1</v>
      </c>
      <c r="L49">
        <v>1</v>
      </c>
      <c r="M49">
        <v>1</v>
      </c>
      <c r="N49" t="s">
        <v>31</v>
      </c>
      <c r="O49" t="s">
        <v>32</v>
      </c>
      <c r="P49">
        <v>28</v>
      </c>
      <c r="Q49">
        <v>55</v>
      </c>
      <c r="R49">
        <v>3</v>
      </c>
      <c r="S49" t="s">
        <v>31</v>
      </c>
      <c r="T49">
        <v>3</v>
      </c>
      <c r="U49" t="s">
        <v>31</v>
      </c>
      <c r="V49" s="1">
        <v>41057</v>
      </c>
      <c r="X49" s="1" t="str">
        <f t="shared" si="0"/>
        <v>Active</v>
      </c>
      <c r="Y49" t="str">
        <f t="shared" si="1"/>
        <v>36-45</v>
      </c>
      <c r="Z49" t="str">
        <f t="shared" si="2"/>
        <v>6-10 Years</v>
      </c>
    </row>
    <row r="50" spans="1:26" x14ac:dyDescent="0.35">
      <c r="A50" t="s">
        <v>106</v>
      </c>
      <c r="B50">
        <v>32</v>
      </c>
      <c r="C50" t="s">
        <v>27</v>
      </c>
      <c r="D50" t="s">
        <v>52</v>
      </c>
      <c r="E50" t="s">
        <v>53</v>
      </c>
      <c r="F50" t="s">
        <v>37</v>
      </c>
      <c r="G50">
        <v>82333</v>
      </c>
      <c r="H50">
        <v>7</v>
      </c>
      <c r="I50">
        <v>9</v>
      </c>
      <c r="J50">
        <v>3</v>
      </c>
      <c r="K50">
        <v>2</v>
      </c>
      <c r="L50">
        <v>3</v>
      </c>
      <c r="M50">
        <v>3</v>
      </c>
      <c r="N50" t="s">
        <v>33</v>
      </c>
      <c r="O50" t="s">
        <v>32</v>
      </c>
      <c r="P50">
        <v>26</v>
      </c>
      <c r="Q50">
        <v>45</v>
      </c>
      <c r="R50">
        <v>4</v>
      </c>
      <c r="S50" t="s">
        <v>31</v>
      </c>
      <c r="T50">
        <v>6</v>
      </c>
      <c r="U50" t="s">
        <v>31</v>
      </c>
      <c r="V50" s="1">
        <v>43252</v>
      </c>
      <c r="X50" s="1" t="str">
        <f t="shared" si="0"/>
        <v>Active</v>
      </c>
      <c r="Y50" t="str">
        <f t="shared" si="1"/>
        <v>26-35</v>
      </c>
      <c r="Z50" t="str">
        <f t="shared" si="2"/>
        <v>6-10 Years</v>
      </c>
    </row>
    <row r="51" spans="1:26" x14ac:dyDescent="0.35">
      <c r="A51" t="s">
        <v>107</v>
      </c>
      <c r="B51">
        <v>38</v>
      </c>
      <c r="C51" t="s">
        <v>27</v>
      </c>
      <c r="D51" t="s">
        <v>28</v>
      </c>
      <c r="E51" t="s">
        <v>29</v>
      </c>
      <c r="F51" t="s">
        <v>30</v>
      </c>
      <c r="G51">
        <v>83226</v>
      </c>
      <c r="H51">
        <v>6</v>
      </c>
      <c r="I51">
        <v>17</v>
      </c>
      <c r="J51">
        <v>3</v>
      </c>
      <c r="K51">
        <v>2</v>
      </c>
      <c r="L51">
        <v>1</v>
      </c>
      <c r="M51">
        <v>4</v>
      </c>
      <c r="N51" t="s">
        <v>33</v>
      </c>
      <c r="O51" t="s">
        <v>32</v>
      </c>
      <c r="P51">
        <v>19</v>
      </c>
      <c r="Q51">
        <v>46</v>
      </c>
      <c r="R51">
        <v>3</v>
      </c>
      <c r="S51" t="s">
        <v>31</v>
      </c>
      <c r="T51">
        <v>5</v>
      </c>
      <c r="U51" t="s">
        <v>33</v>
      </c>
      <c r="V51" s="1">
        <v>44971</v>
      </c>
      <c r="W51" s="1">
        <v>45731</v>
      </c>
      <c r="X51" s="1" t="str">
        <f t="shared" si="0"/>
        <v>2025-03-15</v>
      </c>
      <c r="Y51" t="str">
        <f t="shared" si="1"/>
        <v>36-45</v>
      </c>
      <c r="Z51" t="str">
        <f t="shared" si="2"/>
        <v>6-10 Years</v>
      </c>
    </row>
    <row r="52" spans="1:26" x14ac:dyDescent="0.35">
      <c r="A52" t="s">
        <v>108</v>
      </c>
      <c r="B52">
        <v>38</v>
      </c>
      <c r="C52" t="s">
        <v>44</v>
      </c>
      <c r="D52" t="s">
        <v>45</v>
      </c>
      <c r="E52" t="s">
        <v>63</v>
      </c>
      <c r="F52" t="s">
        <v>56</v>
      </c>
      <c r="G52">
        <v>103208</v>
      </c>
      <c r="H52">
        <v>8</v>
      </c>
      <c r="I52">
        <v>14</v>
      </c>
      <c r="J52">
        <v>4</v>
      </c>
      <c r="K52">
        <v>4</v>
      </c>
      <c r="L52">
        <v>3</v>
      </c>
      <c r="M52">
        <v>3</v>
      </c>
      <c r="N52" t="s">
        <v>31</v>
      </c>
      <c r="O52" t="s">
        <v>32</v>
      </c>
      <c r="P52">
        <v>10</v>
      </c>
      <c r="Q52">
        <v>25</v>
      </c>
      <c r="R52">
        <v>4</v>
      </c>
      <c r="S52" t="s">
        <v>33</v>
      </c>
      <c r="T52">
        <v>3</v>
      </c>
      <c r="U52" t="s">
        <v>31</v>
      </c>
      <c r="V52" s="1">
        <v>45141</v>
      </c>
      <c r="X52" s="1" t="str">
        <f t="shared" si="0"/>
        <v>Active</v>
      </c>
      <c r="Y52" t="str">
        <f t="shared" si="1"/>
        <v>36-45</v>
      </c>
      <c r="Z52" t="str">
        <f t="shared" si="2"/>
        <v>6-10 Years</v>
      </c>
    </row>
    <row r="53" spans="1:26" x14ac:dyDescent="0.35">
      <c r="A53" t="s">
        <v>109</v>
      </c>
      <c r="B53">
        <v>29</v>
      </c>
      <c r="C53" t="s">
        <v>44</v>
      </c>
      <c r="D53" t="s">
        <v>28</v>
      </c>
      <c r="E53" t="s">
        <v>66</v>
      </c>
      <c r="F53" t="s">
        <v>56</v>
      </c>
      <c r="G53">
        <v>57466</v>
      </c>
      <c r="H53">
        <v>2</v>
      </c>
      <c r="I53">
        <v>5</v>
      </c>
      <c r="J53">
        <v>2</v>
      </c>
      <c r="K53">
        <v>2</v>
      </c>
      <c r="L53">
        <v>3</v>
      </c>
      <c r="M53">
        <v>1</v>
      </c>
      <c r="N53" t="s">
        <v>31</v>
      </c>
      <c r="O53" t="s">
        <v>32</v>
      </c>
      <c r="P53">
        <v>13</v>
      </c>
      <c r="Q53">
        <v>43</v>
      </c>
      <c r="R53">
        <v>3</v>
      </c>
      <c r="S53" t="s">
        <v>31</v>
      </c>
      <c r="T53">
        <v>9</v>
      </c>
      <c r="U53" t="s">
        <v>31</v>
      </c>
      <c r="V53" s="1">
        <v>42040</v>
      </c>
      <c r="X53" s="1" t="str">
        <f t="shared" si="0"/>
        <v>Active</v>
      </c>
      <c r="Y53" t="str">
        <f t="shared" si="1"/>
        <v>26-35</v>
      </c>
      <c r="Z53" t="str">
        <f t="shared" si="2"/>
        <v>2-3 Years</v>
      </c>
    </row>
    <row r="54" spans="1:26" x14ac:dyDescent="0.35">
      <c r="A54" t="s">
        <v>110</v>
      </c>
      <c r="B54">
        <v>23</v>
      </c>
      <c r="C54" t="s">
        <v>27</v>
      </c>
      <c r="D54" t="s">
        <v>39</v>
      </c>
      <c r="E54" t="s">
        <v>59</v>
      </c>
      <c r="F54" t="s">
        <v>56</v>
      </c>
      <c r="G54">
        <v>40212</v>
      </c>
      <c r="H54">
        <v>0</v>
      </c>
      <c r="I54">
        <v>1</v>
      </c>
      <c r="J54">
        <v>1</v>
      </c>
      <c r="K54">
        <v>2</v>
      </c>
      <c r="L54">
        <v>4</v>
      </c>
      <c r="M54">
        <v>4</v>
      </c>
      <c r="N54" t="s">
        <v>31</v>
      </c>
      <c r="O54" t="s">
        <v>32</v>
      </c>
      <c r="P54">
        <v>17</v>
      </c>
      <c r="Q54">
        <v>38</v>
      </c>
      <c r="R54">
        <v>3</v>
      </c>
      <c r="S54" t="s">
        <v>31</v>
      </c>
      <c r="T54">
        <v>3</v>
      </c>
      <c r="U54" t="s">
        <v>31</v>
      </c>
      <c r="V54" s="1">
        <v>41829</v>
      </c>
      <c r="X54" s="1" t="str">
        <f t="shared" si="0"/>
        <v>Active</v>
      </c>
      <c r="Y54" t="str">
        <f t="shared" si="1"/>
        <v>18-25</v>
      </c>
      <c r="Z54" t="str">
        <f t="shared" si="2"/>
        <v>0-1 Year</v>
      </c>
    </row>
    <row r="55" spans="1:26" x14ac:dyDescent="0.35">
      <c r="A55" t="s">
        <v>111</v>
      </c>
      <c r="B55">
        <v>41</v>
      </c>
      <c r="C55" t="s">
        <v>44</v>
      </c>
      <c r="D55" t="s">
        <v>45</v>
      </c>
      <c r="E55" t="s">
        <v>46</v>
      </c>
      <c r="F55" t="s">
        <v>37</v>
      </c>
      <c r="G55">
        <v>130837</v>
      </c>
      <c r="H55">
        <v>13</v>
      </c>
      <c r="I55">
        <v>20</v>
      </c>
      <c r="J55">
        <v>5</v>
      </c>
      <c r="K55">
        <v>2</v>
      </c>
      <c r="L55">
        <v>4</v>
      </c>
      <c r="M55">
        <v>2</v>
      </c>
      <c r="N55" t="s">
        <v>33</v>
      </c>
      <c r="O55" t="s">
        <v>32</v>
      </c>
      <c r="P55">
        <v>14</v>
      </c>
      <c r="Q55">
        <v>24</v>
      </c>
      <c r="R55">
        <v>3</v>
      </c>
      <c r="S55" t="s">
        <v>31</v>
      </c>
      <c r="T55">
        <v>5</v>
      </c>
      <c r="U55" t="s">
        <v>31</v>
      </c>
      <c r="V55" s="1">
        <v>42372</v>
      </c>
      <c r="X55" s="1" t="str">
        <f t="shared" si="0"/>
        <v>Active</v>
      </c>
      <c r="Y55" t="str">
        <f t="shared" si="1"/>
        <v>36-45</v>
      </c>
      <c r="Z55" t="str">
        <f t="shared" si="2"/>
        <v>10+ Years</v>
      </c>
    </row>
    <row r="56" spans="1:26" x14ac:dyDescent="0.35">
      <c r="A56" t="s">
        <v>112</v>
      </c>
      <c r="B56">
        <v>45</v>
      </c>
      <c r="C56" t="s">
        <v>27</v>
      </c>
      <c r="D56" t="s">
        <v>28</v>
      </c>
      <c r="E56" t="s">
        <v>66</v>
      </c>
      <c r="F56" t="s">
        <v>61</v>
      </c>
      <c r="G56">
        <v>140690</v>
      </c>
      <c r="H56">
        <v>19</v>
      </c>
      <c r="I56">
        <v>22</v>
      </c>
      <c r="J56">
        <v>5</v>
      </c>
      <c r="K56">
        <v>4</v>
      </c>
      <c r="L56">
        <v>4</v>
      </c>
      <c r="M56">
        <v>1</v>
      </c>
      <c r="N56" t="s">
        <v>31</v>
      </c>
      <c r="O56" t="s">
        <v>32</v>
      </c>
      <c r="P56">
        <v>10</v>
      </c>
      <c r="Q56">
        <v>52</v>
      </c>
      <c r="R56">
        <v>3</v>
      </c>
      <c r="S56" t="s">
        <v>31</v>
      </c>
      <c r="T56">
        <v>4</v>
      </c>
      <c r="U56" t="s">
        <v>33</v>
      </c>
      <c r="V56" s="1">
        <v>43645</v>
      </c>
      <c r="W56" s="1">
        <v>44265</v>
      </c>
      <c r="X56" s="1" t="str">
        <f t="shared" si="0"/>
        <v>2021-03-10</v>
      </c>
      <c r="Y56" t="str">
        <f t="shared" si="1"/>
        <v>36-45</v>
      </c>
      <c r="Z56" t="str">
        <f t="shared" si="2"/>
        <v>10+ Years</v>
      </c>
    </row>
    <row r="57" spans="1:26" x14ac:dyDescent="0.35">
      <c r="A57" t="s">
        <v>113</v>
      </c>
      <c r="B57">
        <v>56</v>
      </c>
      <c r="C57" t="s">
        <v>44</v>
      </c>
      <c r="D57" t="s">
        <v>35</v>
      </c>
      <c r="E57" t="s">
        <v>36</v>
      </c>
      <c r="F57" t="s">
        <v>37</v>
      </c>
      <c r="G57">
        <v>165849</v>
      </c>
      <c r="H57">
        <v>34</v>
      </c>
      <c r="I57">
        <v>34</v>
      </c>
      <c r="J57">
        <v>5</v>
      </c>
      <c r="K57">
        <v>2</v>
      </c>
      <c r="L57">
        <v>1</v>
      </c>
      <c r="M57">
        <v>4</v>
      </c>
      <c r="N57" t="s">
        <v>31</v>
      </c>
      <c r="O57" t="s">
        <v>32</v>
      </c>
      <c r="P57">
        <v>29</v>
      </c>
      <c r="Q57">
        <v>56</v>
      </c>
      <c r="R57">
        <v>4</v>
      </c>
      <c r="S57" t="s">
        <v>31</v>
      </c>
      <c r="T57">
        <v>6</v>
      </c>
      <c r="U57" t="s">
        <v>33</v>
      </c>
      <c r="V57" s="1">
        <v>45174</v>
      </c>
      <c r="W57" s="1">
        <v>45794</v>
      </c>
      <c r="X57" s="1" t="str">
        <f t="shared" si="0"/>
        <v>2025-05-17</v>
      </c>
      <c r="Y57" t="str">
        <f t="shared" si="1"/>
        <v>56+</v>
      </c>
      <c r="Z57" t="str">
        <f t="shared" si="2"/>
        <v>10+ Years</v>
      </c>
    </row>
    <row r="58" spans="1:26" x14ac:dyDescent="0.35">
      <c r="A58" t="s">
        <v>114</v>
      </c>
      <c r="B58">
        <v>36</v>
      </c>
      <c r="C58" t="s">
        <v>44</v>
      </c>
      <c r="D58" t="s">
        <v>28</v>
      </c>
      <c r="E58" t="s">
        <v>29</v>
      </c>
      <c r="F58" t="s">
        <v>37</v>
      </c>
      <c r="G58">
        <v>96974</v>
      </c>
      <c r="H58">
        <v>7</v>
      </c>
      <c r="I58">
        <v>14</v>
      </c>
      <c r="J58">
        <v>4</v>
      </c>
      <c r="K58">
        <v>2</v>
      </c>
      <c r="L58">
        <v>4</v>
      </c>
      <c r="M58">
        <v>3</v>
      </c>
      <c r="N58" t="s">
        <v>31</v>
      </c>
      <c r="O58" t="s">
        <v>32</v>
      </c>
      <c r="P58">
        <v>28</v>
      </c>
      <c r="Q58">
        <v>57</v>
      </c>
      <c r="R58">
        <v>3</v>
      </c>
      <c r="S58" t="s">
        <v>33</v>
      </c>
      <c r="T58">
        <v>6</v>
      </c>
      <c r="U58" t="s">
        <v>31</v>
      </c>
      <c r="V58" s="1">
        <v>44839</v>
      </c>
      <c r="X58" s="1" t="str">
        <f t="shared" si="0"/>
        <v>Active</v>
      </c>
      <c r="Y58" t="str">
        <f t="shared" si="1"/>
        <v>36-45</v>
      </c>
      <c r="Z58" t="str">
        <f t="shared" si="2"/>
        <v>6-10 Years</v>
      </c>
    </row>
    <row r="59" spans="1:26" x14ac:dyDescent="0.35">
      <c r="A59" t="s">
        <v>115</v>
      </c>
      <c r="B59">
        <v>34</v>
      </c>
      <c r="C59" t="s">
        <v>27</v>
      </c>
      <c r="D59" t="s">
        <v>45</v>
      </c>
      <c r="E59" t="s">
        <v>63</v>
      </c>
      <c r="F59" t="s">
        <v>37</v>
      </c>
      <c r="G59">
        <v>102496</v>
      </c>
      <c r="H59">
        <v>7</v>
      </c>
      <c r="I59">
        <v>10</v>
      </c>
      <c r="J59">
        <v>4</v>
      </c>
      <c r="K59">
        <v>3</v>
      </c>
      <c r="L59">
        <v>3</v>
      </c>
      <c r="M59">
        <v>4</v>
      </c>
      <c r="N59" t="s">
        <v>31</v>
      </c>
      <c r="O59" t="s">
        <v>32</v>
      </c>
      <c r="P59">
        <v>10</v>
      </c>
      <c r="Q59">
        <v>45</v>
      </c>
      <c r="R59">
        <v>3</v>
      </c>
      <c r="S59" t="s">
        <v>33</v>
      </c>
      <c r="T59">
        <v>4</v>
      </c>
      <c r="U59" t="s">
        <v>31</v>
      </c>
      <c r="V59" s="1">
        <v>43628</v>
      </c>
      <c r="X59" s="1" t="str">
        <f t="shared" si="0"/>
        <v>Active</v>
      </c>
      <c r="Y59" t="str">
        <f t="shared" si="1"/>
        <v>26-35</v>
      </c>
      <c r="Z59" t="str">
        <f t="shared" si="2"/>
        <v>6-10 Years</v>
      </c>
    </row>
    <row r="60" spans="1:26" x14ac:dyDescent="0.35">
      <c r="A60" t="s">
        <v>116</v>
      </c>
      <c r="B60">
        <v>51</v>
      </c>
      <c r="C60" t="s">
        <v>44</v>
      </c>
      <c r="D60" t="s">
        <v>39</v>
      </c>
      <c r="E60" t="s">
        <v>59</v>
      </c>
      <c r="F60" t="s">
        <v>56</v>
      </c>
      <c r="G60">
        <v>153294</v>
      </c>
      <c r="H60">
        <v>28</v>
      </c>
      <c r="I60">
        <v>30</v>
      </c>
      <c r="J60">
        <v>5</v>
      </c>
      <c r="K60">
        <v>2</v>
      </c>
      <c r="L60">
        <v>4</v>
      </c>
      <c r="M60">
        <v>1</v>
      </c>
      <c r="N60" t="s">
        <v>31</v>
      </c>
      <c r="O60" t="s">
        <v>32</v>
      </c>
      <c r="P60">
        <v>2</v>
      </c>
      <c r="Q60">
        <v>33</v>
      </c>
      <c r="R60">
        <v>3</v>
      </c>
      <c r="S60" t="s">
        <v>33</v>
      </c>
      <c r="T60">
        <v>2</v>
      </c>
      <c r="U60" t="s">
        <v>31</v>
      </c>
      <c r="V60" s="1">
        <v>44811</v>
      </c>
      <c r="X60" s="1" t="str">
        <f t="shared" si="0"/>
        <v>Active</v>
      </c>
      <c r="Y60" t="str">
        <f t="shared" si="1"/>
        <v>46-55</v>
      </c>
      <c r="Z60" t="str">
        <f t="shared" si="2"/>
        <v>10+ Years</v>
      </c>
    </row>
    <row r="61" spans="1:26" x14ac:dyDescent="0.35">
      <c r="A61" t="s">
        <v>117</v>
      </c>
      <c r="B61">
        <v>49</v>
      </c>
      <c r="C61" t="s">
        <v>44</v>
      </c>
      <c r="D61" t="s">
        <v>45</v>
      </c>
      <c r="E61" t="s">
        <v>46</v>
      </c>
      <c r="F61" t="s">
        <v>78</v>
      </c>
      <c r="G61">
        <v>74887</v>
      </c>
      <c r="H61">
        <v>3</v>
      </c>
      <c r="I61">
        <v>27</v>
      </c>
      <c r="J61">
        <v>3</v>
      </c>
      <c r="K61">
        <v>4</v>
      </c>
      <c r="L61">
        <v>2</v>
      </c>
      <c r="M61">
        <v>4</v>
      </c>
      <c r="N61" t="s">
        <v>31</v>
      </c>
      <c r="O61" t="s">
        <v>32</v>
      </c>
      <c r="P61">
        <v>10</v>
      </c>
      <c r="Q61">
        <v>10</v>
      </c>
      <c r="R61">
        <v>3</v>
      </c>
      <c r="S61" t="s">
        <v>31</v>
      </c>
      <c r="T61">
        <v>1</v>
      </c>
      <c r="U61" t="s">
        <v>33</v>
      </c>
      <c r="V61" s="1">
        <v>41595</v>
      </c>
      <c r="W61" s="1">
        <v>41979</v>
      </c>
      <c r="X61" s="1" t="str">
        <f t="shared" si="0"/>
        <v>2014-12-06</v>
      </c>
      <c r="Y61" t="str">
        <f t="shared" si="1"/>
        <v>46-55</v>
      </c>
      <c r="Z61" t="str">
        <f t="shared" si="2"/>
        <v>2-3 Years</v>
      </c>
    </row>
    <row r="62" spans="1:26" x14ac:dyDescent="0.35">
      <c r="A62" t="s">
        <v>118</v>
      </c>
      <c r="B62">
        <v>33</v>
      </c>
      <c r="C62" t="s">
        <v>44</v>
      </c>
      <c r="D62" t="s">
        <v>49</v>
      </c>
      <c r="E62" t="s">
        <v>68</v>
      </c>
      <c r="F62" t="s">
        <v>78</v>
      </c>
      <c r="G62">
        <v>79906</v>
      </c>
      <c r="H62">
        <v>6</v>
      </c>
      <c r="I62">
        <v>9</v>
      </c>
      <c r="J62">
        <v>3</v>
      </c>
      <c r="K62">
        <v>1</v>
      </c>
      <c r="L62">
        <v>2</v>
      </c>
      <c r="M62">
        <v>3</v>
      </c>
      <c r="N62" t="s">
        <v>31</v>
      </c>
      <c r="O62" t="s">
        <v>32</v>
      </c>
      <c r="P62">
        <v>26</v>
      </c>
      <c r="Q62">
        <v>43</v>
      </c>
      <c r="R62">
        <v>3</v>
      </c>
      <c r="S62" t="s">
        <v>31</v>
      </c>
      <c r="T62">
        <v>6</v>
      </c>
      <c r="U62" t="s">
        <v>31</v>
      </c>
      <c r="V62" s="1">
        <v>44064</v>
      </c>
      <c r="X62" s="1" t="str">
        <f t="shared" si="0"/>
        <v>Active</v>
      </c>
      <c r="Y62" t="str">
        <f t="shared" si="1"/>
        <v>26-35</v>
      </c>
      <c r="Z62" t="str">
        <f t="shared" si="2"/>
        <v>6-10 Years</v>
      </c>
    </row>
    <row r="63" spans="1:26" x14ac:dyDescent="0.35">
      <c r="A63" t="s">
        <v>119</v>
      </c>
      <c r="B63">
        <v>43</v>
      </c>
      <c r="C63" t="s">
        <v>27</v>
      </c>
      <c r="D63" t="s">
        <v>49</v>
      </c>
      <c r="E63" t="s">
        <v>50</v>
      </c>
      <c r="F63" t="s">
        <v>56</v>
      </c>
      <c r="G63">
        <v>129964</v>
      </c>
      <c r="H63">
        <v>14</v>
      </c>
      <c r="I63">
        <v>19</v>
      </c>
      <c r="J63">
        <v>5</v>
      </c>
      <c r="K63">
        <v>3</v>
      </c>
      <c r="L63">
        <v>4</v>
      </c>
      <c r="M63">
        <v>2</v>
      </c>
      <c r="N63" t="s">
        <v>31</v>
      </c>
      <c r="O63" t="s">
        <v>32</v>
      </c>
      <c r="P63">
        <v>26</v>
      </c>
      <c r="Q63">
        <v>47</v>
      </c>
      <c r="R63">
        <v>3</v>
      </c>
      <c r="S63" t="s">
        <v>31</v>
      </c>
      <c r="T63">
        <v>1</v>
      </c>
      <c r="U63" t="s">
        <v>31</v>
      </c>
      <c r="V63" s="1">
        <v>42718</v>
      </c>
      <c r="X63" s="1" t="str">
        <f t="shared" si="0"/>
        <v>Active</v>
      </c>
      <c r="Y63" t="str">
        <f t="shared" si="1"/>
        <v>36-45</v>
      </c>
      <c r="Z63" t="str">
        <f t="shared" si="2"/>
        <v>10+ Years</v>
      </c>
    </row>
    <row r="64" spans="1:26" x14ac:dyDescent="0.35">
      <c r="A64" t="s">
        <v>120</v>
      </c>
      <c r="B64">
        <v>36</v>
      </c>
      <c r="C64" t="s">
        <v>27</v>
      </c>
      <c r="D64" t="s">
        <v>49</v>
      </c>
      <c r="E64" t="s">
        <v>68</v>
      </c>
      <c r="F64" t="s">
        <v>41</v>
      </c>
      <c r="G64">
        <v>86676</v>
      </c>
      <c r="H64">
        <v>8</v>
      </c>
      <c r="I64">
        <v>14</v>
      </c>
      <c r="J64">
        <v>3</v>
      </c>
      <c r="K64">
        <v>1</v>
      </c>
      <c r="L64">
        <v>4</v>
      </c>
      <c r="M64">
        <v>3</v>
      </c>
      <c r="N64" t="s">
        <v>31</v>
      </c>
      <c r="O64" t="s">
        <v>32</v>
      </c>
      <c r="P64">
        <v>29</v>
      </c>
      <c r="Q64">
        <v>53</v>
      </c>
      <c r="R64">
        <v>3</v>
      </c>
      <c r="S64" t="s">
        <v>31</v>
      </c>
      <c r="T64">
        <v>5</v>
      </c>
      <c r="U64" t="s">
        <v>31</v>
      </c>
      <c r="V64" s="1">
        <v>42672</v>
      </c>
      <c r="X64" s="1" t="str">
        <f t="shared" si="0"/>
        <v>Active</v>
      </c>
      <c r="Y64" t="str">
        <f t="shared" si="1"/>
        <v>36-45</v>
      </c>
      <c r="Z64" t="str">
        <f t="shared" si="2"/>
        <v>6-10 Years</v>
      </c>
    </row>
    <row r="65" spans="1:26" x14ac:dyDescent="0.35">
      <c r="A65" t="s">
        <v>121</v>
      </c>
      <c r="B65">
        <v>30</v>
      </c>
      <c r="C65" t="s">
        <v>27</v>
      </c>
      <c r="D65" t="s">
        <v>35</v>
      </c>
      <c r="E65" t="s">
        <v>85</v>
      </c>
      <c r="F65" t="s">
        <v>56</v>
      </c>
      <c r="G65">
        <v>62433</v>
      </c>
      <c r="H65">
        <v>4</v>
      </c>
      <c r="I65">
        <v>8</v>
      </c>
      <c r="J65">
        <v>2</v>
      </c>
      <c r="K65">
        <v>4</v>
      </c>
      <c r="L65">
        <v>4</v>
      </c>
      <c r="M65">
        <v>3</v>
      </c>
      <c r="N65" t="s">
        <v>33</v>
      </c>
      <c r="O65" t="s">
        <v>32</v>
      </c>
      <c r="P65">
        <v>18</v>
      </c>
      <c r="Q65">
        <v>55</v>
      </c>
      <c r="R65">
        <v>4</v>
      </c>
      <c r="S65" t="s">
        <v>31</v>
      </c>
      <c r="T65">
        <v>9</v>
      </c>
      <c r="U65" t="s">
        <v>31</v>
      </c>
      <c r="V65" s="1">
        <v>41500</v>
      </c>
      <c r="X65" s="1" t="str">
        <f t="shared" si="0"/>
        <v>Active</v>
      </c>
      <c r="Y65" t="str">
        <f t="shared" si="1"/>
        <v>26-35</v>
      </c>
      <c r="Z65" t="str">
        <f t="shared" si="2"/>
        <v>4-5 Years</v>
      </c>
    </row>
    <row r="66" spans="1:26" x14ac:dyDescent="0.35">
      <c r="A66" t="s">
        <v>122</v>
      </c>
      <c r="B66">
        <v>43</v>
      </c>
      <c r="C66" t="s">
        <v>27</v>
      </c>
      <c r="D66" t="s">
        <v>35</v>
      </c>
      <c r="E66" t="s">
        <v>85</v>
      </c>
      <c r="F66" t="s">
        <v>30</v>
      </c>
      <c r="G66">
        <v>58368</v>
      </c>
      <c r="H66">
        <v>0</v>
      </c>
      <c r="I66">
        <v>19</v>
      </c>
      <c r="J66">
        <v>2</v>
      </c>
      <c r="K66">
        <v>1</v>
      </c>
      <c r="L66">
        <v>1</v>
      </c>
      <c r="M66">
        <v>1</v>
      </c>
      <c r="N66" t="s">
        <v>31</v>
      </c>
      <c r="O66" t="s">
        <v>32</v>
      </c>
      <c r="P66">
        <v>7</v>
      </c>
      <c r="Q66">
        <v>11</v>
      </c>
      <c r="R66">
        <v>2</v>
      </c>
      <c r="S66" t="s">
        <v>31</v>
      </c>
      <c r="T66">
        <v>4</v>
      </c>
      <c r="U66" t="s">
        <v>31</v>
      </c>
      <c r="V66" s="1">
        <v>42804</v>
      </c>
      <c r="X66" s="1" t="str">
        <f t="shared" si="0"/>
        <v>Active</v>
      </c>
      <c r="Y66" t="str">
        <f t="shared" si="1"/>
        <v>36-45</v>
      </c>
      <c r="Z66" t="str">
        <f t="shared" si="2"/>
        <v>0-1 Year</v>
      </c>
    </row>
    <row r="67" spans="1:26" x14ac:dyDescent="0.35">
      <c r="A67" t="s">
        <v>123</v>
      </c>
      <c r="B67">
        <v>32</v>
      </c>
      <c r="C67" t="s">
        <v>27</v>
      </c>
      <c r="D67" t="s">
        <v>49</v>
      </c>
      <c r="E67" t="s">
        <v>68</v>
      </c>
      <c r="F67" t="s">
        <v>61</v>
      </c>
      <c r="G67">
        <v>85270</v>
      </c>
      <c r="H67">
        <v>8</v>
      </c>
      <c r="I67">
        <v>10</v>
      </c>
      <c r="J67">
        <v>3</v>
      </c>
      <c r="K67">
        <v>4</v>
      </c>
      <c r="L67">
        <v>1</v>
      </c>
      <c r="M67">
        <v>2</v>
      </c>
      <c r="N67" t="s">
        <v>31</v>
      </c>
      <c r="O67" t="s">
        <v>32</v>
      </c>
      <c r="P67">
        <v>20</v>
      </c>
      <c r="Q67">
        <v>56</v>
      </c>
      <c r="R67">
        <v>4</v>
      </c>
      <c r="S67" t="s">
        <v>33</v>
      </c>
      <c r="T67">
        <v>6</v>
      </c>
      <c r="U67" t="s">
        <v>31</v>
      </c>
      <c r="V67" s="1">
        <v>43043</v>
      </c>
      <c r="X67" s="1" t="str">
        <f t="shared" ref="X67:X130" si="3">IF(ISBLANK(W67), "Active", TEXT(W67, "yyyy-mm-dd"))</f>
        <v>Active</v>
      </c>
      <c r="Y67" t="str">
        <f t="shared" ref="Y67:Y130" si="4">_xlfn.IFS(B67&lt;=25, "18-25", B67&lt;=35, "26-35", B67&lt;=45, "36-45", B67&lt;=55, "46-55", B67&gt;55, "56+")</f>
        <v>26-35</v>
      </c>
      <c r="Z67" t="str">
        <f t="shared" ref="Z67:Z130" si="5">_xlfn.IFS(H67&lt;=1, "0-1 Year", H67&lt;=3, "2-3 Years", H67&lt;=5, "4-5 Years", H67&lt;=10, "6-10 Years", H67&gt;10, "10+ Years")</f>
        <v>6-10 Years</v>
      </c>
    </row>
    <row r="68" spans="1:26" x14ac:dyDescent="0.35">
      <c r="A68" t="s">
        <v>124</v>
      </c>
      <c r="B68">
        <v>33</v>
      </c>
      <c r="C68" t="s">
        <v>27</v>
      </c>
      <c r="D68" t="s">
        <v>28</v>
      </c>
      <c r="E68" t="s">
        <v>29</v>
      </c>
      <c r="F68" t="s">
        <v>30</v>
      </c>
      <c r="G68">
        <v>97427</v>
      </c>
      <c r="H68">
        <v>6</v>
      </c>
      <c r="I68">
        <v>10</v>
      </c>
      <c r="J68">
        <v>4</v>
      </c>
      <c r="K68">
        <v>1</v>
      </c>
      <c r="L68">
        <v>4</v>
      </c>
      <c r="M68">
        <v>1</v>
      </c>
      <c r="N68" t="s">
        <v>31</v>
      </c>
      <c r="O68" t="s">
        <v>32</v>
      </c>
      <c r="P68">
        <v>18</v>
      </c>
      <c r="Q68">
        <v>15</v>
      </c>
      <c r="R68">
        <v>3</v>
      </c>
      <c r="S68" t="s">
        <v>33</v>
      </c>
      <c r="T68">
        <v>6</v>
      </c>
      <c r="U68" t="s">
        <v>31</v>
      </c>
      <c r="V68" s="1">
        <v>41261</v>
      </c>
      <c r="X68" s="1" t="str">
        <f t="shared" si="3"/>
        <v>Active</v>
      </c>
      <c r="Y68" t="str">
        <f t="shared" si="4"/>
        <v>26-35</v>
      </c>
      <c r="Z68" t="str">
        <f t="shared" si="5"/>
        <v>6-10 Years</v>
      </c>
    </row>
    <row r="69" spans="1:26" x14ac:dyDescent="0.35">
      <c r="A69" t="s">
        <v>125</v>
      </c>
      <c r="B69">
        <v>28</v>
      </c>
      <c r="C69" t="s">
        <v>27</v>
      </c>
      <c r="D69" t="s">
        <v>45</v>
      </c>
      <c r="E69" t="s">
        <v>46</v>
      </c>
      <c r="F69" t="s">
        <v>30</v>
      </c>
      <c r="G69">
        <v>102948</v>
      </c>
      <c r="H69">
        <v>7</v>
      </c>
      <c r="I69">
        <v>7</v>
      </c>
      <c r="J69">
        <v>4</v>
      </c>
      <c r="K69">
        <v>4</v>
      </c>
      <c r="L69">
        <v>4</v>
      </c>
      <c r="M69">
        <v>4</v>
      </c>
      <c r="N69" t="s">
        <v>31</v>
      </c>
      <c r="O69" t="s">
        <v>32</v>
      </c>
      <c r="P69">
        <v>19</v>
      </c>
      <c r="Q69">
        <v>41</v>
      </c>
      <c r="R69">
        <v>3</v>
      </c>
      <c r="S69" t="s">
        <v>31</v>
      </c>
      <c r="T69">
        <v>3</v>
      </c>
      <c r="U69" t="s">
        <v>31</v>
      </c>
      <c r="V69" s="1">
        <v>44918</v>
      </c>
      <c r="X69" s="1" t="str">
        <f t="shared" si="3"/>
        <v>Active</v>
      </c>
      <c r="Y69" t="str">
        <f t="shared" si="4"/>
        <v>26-35</v>
      </c>
      <c r="Z69" t="str">
        <f t="shared" si="5"/>
        <v>6-10 Years</v>
      </c>
    </row>
    <row r="70" spans="1:26" x14ac:dyDescent="0.35">
      <c r="A70" t="s">
        <v>126</v>
      </c>
      <c r="B70">
        <v>33</v>
      </c>
      <c r="C70" t="s">
        <v>27</v>
      </c>
      <c r="D70" t="s">
        <v>39</v>
      </c>
      <c r="E70" t="s">
        <v>74</v>
      </c>
      <c r="F70" t="s">
        <v>61</v>
      </c>
      <c r="G70">
        <v>117147</v>
      </c>
      <c r="H70">
        <v>9</v>
      </c>
      <c r="I70">
        <v>10</v>
      </c>
      <c r="J70">
        <v>5</v>
      </c>
      <c r="K70">
        <v>4</v>
      </c>
      <c r="L70">
        <v>2</v>
      </c>
      <c r="M70">
        <v>3</v>
      </c>
      <c r="N70" t="s">
        <v>31</v>
      </c>
      <c r="O70" t="s">
        <v>32</v>
      </c>
      <c r="P70">
        <v>5</v>
      </c>
      <c r="Q70">
        <v>14</v>
      </c>
      <c r="R70">
        <v>3</v>
      </c>
      <c r="S70" t="s">
        <v>31</v>
      </c>
      <c r="T70">
        <v>4</v>
      </c>
      <c r="U70" t="s">
        <v>31</v>
      </c>
      <c r="V70" s="1">
        <v>44723</v>
      </c>
      <c r="X70" s="1" t="str">
        <f t="shared" si="3"/>
        <v>Active</v>
      </c>
      <c r="Y70" t="str">
        <f t="shared" si="4"/>
        <v>26-35</v>
      </c>
      <c r="Z70" t="str">
        <f t="shared" si="5"/>
        <v>6-10 Years</v>
      </c>
    </row>
    <row r="71" spans="1:26" x14ac:dyDescent="0.35">
      <c r="A71" t="s">
        <v>127</v>
      </c>
      <c r="B71">
        <v>27</v>
      </c>
      <c r="C71" t="s">
        <v>44</v>
      </c>
      <c r="D71" t="s">
        <v>35</v>
      </c>
      <c r="E71" t="s">
        <v>36</v>
      </c>
      <c r="F71" t="s">
        <v>41</v>
      </c>
      <c r="G71">
        <v>45356</v>
      </c>
      <c r="H71">
        <v>2</v>
      </c>
      <c r="I71">
        <v>5</v>
      </c>
      <c r="J71">
        <v>1</v>
      </c>
      <c r="K71">
        <v>3</v>
      </c>
      <c r="L71">
        <v>1</v>
      </c>
      <c r="M71">
        <v>4</v>
      </c>
      <c r="N71" t="s">
        <v>31</v>
      </c>
      <c r="O71" t="s">
        <v>32</v>
      </c>
      <c r="P71">
        <v>11</v>
      </c>
      <c r="Q71">
        <v>19</v>
      </c>
      <c r="R71">
        <v>3</v>
      </c>
      <c r="S71" t="s">
        <v>31</v>
      </c>
      <c r="T71">
        <v>2</v>
      </c>
      <c r="U71" t="s">
        <v>31</v>
      </c>
      <c r="V71" s="1">
        <v>44341</v>
      </c>
      <c r="X71" s="1" t="str">
        <f t="shared" si="3"/>
        <v>Active</v>
      </c>
      <c r="Y71" t="str">
        <f t="shared" si="4"/>
        <v>26-35</v>
      </c>
      <c r="Z71" t="str">
        <f t="shared" si="5"/>
        <v>2-3 Years</v>
      </c>
    </row>
    <row r="72" spans="1:26" x14ac:dyDescent="0.35">
      <c r="A72" t="s">
        <v>128</v>
      </c>
      <c r="B72">
        <v>22</v>
      </c>
      <c r="C72" t="s">
        <v>27</v>
      </c>
      <c r="D72" t="s">
        <v>49</v>
      </c>
      <c r="E72" t="s">
        <v>68</v>
      </c>
      <c r="F72" t="s">
        <v>61</v>
      </c>
      <c r="G72">
        <v>60099</v>
      </c>
      <c r="H72">
        <v>1</v>
      </c>
      <c r="I72">
        <v>1</v>
      </c>
      <c r="J72">
        <v>2</v>
      </c>
      <c r="K72">
        <v>4</v>
      </c>
      <c r="L72">
        <v>1</v>
      </c>
      <c r="M72">
        <v>3</v>
      </c>
      <c r="N72" t="s">
        <v>31</v>
      </c>
      <c r="O72" t="s">
        <v>32</v>
      </c>
      <c r="P72">
        <v>17</v>
      </c>
      <c r="Q72">
        <v>53</v>
      </c>
      <c r="R72">
        <v>3</v>
      </c>
      <c r="S72" t="s">
        <v>31</v>
      </c>
      <c r="T72">
        <v>4</v>
      </c>
      <c r="U72" t="s">
        <v>33</v>
      </c>
      <c r="V72" s="1">
        <v>41877</v>
      </c>
      <c r="W72" s="1">
        <v>42487</v>
      </c>
      <c r="X72" s="1" t="str">
        <f t="shared" si="3"/>
        <v>2016-04-27</v>
      </c>
      <c r="Y72" t="str">
        <f t="shared" si="4"/>
        <v>18-25</v>
      </c>
      <c r="Z72" t="str">
        <f t="shared" si="5"/>
        <v>0-1 Year</v>
      </c>
    </row>
    <row r="73" spans="1:26" x14ac:dyDescent="0.35">
      <c r="A73" t="s">
        <v>129</v>
      </c>
      <c r="B73">
        <v>58</v>
      </c>
      <c r="C73" t="s">
        <v>44</v>
      </c>
      <c r="D73" t="s">
        <v>28</v>
      </c>
      <c r="E73" t="s">
        <v>29</v>
      </c>
      <c r="F73" t="s">
        <v>37</v>
      </c>
      <c r="G73">
        <v>174178</v>
      </c>
      <c r="H73">
        <v>36</v>
      </c>
      <c r="I73">
        <v>36</v>
      </c>
      <c r="J73">
        <v>5</v>
      </c>
      <c r="K73">
        <v>1</v>
      </c>
      <c r="L73">
        <v>1</v>
      </c>
      <c r="M73">
        <v>1</v>
      </c>
      <c r="N73" t="s">
        <v>31</v>
      </c>
      <c r="O73" t="s">
        <v>32</v>
      </c>
      <c r="P73">
        <v>18</v>
      </c>
      <c r="Q73">
        <v>33</v>
      </c>
      <c r="R73">
        <v>3</v>
      </c>
      <c r="S73" t="s">
        <v>33</v>
      </c>
      <c r="T73">
        <v>1</v>
      </c>
      <c r="U73" t="s">
        <v>33</v>
      </c>
      <c r="V73" s="1">
        <v>44158</v>
      </c>
      <c r="W73" s="1">
        <v>44685</v>
      </c>
      <c r="X73" s="1" t="str">
        <f t="shared" si="3"/>
        <v>2022-05-04</v>
      </c>
      <c r="Y73" t="str">
        <f t="shared" si="4"/>
        <v>56+</v>
      </c>
      <c r="Z73" t="str">
        <f t="shared" si="5"/>
        <v>10+ Years</v>
      </c>
    </row>
    <row r="74" spans="1:26" x14ac:dyDescent="0.35">
      <c r="A74" t="s">
        <v>130</v>
      </c>
      <c r="B74">
        <v>59</v>
      </c>
      <c r="C74" t="s">
        <v>27</v>
      </c>
      <c r="D74" t="s">
        <v>45</v>
      </c>
      <c r="E74" t="s">
        <v>46</v>
      </c>
      <c r="F74" t="s">
        <v>41</v>
      </c>
      <c r="G74">
        <v>97364</v>
      </c>
      <c r="H74">
        <v>7</v>
      </c>
      <c r="I74">
        <v>35</v>
      </c>
      <c r="J74">
        <v>4</v>
      </c>
      <c r="K74">
        <v>1</v>
      </c>
      <c r="L74">
        <v>3</v>
      </c>
      <c r="M74">
        <v>4</v>
      </c>
      <c r="N74" t="s">
        <v>33</v>
      </c>
      <c r="O74" t="s">
        <v>47</v>
      </c>
      <c r="P74">
        <v>15</v>
      </c>
      <c r="Q74">
        <v>43</v>
      </c>
      <c r="R74">
        <v>3</v>
      </c>
      <c r="S74" t="s">
        <v>33</v>
      </c>
      <c r="T74">
        <v>2</v>
      </c>
      <c r="U74" t="s">
        <v>31</v>
      </c>
      <c r="V74" s="1">
        <v>44628</v>
      </c>
      <c r="X74" s="1" t="str">
        <f t="shared" si="3"/>
        <v>Active</v>
      </c>
      <c r="Y74" t="str">
        <f t="shared" si="4"/>
        <v>56+</v>
      </c>
      <c r="Z74" t="str">
        <f t="shared" si="5"/>
        <v>6-10 Years</v>
      </c>
    </row>
    <row r="75" spans="1:26" x14ac:dyDescent="0.35">
      <c r="A75" t="s">
        <v>131</v>
      </c>
      <c r="B75">
        <v>33</v>
      </c>
      <c r="C75" t="s">
        <v>27</v>
      </c>
      <c r="D75" t="s">
        <v>35</v>
      </c>
      <c r="E75" t="s">
        <v>85</v>
      </c>
      <c r="F75" t="s">
        <v>41</v>
      </c>
      <c r="G75">
        <v>42406</v>
      </c>
      <c r="H75">
        <v>0</v>
      </c>
      <c r="I75">
        <v>12</v>
      </c>
      <c r="J75">
        <v>1</v>
      </c>
      <c r="K75">
        <v>4</v>
      </c>
      <c r="L75">
        <v>2</v>
      </c>
      <c r="M75">
        <v>1</v>
      </c>
      <c r="N75" t="s">
        <v>31</v>
      </c>
      <c r="O75" t="s">
        <v>32</v>
      </c>
      <c r="P75">
        <v>2</v>
      </c>
      <c r="Q75">
        <v>59</v>
      </c>
      <c r="R75">
        <v>3</v>
      </c>
      <c r="S75" t="s">
        <v>31</v>
      </c>
      <c r="T75">
        <v>6</v>
      </c>
      <c r="U75" t="s">
        <v>31</v>
      </c>
      <c r="V75" s="1">
        <v>44590</v>
      </c>
      <c r="X75" s="1" t="str">
        <f t="shared" si="3"/>
        <v>Active</v>
      </c>
      <c r="Y75" t="str">
        <f t="shared" si="4"/>
        <v>26-35</v>
      </c>
      <c r="Z75" t="str">
        <f t="shared" si="5"/>
        <v>0-1 Year</v>
      </c>
    </row>
    <row r="76" spans="1:26" x14ac:dyDescent="0.35">
      <c r="A76" t="s">
        <v>132</v>
      </c>
      <c r="B76">
        <v>59</v>
      </c>
      <c r="C76" t="s">
        <v>27</v>
      </c>
      <c r="D76" t="s">
        <v>45</v>
      </c>
      <c r="E76" t="s">
        <v>46</v>
      </c>
      <c r="F76" t="s">
        <v>56</v>
      </c>
      <c r="G76">
        <v>132000</v>
      </c>
      <c r="H76">
        <v>17</v>
      </c>
      <c r="I76">
        <v>37</v>
      </c>
      <c r="J76">
        <v>5</v>
      </c>
      <c r="K76">
        <v>3</v>
      </c>
      <c r="L76">
        <v>3</v>
      </c>
      <c r="M76">
        <v>1</v>
      </c>
      <c r="N76" t="s">
        <v>33</v>
      </c>
      <c r="O76" t="s">
        <v>32</v>
      </c>
      <c r="P76">
        <v>25</v>
      </c>
      <c r="Q76">
        <v>30</v>
      </c>
      <c r="R76">
        <v>3</v>
      </c>
      <c r="S76" t="s">
        <v>31</v>
      </c>
      <c r="T76">
        <v>5</v>
      </c>
      <c r="U76" t="s">
        <v>31</v>
      </c>
      <c r="V76" s="1">
        <v>44247</v>
      </c>
      <c r="X76" s="1" t="str">
        <f t="shared" si="3"/>
        <v>Active</v>
      </c>
      <c r="Y76" t="str">
        <f t="shared" si="4"/>
        <v>56+</v>
      </c>
      <c r="Z76" t="str">
        <f t="shared" si="5"/>
        <v>10+ Years</v>
      </c>
    </row>
    <row r="77" spans="1:26" x14ac:dyDescent="0.35">
      <c r="A77" t="s">
        <v>133</v>
      </c>
      <c r="B77">
        <v>56</v>
      </c>
      <c r="C77" t="s">
        <v>27</v>
      </c>
      <c r="D77" t="s">
        <v>45</v>
      </c>
      <c r="E77" t="s">
        <v>63</v>
      </c>
      <c r="F77" t="s">
        <v>30</v>
      </c>
      <c r="G77">
        <v>89228</v>
      </c>
      <c r="H77">
        <v>8</v>
      </c>
      <c r="I77">
        <v>34</v>
      </c>
      <c r="J77">
        <v>3</v>
      </c>
      <c r="K77">
        <v>2</v>
      </c>
      <c r="L77">
        <v>4</v>
      </c>
      <c r="M77">
        <v>4</v>
      </c>
      <c r="N77" t="s">
        <v>31</v>
      </c>
      <c r="O77" t="s">
        <v>42</v>
      </c>
      <c r="P77">
        <v>25</v>
      </c>
      <c r="Q77">
        <v>21</v>
      </c>
      <c r="R77">
        <v>3</v>
      </c>
      <c r="S77" t="s">
        <v>31</v>
      </c>
      <c r="T77">
        <v>7</v>
      </c>
      <c r="U77" t="s">
        <v>31</v>
      </c>
      <c r="V77" s="1">
        <v>41923</v>
      </c>
      <c r="X77" s="1" t="str">
        <f t="shared" si="3"/>
        <v>Active</v>
      </c>
      <c r="Y77" t="str">
        <f t="shared" si="4"/>
        <v>56+</v>
      </c>
      <c r="Z77" t="str">
        <f t="shared" si="5"/>
        <v>6-10 Years</v>
      </c>
    </row>
    <row r="78" spans="1:26" x14ac:dyDescent="0.35">
      <c r="A78" t="s">
        <v>134</v>
      </c>
      <c r="B78">
        <v>37</v>
      </c>
      <c r="C78" t="s">
        <v>44</v>
      </c>
      <c r="D78" t="s">
        <v>52</v>
      </c>
      <c r="E78" t="s">
        <v>53</v>
      </c>
      <c r="F78" t="s">
        <v>61</v>
      </c>
      <c r="G78">
        <v>105854</v>
      </c>
      <c r="H78">
        <v>10</v>
      </c>
      <c r="I78">
        <v>13</v>
      </c>
      <c r="J78">
        <v>4</v>
      </c>
      <c r="K78">
        <v>4</v>
      </c>
      <c r="L78">
        <v>1</v>
      </c>
      <c r="M78">
        <v>1</v>
      </c>
      <c r="N78" t="s">
        <v>33</v>
      </c>
      <c r="O78" t="s">
        <v>32</v>
      </c>
      <c r="P78">
        <v>16</v>
      </c>
      <c r="Q78">
        <v>55</v>
      </c>
      <c r="R78">
        <v>3</v>
      </c>
      <c r="S78" t="s">
        <v>31</v>
      </c>
      <c r="T78">
        <v>6</v>
      </c>
      <c r="U78" t="s">
        <v>31</v>
      </c>
      <c r="V78" s="1">
        <v>44439</v>
      </c>
      <c r="X78" s="1" t="str">
        <f t="shared" si="3"/>
        <v>Active</v>
      </c>
      <c r="Y78" t="str">
        <f t="shared" si="4"/>
        <v>36-45</v>
      </c>
      <c r="Z78" t="str">
        <f t="shared" si="5"/>
        <v>6-10 Years</v>
      </c>
    </row>
    <row r="79" spans="1:26" x14ac:dyDescent="0.35">
      <c r="A79" t="s">
        <v>135</v>
      </c>
      <c r="B79">
        <v>28</v>
      </c>
      <c r="C79" t="s">
        <v>44</v>
      </c>
      <c r="D79" t="s">
        <v>39</v>
      </c>
      <c r="E79" t="s">
        <v>40</v>
      </c>
      <c r="F79" t="s">
        <v>78</v>
      </c>
      <c r="G79">
        <v>52444</v>
      </c>
      <c r="H79">
        <v>0</v>
      </c>
      <c r="I79">
        <v>5</v>
      </c>
      <c r="J79">
        <v>2</v>
      </c>
      <c r="K79">
        <v>2</v>
      </c>
      <c r="L79">
        <v>4</v>
      </c>
      <c r="M79">
        <v>4</v>
      </c>
      <c r="N79" t="s">
        <v>33</v>
      </c>
      <c r="O79" t="s">
        <v>42</v>
      </c>
      <c r="P79">
        <v>12</v>
      </c>
      <c r="Q79">
        <v>54</v>
      </c>
      <c r="R79">
        <v>3</v>
      </c>
      <c r="S79" t="s">
        <v>31</v>
      </c>
      <c r="T79">
        <v>8</v>
      </c>
      <c r="U79" t="s">
        <v>31</v>
      </c>
      <c r="V79" s="1">
        <v>43540</v>
      </c>
      <c r="X79" s="1" t="str">
        <f t="shared" si="3"/>
        <v>Active</v>
      </c>
      <c r="Y79" t="str">
        <f t="shared" si="4"/>
        <v>26-35</v>
      </c>
      <c r="Z79" t="str">
        <f t="shared" si="5"/>
        <v>0-1 Year</v>
      </c>
    </row>
    <row r="80" spans="1:26" x14ac:dyDescent="0.35">
      <c r="A80" t="s">
        <v>136</v>
      </c>
      <c r="B80">
        <v>45</v>
      </c>
      <c r="C80" t="s">
        <v>27</v>
      </c>
      <c r="D80" t="s">
        <v>39</v>
      </c>
      <c r="E80" t="s">
        <v>40</v>
      </c>
      <c r="F80" t="s">
        <v>78</v>
      </c>
      <c r="G80">
        <v>137674</v>
      </c>
      <c r="H80">
        <v>17</v>
      </c>
      <c r="I80">
        <v>21</v>
      </c>
      <c r="J80">
        <v>5</v>
      </c>
      <c r="K80">
        <v>4</v>
      </c>
      <c r="L80">
        <v>4</v>
      </c>
      <c r="M80">
        <v>3</v>
      </c>
      <c r="N80" t="s">
        <v>33</v>
      </c>
      <c r="O80" t="s">
        <v>32</v>
      </c>
      <c r="P80">
        <v>1</v>
      </c>
      <c r="Q80">
        <v>59</v>
      </c>
      <c r="R80">
        <v>3</v>
      </c>
      <c r="S80" t="s">
        <v>31</v>
      </c>
      <c r="T80">
        <v>5</v>
      </c>
      <c r="U80" t="s">
        <v>31</v>
      </c>
      <c r="V80" s="1">
        <v>42455</v>
      </c>
      <c r="X80" s="1" t="str">
        <f t="shared" si="3"/>
        <v>Active</v>
      </c>
      <c r="Y80" t="str">
        <f t="shared" si="4"/>
        <v>36-45</v>
      </c>
      <c r="Z80" t="str">
        <f t="shared" si="5"/>
        <v>10+ Years</v>
      </c>
    </row>
    <row r="81" spans="1:26" x14ac:dyDescent="0.35">
      <c r="A81" t="s">
        <v>137</v>
      </c>
      <c r="B81">
        <v>31</v>
      </c>
      <c r="C81" t="s">
        <v>27</v>
      </c>
      <c r="D81" t="s">
        <v>28</v>
      </c>
      <c r="E81" t="s">
        <v>29</v>
      </c>
      <c r="F81" t="s">
        <v>61</v>
      </c>
      <c r="G81">
        <v>99343</v>
      </c>
      <c r="H81">
        <v>8</v>
      </c>
      <c r="I81">
        <v>9</v>
      </c>
      <c r="J81">
        <v>4</v>
      </c>
      <c r="K81">
        <v>3</v>
      </c>
      <c r="L81">
        <v>3</v>
      </c>
      <c r="M81">
        <v>1</v>
      </c>
      <c r="N81" t="s">
        <v>31</v>
      </c>
      <c r="O81" t="s">
        <v>32</v>
      </c>
      <c r="P81">
        <v>9</v>
      </c>
      <c r="Q81">
        <v>58</v>
      </c>
      <c r="R81">
        <v>3</v>
      </c>
      <c r="S81" t="s">
        <v>31</v>
      </c>
      <c r="T81">
        <v>8</v>
      </c>
      <c r="U81" t="s">
        <v>31</v>
      </c>
      <c r="V81" s="1">
        <v>42823</v>
      </c>
      <c r="X81" s="1" t="str">
        <f t="shared" si="3"/>
        <v>Active</v>
      </c>
      <c r="Y81" t="str">
        <f t="shared" si="4"/>
        <v>26-35</v>
      </c>
      <c r="Z81" t="str">
        <f t="shared" si="5"/>
        <v>6-10 Years</v>
      </c>
    </row>
    <row r="82" spans="1:26" x14ac:dyDescent="0.35">
      <c r="A82" t="s">
        <v>138</v>
      </c>
      <c r="B82">
        <v>27</v>
      </c>
      <c r="C82" t="s">
        <v>27</v>
      </c>
      <c r="D82" t="s">
        <v>52</v>
      </c>
      <c r="E82" t="s">
        <v>53</v>
      </c>
      <c r="F82" t="s">
        <v>61</v>
      </c>
      <c r="G82">
        <v>56564</v>
      </c>
      <c r="H82">
        <v>1</v>
      </c>
      <c r="I82">
        <v>3</v>
      </c>
      <c r="J82">
        <v>2</v>
      </c>
      <c r="K82">
        <v>4</v>
      </c>
      <c r="L82">
        <v>3</v>
      </c>
      <c r="M82">
        <v>4</v>
      </c>
      <c r="N82" t="s">
        <v>31</v>
      </c>
      <c r="O82" t="s">
        <v>32</v>
      </c>
      <c r="P82">
        <v>22</v>
      </c>
      <c r="Q82">
        <v>53</v>
      </c>
      <c r="R82">
        <v>3</v>
      </c>
      <c r="S82" t="s">
        <v>31</v>
      </c>
      <c r="T82">
        <v>8</v>
      </c>
      <c r="U82" t="s">
        <v>31</v>
      </c>
      <c r="V82" s="1">
        <v>44528</v>
      </c>
      <c r="X82" s="1" t="str">
        <f t="shared" si="3"/>
        <v>Active</v>
      </c>
      <c r="Y82" t="str">
        <f t="shared" si="4"/>
        <v>26-35</v>
      </c>
      <c r="Z82" t="str">
        <f t="shared" si="5"/>
        <v>0-1 Year</v>
      </c>
    </row>
    <row r="83" spans="1:26" x14ac:dyDescent="0.35">
      <c r="A83" t="s">
        <v>139</v>
      </c>
      <c r="B83">
        <v>26</v>
      </c>
      <c r="C83" t="s">
        <v>27</v>
      </c>
      <c r="D83" t="s">
        <v>35</v>
      </c>
      <c r="E83" t="s">
        <v>36</v>
      </c>
      <c r="F83" t="s">
        <v>30</v>
      </c>
      <c r="G83">
        <v>39959</v>
      </c>
      <c r="H83">
        <v>0</v>
      </c>
      <c r="I83">
        <v>4</v>
      </c>
      <c r="J83">
        <v>1</v>
      </c>
      <c r="K83">
        <v>4</v>
      </c>
      <c r="L83">
        <v>1</v>
      </c>
      <c r="M83">
        <v>4</v>
      </c>
      <c r="N83" t="s">
        <v>31</v>
      </c>
      <c r="O83" t="s">
        <v>47</v>
      </c>
      <c r="P83">
        <v>13</v>
      </c>
      <c r="Q83">
        <v>32</v>
      </c>
      <c r="R83">
        <v>3</v>
      </c>
      <c r="S83" t="s">
        <v>31</v>
      </c>
      <c r="T83">
        <v>8</v>
      </c>
      <c r="U83" t="s">
        <v>31</v>
      </c>
      <c r="V83" s="1">
        <v>41921</v>
      </c>
      <c r="X83" s="1" t="str">
        <f t="shared" si="3"/>
        <v>Active</v>
      </c>
      <c r="Y83" t="str">
        <f t="shared" si="4"/>
        <v>26-35</v>
      </c>
      <c r="Z83" t="str">
        <f t="shared" si="5"/>
        <v>0-1 Year</v>
      </c>
    </row>
    <row r="84" spans="1:26" x14ac:dyDescent="0.35">
      <c r="A84" t="s">
        <v>140</v>
      </c>
      <c r="B84">
        <v>37</v>
      </c>
      <c r="C84" t="s">
        <v>27</v>
      </c>
      <c r="D84" t="s">
        <v>52</v>
      </c>
      <c r="E84" t="s">
        <v>55</v>
      </c>
      <c r="F84" t="s">
        <v>78</v>
      </c>
      <c r="G84">
        <v>63782</v>
      </c>
      <c r="H84">
        <v>3</v>
      </c>
      <c r="I84">
        <v>15</v>
      </c>
      <c r="J84">
        <v>2</v>
      </c>
      <c r="K84">
        <v>2</v>
      </c>
      <c r="L84">
        <v>1</v>
      </c>
      <c r="M84">
        <v>2</v>
      </c>
      <c r="N84" t="s">
        <v>31</v>
      </c>
      <c r="O84" t="s">
        <v>32</v>
      </c>
      <c r="P84">
        <v>1</v>
      </c>
      <c r="Q84">
        <v>20</v>
      </c>
      <c r="R84">
        <v>3</v>
      </c>
      <c r="S84" t="s">
        <v>31</v>
      </c>
      <c r="T84">
        <v>8</v>
      </c>
      <c r="U84" t="s">
        <v>31</v>
      </c>
      <c r="V84" s="1">
        <v>41469</v>
      </c>
      <c r="X84" s="1" t="str">
        <f t="shared" si="3"/>
        <v>Active</v>
      </c>
      <c r="Y84" t="str">
        <f t="shared" si="4"/>
        <v>36-45</v>
      </c>
      <c r="Z84" t="str">
        <f t="shared" si="5"/>
        <v>2-3 Years</v>
      </c>
    </row>
    <row r="85" spans="1:26" x14ac:dyDescent="0.35">
      <c r="A85" t="s">
        <v>141</v>
      </c>
      <c r="B85">
        <v>59</v>
      </c>
      <c r="C85" t="s">
        <v>44</v>
      </c>
      <c r="D85" t="s">
        <v>49</v>
      </c>
      <c r="E85" t="s">
        <v>68</v>
      </c>
      <c r="F85" t="s">
        <v>30</v>
      </c>
      <c r="G85">
        <v>126138</v>
      </c>
      <c r="H85">
        <v>13</v>
      </c>
      <c r="I85">
        <v>37</v>
      </c>
      <c r="J85">
        <v>5</v>
      </c>
      <c r="K85">
        <v>4</v>
      </c>
      <c r="L85">
        <v>3</v>
      </c>
      <c r="M85">
        <v>4</v>
      </c>
      <c r="N85" t="s">
        <v>31</v>
      </c>
      <c r="O85" t="s">
        <v>32</v>
      </c>
      <c r="P85">
        <v>27</v>
      </c>
      <c r="Q85">
        <v>11</v>
      </c>
      <c r="R85">
        <v>3</v>
      </c>
      <c r="S85" t="s">
        <v>31</v>
      </c>
      <c r="T85">
        <v>7</v>
      </c>
      <c r="U85" t="s">
        <v>33</v>
      </c>
      <c r="V85" s="1">
        <v>41146</v>
      </c>
      <c r="W85" s="1">
        <v>41626</v>
      </c>
      <c r="X85" s="1" t="str">
        <f t="shared" si="3"/>
        <v>2013-12-18</v>
      </c>
      <c r="Y85" t="str">
        <f t="shared" si="4"/>
        <v>56+</v>
      </c>
      <c r="Z85" t="str">
        <f t="shared" si="5"/>
        <v>10+ Years</v>
      </c>
    </row>
    <row r="86" spans="1:26" x14ac:dyDescent="0.35">
      <c r="A86" t="s">
        <v>142</v>
      </c>
      <c r="B86">
        <v>24</v>
      </c>
      <c r="C86" t="s">
        <v>44</v>
      </c>
      <c r="D86" t="s">
        <v>45</v>
      </c>
      <c r="E86" t="s">
        <v>46</v>
      </c>
      <c r="F86" t="s">
        <v>78</v>
      </c>
      <c r="G86">
        <v>56964</v>
      </c>
      <c r="H86">
        <v>1</v>
      </c>
      <c r="I86">
        <v>3</v>
      </c>
      <c r="J86">
        <v>2</v>
      </c>
      <c r="K86">
        <v>2</v>
      </c>
      <c r="L86">
        <v>4</v>
      </c>
      <c r="M86">
        <v>1</v>
      </c>
      <c r="N86" t="s">
        <v>33</v>
      </c>
      <c r="O86" t="s">
        <v>42</v>
      </c>
      <c r="P86">
        <v>28</v>
      </c>
      <c r="Q86">
        <v>22</v>
      </c>
      <c r="R86">
        <v>3</v>
      </c>
      <c r="S86" t="s">
        <v>31</v>
      </c>
      <c r="T86">
        <v>4</v>
      </c>
      <c r="U86" t="s">
        <v>31</v>
      </c>
      <c r="V86" s="1">
        <v>44110</v>
      </c>
      <c r="X86" s="1" t="str">
        <f t="shared" si="3"/>
        <v>Active</v>
      </c>
      <c r="Y86" t="str">
        <f t="shared" si="4"/>
        <v>18-25</v>
      </c>
      <c r="Z86" t="str">
        <f t="shared" si="5"/>
        <v>0-1 Year</v>
      </c>
    </row>
    <row r="87" spans="1:26" x14ac:dyDescent="0.35">
      <c r="A87" t="s">
        <v>143</v>
      </c>
      <c r="B87">
        <v>44</v>
      </c>
      <c r="C87" t="s">
        <v>27</v>
      </c>
      <c r="D87" t="s">
        <v>49</v>
      </c>
      <c r="E87" t="s">
        <v>50</v>
      </c>
      <c r="F87" t="s">
        <v>37</v>
      </c>
      <c r="G87">
        <v>104737</v>
      </c>
      <c r="H87">
        <v>9</v>
      </c>
      <c r="I87">
        <v>22</v>
      </c>
      <c r="J87">
        <v>4</v>
      </c>
      <c r="K87">
        <v>2</v>
      </c>
      <c r="L87">
        <v>3</v>
      </c>
      <c r="M87">
        <v>2</v>
      </c>
      <c r="N87" t="s">
        <v>31</v>
      </c>
      <c r="O87" t="s">
        <v>47</v>
      </c>
      <c r="P87">
        <v>19</v>
      </c>
      <c r="Q87">
        <v>18</v>
      </c>
      <c r="R87">
        <v>2</v>
      </c>
      <c r="S87" t="s">
        <v>31</v>
      </c>
      <c r="T87">
        <v>2</v>
      </c>
      <c r="U87" t="s">
        <v>31</v>
      </c>
      <c r="V87" s="1">
        <v>41517</v>
      </c>
      <c r="X87" s="1" t="str">
        <f t="shared" si="3"/>
        <v>Active</v>
      </c>
      <c r="Y87" t="str">
        <f t="shared" si="4"/>
        <v>36-45</v>
      </c>
      <c r="Z87" t="str">
        <f t="shared" si="5"/>
        <v>6-10 Years</v>
      </c>
    </row>
    <row r="88" spans="1:26" x14ac:dyDescent="0.35">
      <c r="A88" t="s">
        <v>144</v>
      </c>
      <c r="B88">
        <v>25</v>
      </c>
      <c r="C88" t="s">
        <v>44</v>
      </c>
      <c r="D88" t="s">
        <v>35</v>
      </c>
      <c r="E88" t="s">
        <v>36</v>
      </c>
      <c r="F88" t="s">
        <v>41</v>
      </c>
      <c r="G88">
        <v>52419</v>
      </c>
      <c r="H88">
        <v>0</v>
      </c>
      <c r="I88">
        <v>1</v>
      </c>
      <c r="J88">
        <v>2</v>
      </c>
      <c r="K88">
        <v>4</v>
      </c>
      <c r="L88">
        <v>2</v>
      </c>
      <c r="M88">
        <v>3</v>
      </c>
      <c r="N88" t="s">
        <v>31</v>
      </c>
      <c r="O88" t="s">
        <v>32</v>
      </c>
      <c r="P88">
        <v>29</v>
      </c>
      <c r="Q88">
        <v>44</v>
      </c>
      <c r="R88">
        <v>3</v>
      </c>
      <c r="S88" t="s">
        <v>31</v>
      </c>
      <c r="T88">
        <v>5</v>
      </c>
      <c r="U88" t="s">
        <v>31</v>
      </c>
      <c r="V88" s="1">
        <v>43202</v>
      </c>
      <c r="X88" s="1" t="str">
        <f t="shared" si="3"/>
        <v>Active</v>
      </c>
      <c r="Y88" t="str">
        <f t="shared" si="4"/>
        <v>18-25</v>
      </c>
      <c r="Z88" t="str">
        <f t="shared" si="5"/>
        <v>0-1 Year</v>
      </c>
    </row>
    <row r="89" spans="1:26" x14ac:dyDescent="0.35">
      <c r="A89" t="s">
        <v>145</v>
      </c>
      <c r="B89">
        <v>59</v>
      </c>
      <c r="C89" t="s">
        <v>27</v>
      </c>
      <c r="D89" t="s">
        <v>39</v>
      </c>
      <c r="E89" t="s">
        <v>40</v>
      </c>
      <c r="F89" t="s">
        <v>30</v>
      </c>
      <c r="G89">
        <v>63084</v>
      </c>
      <c r="H89">
        <v>4</v>
      </c>
      <c r="I89">
        <v>35</v>
      </c>
      <c r="J89">
        <v>2</v>
      </c>
      <c r="K89">
        <v>1</v>
      </c>
      <c r="L89">
        <v>2</v>
      </c>
      <c r="M89">
        <v>2</v>
      </c>
      <c r="N89" t="s">
        <v>33</v>
      </c>
      <c r="O89" t="s">
        <v>32</v>
      </c>
      <c r="P89">
        <v>4</v>
      </c>
      <c r="Q89">
        <v>26</v>
      </c>
      <c r="R89">
        <v>3</v>
      </c>
      <c r="S89" t="s">
        <v>31</v>
      </c>
      <c r="T89">
        <v>4</v>
      </c>
      <c r="U89" t="s">
        <v>31</v>
      </c>
      <c r="V89" s="1">
        <v>41454</v>
      </c>
      <c r="X89" s="1" t="str">
        <f t="shared" si="3"/>
        <v>Active</v>
      </c>
      <c r="Y89" t="str">
        <f t="shared" si="4"/>
        <v>56+</v>
      </c>
      <c r="Z89" t="str">
        <f t="shared" si="5"/>
        <v>4-5 Years</v>
      </c>
    </row>
    <row r="90" spans="1:26" x14ac:dyDescent="0.35">
      <c r="A90" t="s">
        <v>146</v>
      </c>
      <c r="B90">
        <v>39</v>
      </c>
      <c r="C90" t="s">
        <v>27</v>
      </c>
      <c r="D90" t="s">
        <v>35</v>
      </c>
      <c r="E90" t="s">
        <v>36</v>
      </c>
      <c r="F90" t="s">
        <v>41</v>
      </c>
      <c r="G90">
        <v>83164</v>
      </c>
      <c r="H90">
        <v>5</v>
      </c>
      <c r="I90">
        <v>18</v>
      </c>
      <c r="J90">
        <v>3</v>
      </c>
      <c r="K90">
        <v>2</v>
      </c>
      <c r="L90">
        <v>1</v>
      </c>
      <c r="M90">
        <v>1</v>
      </c>
      <c r="N90" t="s">
        <v>31</v>
      </c>
      <c r="O90" t="s">
        <v>32</v>
      </c>
      <c r="P90">
        <v>1</v>
      </c>
      <c r="Q90">
        <v>11</v>
      </c>
      <c r="R90">
        <v>4</v>
      </c>
      <c r="S90" t="s">
        <v>31</v>
      </c>
      <c r="T90">
        <v>4</v>
      </c>
      <c r="U90" t="s">
        <v>31</v>
      </c>
      <c r="V90" s="1">
        <v>43758</v>
      </c>
      <c r="X90" s="1" t="str">
        <f t="shared" si="3"/>
        <v>Active</v>
      </c>
      <c r="Y90" t="str">
        <f t="shared" si="4"/>
        <v>36-45</v>
      </c>
      <c r="Z90" t="str">
        <f t="shared" si="5"/>
        <v>4-5 Years</v>
      </c>
    </row>
    <row r="91" spans="1:26" x14ac:dyDescent="0.35">
      <c r="A91" t="s">
        <v>147</v>
      </c>
      <c r="B91">
        <v>29</v>
      </c>
      <c r="C91" t="s">
        <v>44</v>
      </c>
      <c r="D91" t="s">
        <v>35</v>
      </c>
      <c r="E91" t="s">
        <v>36</v>
      </c>
      <c r="F91" t="s">
        <v>61</v>
      </c>
      <c r="G91">
        <v>66724</v>
      </c>
      <c r="H91">
        <v>4</v>
      </c>
      <c r="I91">
        <v>5</v>
      </c>
      <c r="J91">
        <v>2</v>
      </c>
      <c r="K91">
        <v>4</v>
      </c>
      <c r="L91">
        <v>4</v>
      </c>
      <c r="M91">
        <v>1</v>
      </c>
      <c r="N91" t="s">
        <v>33</v>
      </c>
      <c r="O91" t="s">
        <v>32</v>
      </c>
      <c r="P91">
        <v>23</v>
      </c>
      <c r="Q91">
        <v>52</v>
      </c>
      <c r="R91">
        <v>3</v>
      </c>
      <c r="S91" t="s">
        <v>31</v>
      </c>
      <c r="T91">
        <v>3</v>
      </c>
      <c r="U91" t="s">
        <v>31</v>
      </c>
      <c r="V91" s="1">
        <v>45236</v>
      </c>
      <c r="X91" s="1" t="str">
        <f t="shared" si="3"/>
        <v>Active</v>
      </c>
      <c r="Y91" t="str">
        <f t="shared" si="4"/>
        <v>26-35</v>
      </c>
      <c r="Z91" t="str">
        <f t="shared" si="5"/>
        <v>4-5 Years</v>
      </c>
    </row>
    <row r="92" spans="1:26" x14ac:dyDescent="0.35">
      <c r="A92" t="s">
        <v>148</v>
      </c>
      <c r="B92">
        <v>52</v>
      </c>
      <c r="C92" t="s">
        <v>27</v>
      </c>
      <c r="D92" t="s">
        <v>49</v>
      </c>
      <c r="E92" t="s">
        <v>68</v>
      </c>
      <c r="F92" t="s">
        <v>37</v>
      </c>
      <c r="G92">
        <v>133562</v>
      </c>
      <c r="H92">
        <v>18</v>
      </c>
      <c r="I92">
        <v>29</v>
      </c>
      <c r="J92">
        <v>5</v>
      </c>
      <c r="K92">
        <v>3</v>
      </c>
      <c r="L92">
        <v>2</v>
      </c>
      <c r="M92">
        <v>1</v>
      </c>
      <c r="N92" t="s">
        <v>31</v>
      </c>
      <c r="O92" t="s">
        <v>32</v>
      </c>
      <c r="P92">
        <v>10</v>
      </c>
      <c r="Q92">
        <v>47</v>
      </c>
      <c r="R92">
        <v>3</v>
      </c>
      <c r="S92" t="s">
        <v>31</v>
      </c>
      <c r="T92">
        <v>6</v>
      </c>
      <c r="U92" t="s">
        <v>31</v>
      </c>
      <c r="V92" s="1">
        <v>42522</v>
      </c>
      <c r="X92" s="1" t="str">
        <f t="shared" si="3"/>
        <v>Active</v>
      </c>
      <c r="Y92" t="str">
        <f t="shared" si="4"/>
        <v>46-55</v>
      </c>
      <c r="Z92" t="str">
        <f t="shared" si="5"/>
        <v>10+ Years</v>
      </c>
    </row>
    <row r="93" spans="1:26" x14ac:dyDescent="0.35">
      <c r="A93" t="s">
        <v>149</v>
      </c>
      <c r="B93">
        <v>46</v>
      </c>
      <c r="C93" t="s">
        <v>27</v>
      </c>
      <c r="D93" t="s">
        <v>45</v>
      </c>
      <c r="E93" t="s">
        <v>46</v>
      </c>
      <c r="F93" t="s">
        <v>30</v>
      </c>
      <c r="G93">
        <v>137651</v>
      </c>
      <c r="H93">
        <v>20</v>
      </c>
      <c r="I93">
        <v>24</v>
      </c>
      <c r="J93">
        <v>5</v>
      </c>
      <c r="K93">
        <v>3</v>
      </c>
      <c r="L93">
        <v>4</v>
      </c>
      <c r="M93">
        <v>2</v>
      </c>
      <c r="N93" t="s">
        <v>31</v>
      </c>
      <c r="O93" t="s">
        <v>42</v>
      </c>
      <c r="P93">
        <v>28</v>
      </c>
      <c r="Q93">
        <v>43</v>
      </c>
      <c r="R93">
        <v>3</v>
      </c>
      <c r="S93" t="s">
        <v>31</v>
      </c>
      <c r="T93">
        <v>5</v>
      </c>
      <c r="U93" t="s">
        <v>31</v>
      </c>
      <c r="V93" s="1">
        <v>43746</v>
      </c>
      <c r="X93" s="1" t="str">
        <f t="shared" si="3"/>
        <v>Active</v>
      </c>
      <c r="Y93" t="str">
        <f t="shared" si="4"/>
        <v>46-55</v>
      </c>
      <c r="Z93" t="str">
        <f t="shared" si="5"/>
        <v>10+ Years</v>
      </c>
    </row>
    <row r="94" spans="1:26" x14ac:dyDescent="0.35">
      <c r="A94" t="s">
        <v>150</v>
      </c>
      <c r="B94">
        <v>51</v>
      </c>
      <c r="C94" t="s">
        <v>44</v>
      </c>
      <c r="D94" t="s">
        <v>52</v>
      </c>
      <c r="E94" t="s">
        <v>55</v>
      </c>
      <c r="F94" t="s">
        <v>37</v>
      </c>
      <c r="G94">
        <v>132988</v>
      </c>
      <c r="H94">
        <v>16</v>
      </c>
      <c r="I94">
        <v>29</v>
      </c>
      <c r="J94">
        <v>5</v>
      </c>
      <c r="K94">
        <v>3</v>
      </c>
      <c r="L94">
        <v>2</v>
      </c>
      <c r="M94">
        <v>4</v>
      </c>
      <c r="N94" t="s">
        <v>31</v>
      </c>
      <c r="O94" t="s">
        <v>32</v>
      </c>
      <c r="P94">
        <v>15</v>
      </c>
      <c r="Q94">
        <v>27</v>
      </c>
      <c r="R94">
        <v>3</v>
      </c>
      <c r="S94" t="s">
        <v>33</v>
      </c>
      <c r="T94">
        <v>5</v>
      </c>
      <c r="U94" t="s">
        <v>31</v>
      </c>
      <c r="V94" s="1">
        <v>41570</v>
      </c>
      <c r="X94" s="1" t="str">
        <f t="shared" si="3"/>
        <v>Active</v>
      </c>
      <c r="Y94" t="str">
        <f t="shared" si="4"/>
        <v>46-55</v>
      </c>
      <c r="Z94" t="str">
        <f t="shared" si="5"/>
        <v>10+ Years</v>
      </c>
    </row>
    <row r="95" spans="1:26" x14ac:dyDescent="0.35">
      <c r="A95" t="s">
        <v>151</v>
      </c>
      <c r="B95">
        <v>46</v>
      </c>
      <c r="C95" t="s">
        <v>44</v>
      </c>
      <c r="D95" t="s">
        <v>28</v>
      </c>
      <c r="E95" t="s">
        <v>29</v>
      </c>
      <c r="F95" t="s">
        <v>30</v>
      </c>
      <c r="G95">
        <v>143579</v>
      </c>
      <c r="H95">
        <v>20</v>
      </c>
      <c r="I95">
        <v>24</v>
      </c>
      <c r="J95">
        <v>5</v>
      </c>
      <c r="K95">
        <v>3</v>
      </c>
      <c r="L95">
        <v>2</v>
      </c>
      <c r="M95">
        <v>3</v>
      </c>
      <c r="N95" t="s">
        <v>33</v>
      </c>
      <c r="O95" t="s">
        <v>32</v>
      </c>
      <c r="P95">
        <v>22</v>
      </c>
      <c r="Q95">
        <v>52</v>
      </c>
      <c r="R95">
        <v>3</v>
      </c>
      <c r="S95" t="s">
        <v>33</v>
      </c>
      <c r="T95">
        <v>4</v>
      </c>
      <c r="U95" t="s">
        <v>31</v>
      </c>
      <c r="V95" s="1">
        <v>42213</v>
      </c>
      <c r="X95" s="1" t="str">
        <f t="shared" si="3"/>
        <v>Active</v>
      </c>
      <c r="Y95" t="str">
        <f t="shared" si="4"/>
        <v>46-55</v>
      </c>
      <c r="Z95" t="str">
        <f t="shared" si="5"/>
        <v>10+ Years</v>
      </c>
    </row>
    <row r="96" spans="1:26" x14ac:dyDescent="0.35">
      <c r="A96" t="s">
        <v>152</v>
      </c>
      <c r="B96">
        <v>58</v>
      </c>
      <c r="C96" t="s">
        <v>27</v>
      </c>
      <c r="D96" t="s">
        <v>39</v>
      </c>
      <c r="E96" t="s">
        <v>59</v>
      </c>
      <c r="F96" t="s">
        <v>61</v>
      </c>
      <c r="G96">
        <v>60448</v>
      </c>
      <c r="H96">
        <v>4</v>
      </c>
      <c r="I96">
        <v>34</v>
      </c>
      <c r="J96">
        <v>2</v>
      </c>
      <c r="K96">
        <v>4</v>
      </c>
      <c r="L96">
        <v>4</v>
      </c>
      <c r="M96">
        <v>3</v>
      </c>
      <c r="N96" t="s">
        <v>31</v>
      </c>
      <c r="O96" t="s">
        <v>32</v>
      </c>
      <c r="P96">
        <v>10</v>
      </c>
      <c r="Q96">
        <v>30</v>
      </c>
      <c r="R96">
        <v>3</v>
      </c>
      <c r="S96" t="s">
        <v>31</v>
      </c>
      <c r="T96">
        <v>6</v>
      </c>
      <c r="U96" t="s">
        <v>31</v>
      </c>
      <c r="V96" s="1">
        <v>43522</v>
      </c>
      <c r="X96" s="1" t="str">
        <f t="shared" si="3"/>
        <v>Active</v>
      </c>
      <c r="Y96" t="str">
        <f t="shared" si="4"/>
        <v>56+</v>
      </c>
      <c r="Z96" t="str">
        <f t="shared" si="5"/>
        <v>4-5 Years</v>
      </c>
    </row>
    <row r="97" spans="1:26" x14ac:dyDescent="0.35">
      <c r="A97" t="s">
        <v>153</v>
      </c>
      <c r="B97">
        <v>33</v>
      </c>
      <c r="C97" t="s">
        <v>44</v>
      </c>
      <c r="D97" t="s">
        <v>45</v>
      </c>
      <c r="E97" t="s">
        <v>46</v>
      </c>
      <c r="F97" t="s">
        <v>30</v>
      </c>
      <c r="G97">
        <v>100634</v>
      </c>
      <c r="H97">
        <v>8</v>
      </c>
      <c r="I97">
        <v>12</v>
      </c>
      <c r="J97">
        <v>4</v>
      </c>
      <c r="K97">
        <v>4</v>
      </c>
      <c r="L97">
        <v>3</v>
      </c>
      <c r="M97">
        <v>3</v>
      </c>
      <c r="N97" t="s">
        <v>31</v>
      </c>
      <c r="O97" t="s">
        <v>47</v>
      </c>
      <c r="P97">
        <v>4</v>
      </c>
      <c r="Q97">
        <v>56</v>
      </c>
      <c r="R97">
        <v>3</v>
      </c>
      <c r="S97" t="s">
        <v>31</v>
      </c>
      <c r="T97">
        <v>6</v>
      </c>
      <c r="U97" t="s">
        <v>31</v>
      </c>
      <c r="V97" s="1">
        <v>45192</v>
      </c>
      <c r="X97" s="1" t="str">
        <f t="shared" si="3"/>
        <v>Active</v>
      </c>
      <c r="Y97" t="str">
        <f t="shared" si="4"/>
        <v>26-35</v>
      </c>
      <c r="Z97" t="str">
        <f t="shared" si="5"/>
        <v>6-10 Years</v>
      </c>
    </row>
    <row r="98" spans="1:26" x14ac:dyDescent="0.35">
      <c r="A98" t="s">
        <v>154</v>
      </c>
      <c r="B98">
        <v>41</v>
      </c>
      <c r="C98" t="s">
        <v>27</v>
      </c>
      <c r="D98" t="s">
        <v>52</v>
      </c>
      <c r="E98" t="s">
        <v>53</v>
      </c>
      <c r="F98" t="s">
        <v>56</v>
      </c>
      <c r="G98">
        <v>81841</v>
      </c>
      <c r="H98">
        <v>4</v>
      </c>
      <c r="I98">
        <v>18</v>
      </c>
      <c r="J98">
        <v>3</v>
      </c>
      <c r="K98">
        <v>3</v>
      </c>
      <c r="L98">
        <v>4</v>
      </c>
      <c r="M98">
        <v>4</v>
      </c>
      <c r="N98" t="s">
        <v>31</v>
      </c>
      <c r="O98" t="s">
        <v>32</v>
      </c>
      <c r="P98">
        <v>19</v>
      </c>
      <c r="Q98">
        <v>40</v>
      </c>
      <c r="R98">
        <v>2</v>
      </c>
      <c r="S98" t="s">
        <v>31</v>
      </c>
      <c r="T98">
        <v>2</v>
      </c>
      <c r="U98" t="s">
        <v>31</v>
      </c>
      <c r="V98" s="1">
        <v>41572</v>
      </c>
      <c r="X98" s="1" t="str">
        <f t="shared" si="3"/>
        <v>Active</v>
      </c>
      <c r="Y98" t="str">
        <f t="shared" si="4"/>
        <v>36-45</v>
      </c>
      <c r="Z98" t="str">
        <f t="shared" si="5"/>
        <v>4-5 Years</v>
      </c>
    </row>
    <row r="99" spans="1:26" x14ac:dyDescent="0.35">
      <c r="A99" t="s">
        <v>155</v>
      </c>
      <c r="B99">
        <v>33</v>
      </c>
      <c r="C99" t="s">
        <v>44</v>
      </c>
      <c r="D99" t="s">
        <v>45</v>
      </c>
      <c r="E99" t="s">
        <v>46</v>
      </c>
      <c r="F99" t="s">
        <v>41</v>
      </c>
      <c r="G99">
        <v>63852</v>
      </c>
      <c r="H99">
        <v>2</v>
      </c>
      <c r="I99">
        <v>9</v>
      </c>
      <c r="J99">
        <v>2</v>
      </c>
      <c r="K99">
        <v>4</v>
      </c>
      <c r="L99">
        <v>2</v>
      </c>
      <c r="M99">
        <v>3</v>
      </c>
      <c r="N99" t="s">
        <v>33</v>
      </c>
      <c r="O99" t="s">
        <v>32</v>
      </c>
      <c r="P99">
        <v>17</v>
      </c>
      <c r="Q99">
        <v>37</v>
      </c>
      <c r="R99">
        <v>3</v>
      </c>
      <c r="S99" t="s">
        <v>31</v>
      </c>
      <c r="T99">
        <v>8</v>
      </c>
      <c r="U99" t="s">
        <v>31</v>
      </c>
      <c r="V99" s="1">
        <v>40983</v>
      </c>
      <c r="X99" s="1" t="str">
        <f t="shared" si="3"/>
        <v>Active</v>
      </c>
      <c r="Y99" t="str">
        <f t="shared" si="4"/>
        <v>26-35</v>
      </c>
      <c r="Z99" t="str">
        <f t="shared" si="5"/>
        <v>2-3 Years</v>
      </c>
    </row>
    <row r="100" spans="1:26" x14ac:dyDescent="0.35">
      <c r="A100" t="s">
        <v>156</v>
      </c>
      <c r="B100">
        <v>30</v>
      </c>
      <c r="C100" t="s">
        <v>44</v>
      </c>
      <c r="D100" t="s">
        <v>28</v>
      </c>
      <c r="E100" t="s">
        <v>29</v>
      </c>
      <c r="F100" t="s">
        <v>41</v>
      </c>
      <c r="G100">
        <v>120890</v>
      </c>
      <c r="H100">
        <v>9</v>
      </c>
      <c r="I100">
        <v>9</v>
      </c>
      <c r="J100">
        <v>5</v>
      </c>
      <c r="K100">
        <v>1</v>
      </c>
      <c r="L100">
        <v>3</v>
      </c>
      <c r="M100">
        <v>1</v>
      </c>
      <c r="N100" t="s">
        <v>31</v>
      </c>
      <c r="O100" t="s">
        <v>32</v>
      </c>
      <c r="P100">
        <v>27</v>
      </c>
      <c r="Q100">
        <v>54</v>
      </c>
      <c r="R100">
        <v>3</v>
      </c>
      <c r="S100" t="s">
        <v>33</v>
      </c>
      <c r="T100">
        <v>3</v>
      </c>
      <c r="U100" t="s">
        <v>31</v>
      </c>
      <c r="V100" s="1">
        <v>42912</v>
      </c>
      <c r="X100" s="1" t="str">
        <f t="shared" si="3"/>
        <v>Active</v>
      </c>
      <c r="Y100" t="str">
        <f t="shared" si="4"/>
        <v>26-35</v>
      </c>
      <c r="Z100" t="str">
        <f t="shared" si="5"/>
        <v>6-10 Years</v>
      </c>
    </row>
    <row r="101" spans="1:26" x14ac:dyDescent="0.35">
      <c r="A101" t="s">
        <v>157</v>
      </c>
      <c r="B101">
        <v>42</v>
      </c>
      <c r="C101" t="s">
        <v>27</v>
      </c>
      <c r="D101" t="s">
        <v>28</v>
      </c>
      <c r="E101" t="s">
        <v>66</v>
      </c>
      <c r="F101" t="s">
        <v>56</v>
      </c>
      <c r="G101">
        <v>79886</v>
      </c>
      <c r="H101">
        <v>3</v>
      </c>
      <c r="I101">
        <v>20</v>
      </c>
      <c r="J101">
        <v>3</v>
      </c>
      <c r="K101">
        <v>3</v>
      </c>
      <c r="L101">
        <v>2</v>
      </c>
      <c r="M101">
        <v>3</v>
      </c>
      <c r="N101" t="s">
        <v>31</v>
      </c>
      <c r="O101" t="s">
        <v>42</v>
      </c>
      <c r="P101">
        <v>22</v>
      </c>
      <c r="Q101">
        <v>55</v>
      </c>
      <c r="R101">
        <v>3</v>
      </c>
      <c r="S101" t="s">
        <v>31</v>
      </c>
      <c r="T101">
        <v>5</v>
      </c>
      <c r="U101" t="s">
        <v>31</v>
      </c>
      <c r="V101" s="1">
        <v>43370</v>
      </c>
      <c r="X101" s="1" t="str">
        <f t="shared" si="3"/>
        <v>Active</v>
      </c>
      <c r="Y101" t="str">
        <f t="shared" si="4"/>
        <v>36-45</v>
      </c>
      <c r="Z101" t="str">
        <f t="shared" si="5"/>
        <v>2-3 Years</v>
      </c>
    </row>
    <row r="102" spans="1:26" x14ac:dyDescent="0.35">
      <c r="A102" t="s">
        <v>158</v>
      </c>
      <c r="B102">
        <v>43</v>
      </c>
      <c r="C102" t="s">
        <v>27</v>
      </c>
      <c r="D102" t="s">
        <v>49</v>
      </c>
      <c r="E102" t="s">
        <v>50</v>
      </c>
      <c r="F102" t="s">
        <v>41</v>
      </c>
      <c r="G102">
        <v>118471</v>
      </c>
      <c r="H102">
        <v>9</v>
      </c>
      <c r="I102">
        <v>21</v>
      </c>
      <c r="J102">
        <v>5</v>
      </c>
      <c r="K102">
        <v>2</v>
      </c>
      <c r="L102">
        <v>3</v>
      </c>
      <c r="M102">
        <v>2</v>
      </c>
      <c r="N102" t="s">
        <v>33</v>
      </c>
      <c r="O102" t="s">
        <v>32</v>
      </c>
      <c r="P102">
        <v>4</v>
      </c>
      <c r="Q102">
        <v>52</v>
      </c>
      <c r="R102">
        <v>3</v>
      </c>
      <c r="S102" t="s">
        <v>31</v>
      </c>
      <c r="T102">
        <v>6</v>
      </c>
      <c r="U102" t="s">
        <v>31</v>
      </c>
      <c r="V102" s="1">
        <v>42080</v>
      </c>
      <c r="X102" s="1" t="str">
        <f t="shared" si="3"/>
        <v>Active</v>
      </c>
      <c r="Y102" t="str">
        <f t="shared" si="4"/>
        <v>36-45</v>
      </c>
      <c r="Z102" t="str">
        <f t="shared" si="5"/>
        <v>6-10 Years</v>
      </c>
    </row>
    <row r="103" spans="1:26" x14ac:dyDescent="0.35">
      <c r="A103" t="s">
        <v>159</v>
      </c>
      <c r="B103">
        <v>45</v>
      </c>
      <c r="C103" t="s">
        <v>44</v>
      </c>
      <c r="D103" t="s">
        <v>28</v>
      </c>
      <c r="E103" t="s">
        <v>66</v>
      </c>
      <c r="F103" t="s">
        <v>30</v>
      </c>
      <c r="G103">
        <v>127260</v>
      </c>
      <c r="H103">
        <v>13</v>
      </c>
      <c r="I103">
        <v>21</v>
      </c>
      <c r="J103">
        <v>5</v>
      </c>
      <c r="K103">
        <v>2</v>
      </c>
      <c r="L103">
        <v>1</v>
      </c>
      <c r="M103">
        <v>2</v>
      </c>
      <c r="N103" t="s">
        <v>31</v>
      </c>
      <c r="O103" t="s">
        <v>32</v>
      </c>
      <c r="P103">
        <v>17</v>
      </c>
      <c r="Q103">
        <v>28</v>
      </c>
      <c r="R103">
        <v>2</v>
      </c>
      <c r="S103" t="s">
        <v>31</v>
      </c>
      <c r="T103">
        <v>3</v>
      </c>
      <c r="U103" t="s">
        <v>31</v>
      </c>
      <c r="V103" s="1">
        <v>41803</v>
      </c>
      <c r="X103" s="1" t="str">
        <f t="shared" si="3"/>
        <v>Active</v>
      </c>
      <c r="Y103" t="str">
        <f t="shared" si="4"/>
        <v>36-45</v>
      </c>
      <c r="Z103" t="str">
        <f t="shared" si="5"/>
        <v>10+ Years</v>
      </c>
    </row>
    <row r="104" spans="1:26" x14ac:dyDescent="0.35">
      <c r="A104" t="s">
        <v>160</v>
      </c>
      <c r="B104">
        <v>28</v>
      </c>
      <c r="C104" t="s">
        <v>44</v>
      </c>
      <c r="D104" t="s">
        <v>35</v>
      </c>
      <c r="E104" t="s">
        <v>36</v>
      </c>
      <c r="F104" t="s">
        <v>78</v>
      </c>
      <c r="G104">
        <v>61097</v>
      </c>
      <c r="H104">
        <v>1</v>
      </c>
      <c r="I104">
        <v>7</v>
      </c>
      <c r="J104">
        <v>2</v>
      </c>
      <c r="K104">
        <v>3</v>
      </c>
      <c r="L104">
        <v>1</v>
      </c>
      <c r="M104">
        <v>3</v>
      </c>
      <c r="N104" t="s">
        <v>31</v>
      </c>
      <c r="O104" t="s">
        <v>32</v>
      </c>
      <c r="P104">
        <v>6</v>
      </c>
      <c r="Q104">
        <v>43</v>
      </c>
      <c r="R104">
        <v>3</v>
      </c>
      <c r="S104" t="s">
        <v>31</v>
      </c>
      <c r="T104">
        <v>7</v>
      </c>
      <c r="U104" t="s">
        <v>31</v>
      </c>
      <c r="V104" s="1">
        <v>41252</v>
      </c>
      <c r="X104" s="1" t="str">
        <f t="shared" si="3"/>
        <v>Active</v>
      </c>
      <c r="Y104" t="str">
        <f t="shared" si="4"/>
        <v>26-35</v>
      </c>
      <c r="Z104" t="str">
        <f t="shared" si="5"/>
        <v>0-1 Year</v>
      </c>
    </row>
    <row r="105" spans="1:26" x14ac:dyDescent="0.35">
      <c r="A105" t="s">
        <v>161</v>
      </c>
      <c r="B105">
        <v>59</v>
      </c>
      <c r="C105" t="s">
        <v>44</v>
      </c>
      <c r="D105" t="s">
        <v>39</v>
      </c>
      <c r="E105" t="s">
        <v>40</v>
      </c>
      <c r="F105" t="s">
        <v>37</v>
      </c>
      <c r="G105">
        <v>161324</v>
      </c>
      <c r="H105">
        <v>31</v>
      </c>
      <c r="I105">
        <v>36</v>
      </c>
      <c r="J105">
        <v>5</v>
      </c>
      <c r="K105">
        <v>4</v>
      </c>
      <c r="L105">
        <v>2</v>
      </c>
      <c r="M105">
        <v>3</v>
      </c>
      <c r="N105" t="s">
        <v>31</v>
      </c>
      <c r="O105" t="s">
        <v>32</v>
      </c>
      <c r="P105">
        <v>8</v>
      </c>
      <c r="Q105">
        <v>30</v>
      </c>
      <c r="R105">
        <v>3</v>
      </c>
      <c r="S105" t="s">
        <v>33</v>
      </c>
      <c r="T105">
        <v>6</v>
      </c>
      <c r="U105" t="s">
        <v>31</v>
      </c>
      <c r="V105" s="1">
        <v>44879</v>
      </c>
      <c r="X105" s="1" t="str">
        <f t="shared" si="3"/>
        <v>Active</v>
      </c>
      <c r="Y105" t="str">
        <f t="shared" si="4"/>
        <v>56+</v>
      </c>
      <c r="Z105" t="str">
        <f t="shared" si="5"/>
        <v>10+ Years</v>
      </c>
    </row>
    <row r="106" spans="1:26" x14ac:dyDescent="0.35">
      <c r="A106" t="s">
        <v>162</v>
      </c>
      <c r="B106">
        <v>29</v>
      </c>
      <c r="C106" t="s">
        <v>27</v>
      </c>
      <c r="D106" t="s">
        <v>39</v>
      </c>
      <c r="E106" t="s">
        <v>40</v>
      </c>
      <c r="F106" t="s">
        <v>56</v>
      </c>
      <c r="G106">
        <v>64744</v>
      </c>
      <c r="H106">
        <v>3</v>
      </c>
      <c r="I106">
        <v>6</v>
      </c>
      <c r="J106">
        <v>2</v>
      </c>
      <c r="K106">
        <v>3</v>
      </c>
      <c r="L106">
        <v>2</v>
      </c>
      <c r="M106">
        <v>3</v>
      </c>
      <c r="N106" t="s">
        <v>31</v>
      </c>
      <c r="O106" t="s">
        <v>32</v>
      </c>
      <c r="P106">
        <v>10</v>
      </c>
      <c r="Q106">
        <v>17</v>
      </c>
      <c r="R106">
        <v>3</v>
      </c>
      <c r="S106" t="s">
        <v>31</v>
      </c>
      <c r="T106">
        <v>8</v>
      </c>
      <c r="U106" t="s">
        <v>31</v>
      </c>
      <c r="V106" s="1">
        <v>44248</v>
      </c>
      <c r="X106" s="1" t="str">
        <f t="shared" si="3"/>
        <v>Active</v>
      </c>
      <c r="Y106" t="str">
        <f t="shared" si="4"/>
        <v>26-35</v>
      </c>
      <c r="Z106" t="str">
        <f t="shared" si="5"/>
        <v>2-3 Years</v>
      </c>
    </row>
    <row r="107" spans="1:26" x14ac:dyDescent="0.35">
      <c r="A107" t="s">
        <v>163</v>
      </c>
      <c r="B107">
        <v>23</v>
      </c>
      <c r="C107" t="s">
        <v>27</v>
      </c>
      <c r="D107" t="s">
        <v>49</v>
      </c>
      <c r="E107" t="s">
        <v>50</v>
      </c>
      <c r="F107" t="s">
        <v>37</v>
      </c>
      <c r="G107">
        <v>43135</v>
      </c>
      <c r="H107">
        <v>1</v>
      </c>
      <c r="I107">
        <v>1</v>
      </c>
      <c r="J107">
        <v>1</v>
      </c>
      <c r="K107">
        <v>2</v>
      </c>
      <c r="L107">
        <v>1</v>
      </c>
      <c r="M107">
        <v>4</v>
      </c>
      <c r="N107" t="s">
        <v>33</v>
      </c>
      <c r="O107" t="s">
        <v>42</v>
      </c>
      <c r="P107">
        <v>28</v>
      </c>
      <c r="Q107">
        <v>57</v>
      </c>
      <c r="R107">
        <v>3</v>
      </c>
      <c r="S107" t="s">
        <v>31</v>
      </c>
      <c r="T107">
        <v>3</v>
      </c>
      <c r="U107" t="s">
        <v>33</v>
      </c>
      <c r="V107" s="1">
        <v>44867</v>
      </c>
      <c r="W107" s="1">
        <v>44982</v>
      </c>
      <c r="X107" s="1" t="str">
        <f t="shared" si="3"/>
        <v>2023-02-25</v>
      </c>
      <c r="Y107" t="str">
        <f t="shared" si="4"/>
        <v>18-25</v>
      </c>
      <c r="Z107" t="str">
        <f t="shared" si="5"/>
        <v>0-1 Year</v>
      </c>
    </row>
    <row r="108" spans="1:26" x14ac:dyDescent="0.35">
      <c r="A108" t="s">
        <v>164</v>
      </c>
      <c r="B108">
        <v>22</v>
      </c>
      <c r="C108" t="s">
        <v>27</v>
      </c>
      <c r="D108" t="s">
        <v>28</v>
      </c>
      <c r="E108" t="s">
        <v>29</v>
      </c>
      <c r="F108" t="s">
        <v>56</v>
      </c>
      <c r="G108">
        <v>54923</v>
      </c>
      <c r="H108">
        <v>1</v>
      </c>
      <c r="I108">
        <v>1</v>
      </c>
      <c r="J108">
        <v>2</v>
      </c>
      <c r="K108">
        <v>2</v>
      </c>
      <c r="L108">
        <v>2</v>
      </c>
      <c r="M108">
        <v>3</v>
      </c>
      <c r="N108" t="s">
        <v>33</v>
      </c>
      <c r="O108" t="s">
        <v>32</v>
      </c>
      <c r="P108">
        <v>3</v>
      </c>
      <c r="Q108">
        <v>42</v>
      </c>
      <c r="R108">
        <v>3</v>
      </c>
      <c r="S108" t="s">
        <v>31</v>
      </c>
      <c r="T108">
        <v>2</v>
      </c>
      <c r="U108" t="s">
        <v>31</v>
      </c>
      <c r="V108" s="1">
        <v>41135</v>
      </c>
      <c r="X108" s="1" t="str">
        <f t="shared" si="3"/>
        <v>Active</v>
      </c>
      <c r="Y108" t="str">
        <f t="shared" si="4"/>
        <v>18-25</v>
      </c>
      <c r="Z108" t="str">
        <f t="shared" si="5"/>
        <v>0-1 Year</v>
      </c>
    </row>
    <row r="109" spans="1:26" x14ac:dyDescent="0.35">
      <c r="A109" t="s">
        <v>165</v>
      </c>
      <c r="B109">
        <v>49</v>
      </c>
      <c r="C109" t="s">
        <v>44</v>
      </c>
      <c r="D109" t="s">
        <v>52</v>
      </c>
      <c r="E109" t="s">
        <v>55</v>
      </c>
      <c r="F109" t="s">
        <v>30</v>
      </c>
      <c r="G109">
        <v>140544</v>
      </c>
      <c r="H109">
        <v>18</v>
      </c>
      <c r="I109">
        <v>27</v>
      </c>
      <c r="J109">
        <v>5</v>
      </c>
      <c r="K109">
        <v>3</v>
      </c>
      <c r="L109">
        <v>2</v>
      </c>
      <c r="M109">
        <v>3</v>
      </c>
      <c r="N109" t="s">
        <v>31</v>
      </c>
      <c r="O109" t="s">
        <v>32</v>
      </c>
      <c r="P109">
        <v>22</v>
      </c>
      <c r="Q109">
        <v>12</v>
      </c>
      <c r="R109">
        <v>3</v>
      </c>
      <c r="S109" t="s">
        <v>33</v>
      </c>
      <c r="T109">
        <v>3</v>
      </c>
      <c r="U109" t="s">
        <v>31</v>
      </c>
      <c r="V109" s="1">
        <v>42607</v>
      </c>
      <c r="X109" s="1" t="str">
        <f t="shared" si="3"/>
        <v>Active</v>
      </c>
      <c r="Y109" t="str">
        <f t="shared" si="4"/>
        <v>46-55</v>
      </c>
      <c r="Z109" t="str">
        <f t="shared" si="5"/>
        <v>10+ Years</v>
      </c>
    </row>
    <row r="110" spans="1:26" x14ac:dyDescent="0.35">
      <c r="A110" t="s">
        <v>166</v>
      </c>
      <c r="B110">
        <v>55</v>
      </c>
      <c r="C110" t="s">
        <v>27</v>
      </c>
      <c r="D110" t="s">
        <v>39</v>
      </c>
      <c r="E110" t="s">
        <v>59</v>
      </c>
      <c r="F110" t="s">
        <v>37</v>
      </c>
      <c r="G110">
        <v>141895</v>
      </c>
      <c r="H110">
        <v>22</v>
      </c>
      <c r="I110">
        <v>34</v>
      </c>
      <c r="J110">
        <v>5</v>
      </c>
      <c r="K110">
        <v>2</v>
      </c>
      <c r="L110">
        <v>1</v>
      </c>
      <c r="M110">
        <v>1</v>
      </c>
      <c r="N110" t="s">
        <v>31</v>
      </c>
      <c r="O110" t="s">
        <v>32</v>
      </c>
      <c r="P110">
        <v>1</v>
      </c>
      <c r="Q110">
        <v>29</v>
      </c>
      <c r="R110">
        <v>3</v>
      </c>
      <c r="S110" t="s">
        <v>33</v>
      </c>
      <c r="T110">
        <v>2</v>
      </c>
      <c r="U110" t="s">
        <v>31</v>
      </c>
      <c r="V110" s="1">
        <v>43410</v>
      </c>
      <c r="X110" s="1" t="str">
        <f t="shared" si="3"/>
        <v>Active</v>
      </c>
      <c r="Y110" t="str">
        <f t="shared" si="4"/>
        <v>46-55</v>
      </c>
      <c r="Z110" t="str">
        <f t="shared" si="5"/>
        <v>10+ Years</v>
      </c>
    </row>
    <row r="111" spans="1:26" x14ac:dyDescent="0.35">
      <c r="A111" t="s">
        <v>167</v>
      </c>
      <c r="B111">
        <v>30</v>
      </c>
      <c r="C111" t="s">
        <v>44</v>
      </c>
      <c r="D111" t="s">
        <v>35</v>
      </c>
      <c r="E111" t="s">
        <v>85</v>
      </c>
      <c r="F111" t="s">
        <v>37</v>
      </c>
      <c r="G111">
        <v>44934</v>
      </c>
      <c r="H111">
        <v>1</v>
      </c>
      <c r="I111">
        <v>6</v>
      </c>
      <c r="J111">
        <v>1</v>
      </c>
      <c r="K111">
        <v>2</v>
      </c>
      <c r="L111">
        <v>3</v>
      </c>
      <c r="M111">
        <v>3</v>
      </c>
      <c r="N111" t="s">
        <v>31</v>
      </c>
      <c r="O111" t="s">
        <v>32</v>
      </c>
      <c r="P111">
        <v>20</v>
      </c>
      <c r="Q111">
        <v>23</v>
      </c>
      <c r="R111">
        <v>2</v>
      </c>
      <c r="S111" t="s">
        <v>31</v>
      </c>
      <c r="T111">
        <v>5</v>
      </c>
      <c r="U111" t="s">
        <v>33</v>
      </c>
      <c r="V111" s="1">
        <v>43363</v>
      </c>
      <c r="W111" s="1">
        <v>43905</v>
      </c>
      <c r="X111" s="1" t="str">
        <f t="shared" si="3"/>
        <v>2020-03-15</v>
      </c>
      <c r="Y111" t="str">
        <f t="shared" si="4"/>
        <v>26-35</v>
      </c>
      <c r="Z111" t="str">
        <f t="shared" si="5"/>
        <v>0-1 Year</v>
      </c>
    </row>
    <row r="112" spans="1:26" x14ac:dyDescent="0.35">
      <c r="A112" t="s">
        <v>168</v>
      </c>
      <c r="B112">
        <v>48</v>
      </c>
      <c r="C112" t="s">
        <v>27</v>
      </c>
      <c r="D112" t="s">
        <v>45</v>
      </c>
      <c r="E112" t="s">
        <v>63</v>
      </c>
      <c r="F112" t="s">
        <v>56</v>
      </c>
      <c r="G112">
        <v>143845</v>
      </c>
      <c r="H112">
        <v>20</v>
      </c>
      <c r="I112">
        <v>24</v>
      </c>
      <c r="J112">
        <v>5</v>
      </c>
      <c r="K112">
        <v>3</v>
      </c>
      <c r="L112">
        <v>3</v>
      </c>
      <c r="M112">
        <v>2</v>
      </c>
      <c r="N112" t="s">
        <v>31</v>
      </c>
      <c r="O112" t="s">
        <v>32</v>
      </c>
      <c r="P112">
        <v>8</v>
      </c>
      <c r="Q112">
        <v>33</v>
      </c>
      <c r="R112">
        <v>3</v>
      </c>
      <c r="S112" t="s">
        <v>31</v>
      </c>
      <c r="T112">
        <v>11</v>
      </c>
      <c r="U112" t="s">
        <v>31</v>
      </c>
      <c r="V112" s="1">
        <v>42052</v>
      </c>
      <c r="X112" s="1" t="str">
        <f t="shared" si="3"/>
        <v>Active</v>
      </c>
      <c r="Y112" t="str">
        <f t="shared" si="4"/>
        <v>46-55</v>
      </c>
      <c r="Z112" t="str">
        <f t="shared" si="5"/>
        <v>10+ Years</v>
      </c>
    </row>
    <row r="113" spans="1:26" x14ac:dyDescent="0.35">
      <c r="A113" t="s">
        <v>169</v>
      </c>
      <c r="B113">
        <v>59</v>
      </c>
      <c r="C113" t="s">
        <v>27</v>
      </c>
      <c r="D113" t="s">
        <v>52</v>
      </c>
      <c r="E113" t="s">
        <v>55</v>
      </c>
      <c r="F113" t="s">
        <v>61</v>
      </c>
      <c r="G113">
        <v>104816</v>
      </c>
      <c r="H113">
        <v>8</v>
      </c>
      <c r="I113">
        <v>37</v>
      </c>
      <c r="J113">
        <v>4</v>
      </c>
      <c r="K113">
        <v>4</v>
      </c>
      <c r="L113">
        <v>4</v>
      </c>
      <c r="M113">
        <v>1</v>
      </c>
      <c r="N113" t="s">
        <v>33</v>
      </c>
      <c r="O113" t="s">
        <v>32</v>
      </c>
      <c r="P113">
        <v>14</v>
      </c>
      <c r="Q113">
        <v>39</v>
      </c>
      <c r="R113">
        <v>3</v>
      </c>
      <c r="S113" t="s">
        <v>31</v>
      </c>
      <c r="T113">
        <v>4</v>
      </c>
      <c r="U113" t="s">
        <v>33</v>
      </c>
      <c r="V113" s="1">
        <v>43433</v>
      </c>
      <c r="W113" s="1">
        <v>43594</v>
      </c>
      <c r="X113" s="1" t="str">
        <f t="shared" si="3"/>
        <v>2019-05-09</v>
      </c>
      <c r="Y113" t="str">
        <f t="shared" si="4"/>
        <v>56+</v>
      </c>
      <c r="Z113" t="str">
        <f t="shared" si="5"/>
        <v>6-10 Years</v>
      </c>
    </row>
    <row r="114" spans="1:26" x14ac:dyDescent="0.35">
      <c r="A114" t="s">
        <v>170</v>
      </c>
      <c r="B114">
        <v>51</v>
      </c>
      <c r="C114" t="s">
        <v>27</v>
      </c>
      <c r="D114" t="s">
        <v>49</v>
      </c>
      <c r="E114" t="s">
        <v>68</v>
      </c>
      <c r="F114" t="s">
        <v>56</v>
      </c>
      <c r="G114">
        <v>137660</v>
      </c>
      <c r="H114">
        <v>20</v>
      </c>
      <c r="I114">
        <v>29</v>
      </c>
      <c r="J114">
        <v>5</v>
      </c>
      <c r="K114">
        <v>1</v>
      </c>
      <c r="L114">
        <v>4</v>
      </c>
      <c r="M114">
        <v>4</v>
      </c>
      <c r="N114" t="s">
        <v>31</v>
      </c>
      <c r="O114" t="s">
        <v>42</v>
      </c>
      <c r="P114">
        <v>9</v>
      </c>
      <c r="Q114">
        <v>18</v>
      </c>
      <c r="R114">
        <v>3</v>
      </c>
      <c r="S114" t="s">
        <v>33</v>
      </c>
      <c r="T114">
        <v>8</v>
      </c>
      <c r="U114" t="s">
        <v>33</v>
      </c>
      <c r="V114" s="1">
        <v>41314</v>
      </c>
      <c r="W114" s="1">
        <v>41645</v>
      </c>
      <c r="X114" s="1" t="str">
        <f t="shared" si="3"/>
        <v>2014-01-06</v>
      </c>
      <c r="Y114" t="str">
        <f t="shared" si="4"/>
        <v>46-55</v>
      </c>
      <c r="Z114" t="str">
        <f t="shared" si="5"/>
        <v>10+ Years</v>
      </c>
    </row>
    <row r="115" spans="1:26" x14ac:dyDescent="0.35">
      <c r="A115" t="s">
        <v>171</v>
      </c>
      <c r="B115">
        <v>42</v>
      </c>
      <c r="C115" t="s">
        <v>44</v>
      </c>
      <c r="D115" t="s">
        <v>52</v>
      </c>
      <c r="E115" t="s">
        <v>53</v>
      </c>
      <c r="F115" t="s">
        <v>78</v>
      </c>
      <c r="G115">
        <v>59478</v>
      </c>
      <c r="H115">
        <v>3</v>
      </c>
      <c r="I115">
        <v>19</v>
      </c>
      <c r="J115">
        <v>2</v>
      </c>
      <c r="K115">
        <v>4</v>
      </c>
      <c r="L115">
        <v>4</v>
      </c>
      <c r="M115">
        <v>4</v>
      </c>
      <c r="N115" t="s">
        <v>31</v>
      </c>
      <c r="O115" t="s">
        <v>32</v>
      </c>
      <c r="P115">
        <v>2</v>
      </c>
      <c r="Q115">
        <v>33</v>
      </c>
      <c r="R115">
        <v>3</v>
      </c>
      <c r="S115" t="s">
        <v>31</v>
      </c>
      <c r="T115">
        <v>5</v>
      </c>
      <c r="U115" t="s">
        <v>31</v>
      </c>
      <c r="V115" s="1">
        <v>45266</v>
      </c>
      <c r="X115" s="1" t="str">
        <f t="shared" si="3"/>
        <v>Active</v>
      </c>
      <c r="Y115" t="str">
        <f t="shared" si="4"/>
        <v>36-45</v>
      </c>
      <c r="Z115" t="str">
        <f t="shared" si="5"/>
        <v>2-3 Years</v>
      </c>
    </row>
    <row r="116" spans="1:26" x14ac:dyDescent="0.35">
      <c r="A116" t="s">
        <v>172</v>
      </c>
      <c r="B116">
        <v>47</v>
      </c>
      <c r="C116" t="s">
        <v>44</v>
      </c>
      <c r="D116" t="s">
        <v>49</v>
      </c>
      <c r="E116" t="s">
        <v>68</v>
      </c>
      <c r="F116" t="s">
        <v>30</v>
      </c>
      <c r="G116">
        <v>146644</v>
      </c>
      <c r="H116">
        <v>24</v>
      </c>
      <c r="I116">
        <v>26</v>
      </c>
      <c r="J116">
        <v>5</v>
      </c>
      <c r="K116">
        <v>1</v>
      </c>
      <c r="L116">
        <v>3</v>
      </c>
      <c r="M116">
        <v>4</v>
      </c>
      <c r="N116" t="s">
        <v>31</v>
      </c>
      <c r="O116" t="s">
        <v>32</v>
      </c>
      <c r="P116">
        <v>17</v>
      </c>
      <c r="Q116">
        <v>22</v>
      </c>
      <c r="R116">
        <v>3</v>
      </c>
      <c r="S116" t="s">
        <v>31</v>
      </c>
      <c r="T116">
        <v>5</v>
      </c>
      <c r="U116" t="s">
        <v>31</v>
      </c>
      <c r="V116" s="1">
        <v>41612</v>
      </c>
      <c r="X116" s="1" t="str">
        <f t="shared" si="3"/>
        <v>Active</v>
      </c>
      <c r="Y116" t="str">
        <f t="shared" si="4"/>
        <v>46-55</v>
      </c>
      <c r="Z116" t="str">
        <f t="shared" si="5"/>
        <v>10+ Years</v>
      </c>
    </row>
    <row r="117" spans="1:26" x14ac:dyDescent="0.35">
      <c r="A117" t="s">
        <v>173</v>
      </c>
      <c r="B117">
        <v>30</v>
      </c>
      <c r="C117" t="s">
        <v>44</v>
      </c>
      <c r="D117" t="s">
        <v>35</v>
      </c>
      <c r="E117" t="s">
        <v>36</v>
      </c>
      <c r="F117" t="s">
        <v>61</v>
      </c>
      <c r="G117">
        <v>63642</v>
      </c>
      <c r="H117">
        <v>4</v>
      </c>
      <c r="I117">
        <v>6</v>
      </c>
      <c r="J117">
        <v>2</v>
      </c>
      <c r="K117">
        <v>3</v>
      </c>
      <c r="L117">
        <v>3</v>
      </c>
      <c r="M117">
        <v>1</v>
      </c>
      <c r="N117" t="s">
        <v>31</v>
      </c>
      <c r="O117" t="s">
        <v>32</v>
      </c>
      <c r="P117">
        <v>11</v>
      </c>
      <c r="Q117">
        <v>22</v>
      </c>
      <c r="R117">
        <v>2</v>
      </c>
      <c r="S117" t="s">
        <v>31</v>
      </c>
      <c r="T117">
        <v>6</v>
      </c>
      <c r="U117" t="s">
        <v>31</v>
      </c>
      <c r="V117" s="1">
        <v>44281</v>
      </c>
      <c r="X117" s="1" t="str">
        <f t="shared" si="3"/>
        <v>Active</v>
      </c>
      <c r="Y117" t="str">
        <f t="shared" si="4"/>
        <v>26-35</v>
      </c>
      <c r="Z117" t="str">
        <f t="shared" si="5"/>
        <v>4-5 Years</v>
      </c>
    </row>
    <row r="118" spans="1:26" x14ac:dyDescent="0.35">
      <c r="A118" t="s">
        <v>174</v>
      </c>
      <c r="B118">
        <v>47</v>
      </c>
      <c r="C118" t="s">
        <v>44</v>
      </c>
      <c r="D118" t="s">
        <v>39</v>
      </c>
      <c r="E118" t="s">
        <v>74</v>
      </c>
      <c r="F118" t="s">
        <v>61</v>
      </c>
      <c r="G118">
        <v>126741</v>
      </c>
      <c r="H118">
        <v>13</v>
      </c>
      <c r="I118">
        <v>24</v>
      </c>
      <c r="J118">
        <v>5</v>
      </c>
      <c r="K118">
        <v>1</v>
      </c>
      <c r="L118">
        <v>3</v>
      </c>
      <c r="M118">
        <v>3</v>
      </c>
      <c r="N118" t="s">
        <v>31</v>
      </c>
      <c r="O118" t="s">
        <v>32</v>
      </c>
      <c r="P118">
        <v>4</v>
      </c>
      <c r="Q118">
        <v>39</v>
      </c>
      <c r="R118">
        <v>2</v>
      </c>
      <c r="S118" t="s">
        <v>33</v>
      </c>
      <c r="T118">
        <v>6</v>
      </c>
      <c r="U118" t="s">
        <v>31</v>
      </c>
      <c r="V118" s="1">
        <v>44777</v>
      </c>
      <c r="X118" s="1" t="str">
        <f t="shared" si="3"/>
        <v>Active</v>
      </c>
      <c r="Y118" t="str">
        <f t="shared" si="4"/>
        <v>46-55</v>
      </c>
      <c r="Z118" t="str">
        <f t="shared" si="5"/>
        <v>10+ Years</v>
      </c>
    </row>
    <row r="119" spans="1:26" x14ac:dyDescent="0.35">
      <c r="A119" t="s">
        <v>175</v>
      </c>
      <c r="B119">
        <v>31</v>
      </c>
      <c r="C119" t="s">
        <v>27</v>
      </c>
      <c r="D119" t="s">
        <v>49</v>
      </c>
      <c r="E119" t="s">
        <v>50</v>
      </c>
      <c r="F119" t="s">
        <v>30</v>
      </c>
      <c r="G119">
        <v>42189</v>
      </c>
      <c r="H119">
        <v>1</v>
      </c>
      <c r="I119">
        <v>9</v>
      </c>
      <c r="J119">
        <v>1</v>
      </c>
      <c r="K119">
        <v>1</v>
      </c>
      <c r="L119">
        <v>1</v>
      </c>
      <c r="M119">
        <v>3</v>
      </c>
      <c r="N119" t="s">
        <v>31</v>
      </c>
      <c r="O119" t="s">
        <v>32</v>
      </c>
      <c r="P119">
        <v>2</v>
      </c>
      <c r="Q119">
        <v>38</v>
      </c>
      <c r="R119">
        <v>4</v>
      </c>
      <c r="S119" t="s">
        <v>31</v>
      </c>
      <c r="T119">
        <v>2</v>
      </c>
      <c r="U119" t="s">
        <v>31</v>
      </c>
      <c r="V119" s="1">
        <v>45002</v>
      </c>
      <c r="X119" s="1" t="str">
        <f t="shared" si="3"/>
        <v>Active</v>
      </c>
      <c r="Y119" t="str">
        <f t="shared" si="4"/>
        <v>26-35</v>
      </c>
      <c r="Z119" t="str">
        <f t="shared" si="5"/>
        <v>0-1 Year</v>
      </c>
    </row>
    <row r="120" spans="1:26" x14ac:dyDescent="0.35">
      <c r="A120" t="s">
        <v>176</v>
      </c>
      <c r="B120">
        <v>33</v>
      </c>
      <c r="C120" t="s">
        <v>27</v>
      </c>
      <c r="D120" t="s">
        <v>35</v>
      </c>
      <c r="E120" t="s">
        <v>36</v>
      </c>
      <c r="F120" t="s">
        <v>78</v>
      </c>
      <c r="G120">
        <v>101236</v>
      </c>
      <c r="H120">
        <v>9</v>
      </c>
      <c r="I120">
        <v>10</v>
      </c>
      <c r="J120">
        <v>4</v>
      </c>
      <c r="K120">
        <v>2</v>
      </c>
      <c r="L120">
        <v>1</v>
      </c>
      <c r="M120">
        <v>3</v>
      </c>
      <c r="N120" t="s">
        <v>31</v>
      </c>
      <c r="O120" t="s">
        <v>32</v>
      </c>
      <c r="P120">
        <v>28</v>
      </c>
      <c r="Q120">
        <v>30</v>
      </c>
      <c r="R120">
        <v>3</v>
      </c>
      <c r="S120" t="s">
        <v>33</v>
      </c>
      <c r="T120">
        <v>7</v>
      </c>
      <c r="U120" t="s">
        <v>33</v>
      </c>
      <c r="V120" s="1">
        <v>44043</v>
      </c>
      <c r="W120" s="1">
        <v>44165</v>
      </c>
      <c r="X120" s="1" t="str">
        <f t="shared" si="3"/>
        <v>2020-11-30</v>
      </c>
      <c r="Y120" t="str">
        <f t="shared" si="4"/>
        <v>26-35</v>
      </c>
      <c r="Z120" t="str">
        <f t="shared" si="5"/>
        <v>6-10 Years</v>
      </c>
    </row>
    <row r="121" spans="1:26" x14ac:dyDescent="0.35">
      <c r="A121" t="s">
        <v>177</v>
      </c>
      <c r="B121">
        <v>32</v>
      </c>
      <c r="C121" t="s">
        <v>44</v>
      </c>
      <c r="D121" t="s">
        <v>39</v>
      </c>
      <c r="E121" t="s">
        <v>40</v>
      </c>
      <c r="F121" t="s">
        <v>61</v>
      </c>
      <c r="G121">
        <v>77000</v>
      </c>
      <c r="H121">
        <v>3</v>
      </c>
      <c r="I121">
        <v>10</v>
      </c>
      <c r="J121">
        <v>3</v>
      </c>
      <c r="K121">
        <v>4</v>
      </c>
      <c r="L121">
        <v>3</v>
      </c>
      <c r="M121">
        <v>2</v>
      </c>
      <c r="N121" t="s">
        <v>31</v>
      </c>
      <c r="O121" t="s">
        <v>32</v>
      </c>
      <c r="P121">
        <v>24</v>
      </c>
      <c r="Q121">
        <v>10</v>
      </c>
      <c r="R121">
        <v>3</v>
      </c>
      <c r="S121" t="s">
        <v>31</v>
      </c>
      <c r="T121">
        <v>2</v>
      </c>
      <c r="U121" t="s">
        <v>31</v>
      </c>
      <c r="V121" s="1">
        <v>42920</v>
      </c>
      <c r="X121" s="1" t="str">
        <f t="shared" si="3"/>
        <v>Active</v>
      </c>
      <c r="Y121" t="str">
        <f t="shared" si="4"/>
        <v>26-35</v>
      </c>
      <c r="Z121" t="str">
        <f t="shared" si="5"/>
        <v>2-3 Years</v>
      </c>
    </row>
    <row r="122" spans="1:26" x14ac:dyDescent="0.35">
      <c r="A122" t="s">
        <v>178</v>
      </c>
      <c r="B122">
        <v>56</v>
      </c>
      <c r="C122" t="s">
        <v>27</v>
      </c>
      <c r="D122" t="s">
        <v>49</v>
      </c>
      <c r="E122" t="s">
        <v>68</v>
      </c>
      <c r="F122" t="s">
        <v>37</v>
      </c>
      <c r="G122">
        <v>75929</v>
      </c>
      <c r="H122">
        <v>4</v>
      </c>
      <c r="I122">
        <v>35</v>
      </c>
      <c r="J122">
        <v>3</v>
      </c>
      <c r="K122">
        <v>4</v>
      </c>
      <c r="L122">
        <v>4</v>
      </c>
      <c r="M122">
        <v>4</v>
      </c>
      <c r="N122" t="s">
        <v>31</v>
      </c>
      <c r="O122" t="s">
        <v>32</v>
      </c>
      <c r="P122">
        <v>13</v>
      </c>
      <c r="Q122">
        <v>59</v>
      </c>
      <c r="R122">
        <v>4</v>
      </c>
      <c r="S122" t="s">
        <v>31</v>
      </c>
      <c r="T122">
        <v>3</v>
      </c>
      <c r="U122" t="s">
        <v>31</v>
      </c>
      <c r="V122" s="1">
        <v>42087</v>
      </c>
      <c r="X122" s="1" t="str">
        <f t="shared" si="3"/>
        <v>Active</v>
      </c>
      <c r="Y122" t="str">
        <f t="shared" si="4"/>
        <v>56+</v>
      </c>
      <c r="Z122" t="str">
        <f t="shared" si="5"/>
        <v>4-5 Years</v>
      </c>
    </row>
    <row r="123" spans="1:26" x14ac:dyDescent="0.35">
      <c r="A123" t="s">
        <v>179</v>
      </c>
      <c r="B123">
        <v>48</v>
      </c>
      <c r="C123" t="s">
        <v>27</v>
      </c>
      <c r="D123" t="s">
        <v>39</v>
      </c>
      <c r="E123" t="s">
        <v>59</v>
      </c>
      <c r="F123" t="s">
        <v>37</v>
      </c>
      <c r="G123">
        <v>129637</v>
      </c>
      <c r="H123">
        <v>14</v>
      </c>
      <c r="I123">
        <v>27</v>
      </c>
      <c r="J123">
        <v>5</v>
      </c>
      <c r="K123">
        <v>2</v>
      </c>
      <c r="L123">
        <v>1</v>
      </c>
      <c r="M123">
        <v>2</v>
      </c>
      <c r="N123" t="s">
        <v>31</v>
      </c>
      <c r="O123" t="s">
        <v>32</v>
      </c>
      <c r="P123">
        <v>23</v>
      </c>
      <c r="Q123">
        <v>15</v>
      </c>
      <c r="R123">
        <v>2</v>
      </c>
      <c r="S123" t="s">
        <v>33</v>
      </c>
      <c r="T123">
        <v>7</v>
      </c>
      <c r="U123" t="s">
        <v>31</v>
      </c>
      <c r="V123" s="1">
        <v>43261</v>
      </c>
      <c r="X123" s="1" t="str">
        <f t="shared" si="3"/>
        <v>Active</v>
      </c>
      <c r="Y123" t="str">
        <f t="shared" si="4"/>
        <v>46-55</v>
      </c>
      <c r="Z123" t="str">
        <f t="shared" si="5"/>
        <v>10+ Years</v>
      </c>
    </row>
    <row r="124" spans="1:26" x14ac:dyDescent="0.35">
      <c r="A124" t="s">
        <v>180</v>
      </c>
      <c r="B124">
        <v>34</v>
      </c>
      <c r="C124" t="s">
        <v>27</v>
      </c>
      <c r="D124" t="s">
        <v>45</v>
      </c>
      <c r="E124" t="s">
        <v>46</v>
      </c>
      <c r="F124" t="s">
        <v>37</v>
      </c>
      <c r="G124">
        <v>46673</v>
      </c>
      <c r="H124">
        <v>2</v>
      </c>
      <c r="I124">
        <v>11</v>
      </c>
      <c r="J124">
        <v>1</v>
      </c>
      <c r="K124">
        <v>2</v>
      </c>
      <c r="L124">
        <v>4</v>
      </c>
      <c r="M124">
        <v>1</v>
      </c>
      <c r="N124" t="s">
        <v>33</v>
      </c>
      <c r="O124" t="s">
        <v>32</v>
      </c>
      <c r="P124">
        <v>12</v>
      </c>
      <c r="Q124">
        <v>30</v>
      </c>
      <c r="R124">
        <v>3</v>
      </c>
      <c r="S124" t="s">
        <v>31</v>
      </c>
      <c r="T124">
        <v>5</v>
      </c>
      <c r="U124" t="s">
        <v>31</v>
      </c>
      <c r="V124" s="1">
        <v>43095</v>
      </c>
      <c r="X124" s="1" t="str">
        <f t="shared" si="3"/>
        <v>Active</v>
      </c>
      <c r="Y124" t="str">
        <f t="shared" si="4"/>
        <v>26-35</v>
      </c>
      <c r="Z124" t="str">
        <f t="shared" si="5"/>
        <v>2-3 Years</v>
      </c>
    </row>
    <row r="125" spans="1:26" x14ac:dyDescent="0.35">
      <c r="A125" t="s">
        <v>181</v>
      </c>
      <c r="B125">
        <v>57</v>
      </c>
      <c r="C125" t="s">
        <v>27</v>
      </c>
      <c r="D125" t="s">
        <v>35</v>
      </c>
      <c r="E125" t="s">
        <v>36</v>
      </c>
      <c r="F125" t="s">
        <v>41</v>
      </c>
      <c r="G125">
        <v>142735</v>
      </c>
      <c r="H125">
        <v>21</v>
      </c>
      <c r="I125">
        <v>35</v>
      </c>
      <c r="J125">
        <v>5</v>
      </c>
      <c r="K125">
        <v>2</v>
      </c>
      <c r="L125">
        <v>3</v>
      </c>
      <c r="M125">
        <v>1</v>
      </c>
      <c r="N125" t="s">
        <v>33</v>
      </c>
      <c r="O125" t="s">
        <v>42</v>
      </c>
      <c r="P125">
        <v>5</v>
      </c>
      <c r="Q125">
        <v>45</v>
      </c>
      <c r="R125">
        <v>3</v>
      </c>
      <c r="S125" t="s">
        <v>33</v>
      </c>
      <c r="T125">
        <v>5</v>
      </c>
      <c r="U125" t="s">
        <v>31</v>
      </c>
      <c r="V125" s="1">
        <v>42419</v>
      </c>
      <c r="X125" s="1" t="str">
        <f t="shared" si="3"/>
        <v>Active</v>
      </c>
      <c r="Y125" t="str">
        <f t="shared" si="4"/>
        <v>56+</v>
      </c>
      <c r="Z125" t="str">
        <f t="shared" si="5"/>
        <v>10+ Years</v>
      </c>
    </row>
    <row r="126" spans="1:26" x14ac:dyDescent="0.35">
      <c r="A126" t="s">
        <v>182</v>
      </c>
      <c r="B126">
        <v>49</v>
      </c>
      <c r="C126" t="s">
        <v>27</v>
      </c>
      <c r="D126" t="s">
        <v>52</v>
      </c>
      <c r="E126" t="s">
        <v>53</v>
      </c>
      <c r="F126" t="s">
        <v>56</v>
      </c>
      <c r="G126">
        <v>126696</v>
      </c>
      <c r="H126">
        <v>11</v>
      </c>
      <c r="I126">
        <v>27</v>
      </c>
      <c r="J126">
        <v>5</v>
      </c>
      <c r="K126">
        <v>3</v>
      </c>
      <c r="L126">
        <v>3</v>
      </c>
      <c r="M126">
        <v>2</v>
      </c>
      <c r="N126" t="s">
        <v>31</v>
      </c>
      <c r="O126" t="s">
        <v>42</v>
      </c>
      <c r="P126">
        <v>23</v>
      </c>
      <c r="Q126">
        <v>45</v>
      </c>
      <c r="R126">
        <v>4</v>
      </c>
      <c r="S126" t="s">
        <v>31</v>
      </c>
      <c r="T126">
        <v>8</v>
      </c>
      <c r="U126" t="s">
        <v>31</v>
      </c>
      <c r="V126" s="1">
        <v>44731</v>
      </c>
      <c r="X126" s="1" t="str">
        <f t="shared" si="3"/>
        <v>Active</v>
      </c>
      <c r="Y126" t="str">
        <f t="shared" si="4"/>
        <v>46-55</v>
      </c>
      <c r="Z126" t="str">
        <f t="shared" si="5"/>
        <v>10+ Years</v>
      </c>
    </row>
    <row r="127" spans="1:26" x14ac:dyDescent="0.35">
      <c r="A127" t="s">
        <v>183</v>
      </c>
      <c r="B127">
        <v>25</v>
      </c>
      <c r="C127" t="s">
        <v>44</v>
      </c>
      <c r="D127" t="s">
        <v>49</v>
      </c>
      <c r="E127" t="s">
        <v>68</v>
      </c>
      <c r="F127" t="s">
        <v>61</v>
      </c>
      <c r="G127">
        <v>41384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4</v>
      </c>
      <c r="N127" t="s">
        <v>31</v>
      </c>
      <c r="O127" t="s">
        <v>32</v>
      </c>
      <c r="P127">
        <v>5</v>
      </c>
      <c r="Q127">
        <v>22</v>
      </c>
      <c r="R127">
        <v>3</v>
      </c>
      <c r="S127" t="s">
        <v>31</v>
      </c>
      <c r="T127">
        <v>5</v>
      </c>
      <c r="U127" t="s">
        <v>33</v>
      </c>
      <c r="V127" s="1">
        <v>43862</v>
      </c>
      <c r="W127" s="1">
        <v>44771</v>
      </c>
      <c r="X127" s="1" t="str">
        <f t="shared" si="3"/>
        <v>2022-07-29</v>
      </c>
      <c r="Y127" t="str">
        <f t="shared" si="4"/>
        <v>18-25</v>
      </c>
      <c r="Z127" t="str">
        <f t="shared" si="5"/>
        <v>0-1 Year</v>
      </c>
    </row>
    <row r="128" spans="1:26" x14ac:dyDescent="0.35">
      <c r="A128" t="s">
        <v>184</v>
      </c>
      <c r="B128">
        <v>42</v>
      </c>
      <c r="C128" t="s">
        <v>27</v>
      </c>
      <c r="D128" t="s">
        <v>39</v>
      </c>
      <c r="E128" t="s">
        <v>74</v>
      </c>
      <c r="F128" t="s">
        <v>37</v>
      </c>
      <c r="G128">
        <v>129114</v>
      </c>
      <c r="H128">
        <v>14</v>
      </c>
      <c r="I128">
        <v>18</v>
      </c>
      <c r="J128">
        <v>5</v>
      </c>
      <c r="K128">
        <v>2</v>
      </c>
      <c r="L128">
        <v>4</v>
      </c>
      <c r="M128">
        <v>2</v>
      </c>
      <c r="N128" t="s">
        <v>33</v>
      </c>
      <c r="O128" t="s">
        <v>32</v>
      </c>
      <c r="P128">
        <v>1</v>
      </c>
      <c r="Q128">
        <v>45</v>
      </c>
      <c r="R128">
        <v>3</v>
      </c>
      <c r="S128" t="s">
        <v>33</v>
      </c>
      <c r="T128">
        <v>8</v>
      </c>
      <c r="U128" t="s">
        <v>31</v>
      </c>
      <c r="V128" s="1">
        <v>41322</v>
      </c>
      <c r="X128" s="1" t="str">
        <f t="shared" si="3"/>
        <v>Active</v>
      </c>
      <c r="Y128" t="str">
        <f t="shared" si="4"/>
        <v>36-45</v>
      </c>
      <c r="Z128" t="str">
        <f t="shared" si="5"/>
        <v>10+ Years</v>
      </c>
    </row>
    <row r="129" spans="1:26" x14ac:dyDescent="0.35">
      <c r="A129" t="s">
        <v>185</v>
      </c>
      <c r="B129">
        <v>52</v>
      </c>
      <c r="C129" t="s">
        <v>27</v>
      </c>
      <c r="D129" t="s">
        <v>49</v>
      </c>
      <c r="E129" t="s">
        <v>68</v>
      </c>
      <c r="F129" t="s">
        <v>37</v>
      </c>
      <c r="G129">
        <v>154756</v>
      </c>
      <c r="H129">
        <v>27</v>
      </c>
      <c r="I129">
        <v>30</v>
      </c>
      <c r="J129">
        <v>5</v>
      </c>
      <c r="K129">
        <v>4</v>
      </c>
      <c r="L129">
        <v>2</v>
      </c>
      <c r="M129">
        <v>1</v>
      </c>
      <c r="N129" t="s">
        <v>31</v>
      </c>
      <c r="O129" t="s">
        <v>32</v>
      </c>
      <c r="P129">
        <v>8</v>
      </c>
      <c r="Q129">
        <v>26</v>
      </c>
      <c r="R129">
        <v>4</v>
      </c>
      <c r="S129" t="s">
        <v>31</v>
      </c>
      <c r="T129">
        <v>3</v>
      </c>
      <c r="U129" t="s">
        <v>31</v>
      </c>
      <c r="V129" s="1">
        <v>43067</v>
      </c>
      <c r="X129" s="1" t="str">
        <f t="shared" si="3"/>
        <v>Active</v>
      </c>
      <c r="Y129" t="str">
        <f t="shared" si="4"/>
        <v>46-55</v>
      </c>
      <c r="Z129" t="str">
        <f t="shared" si="5"/>
        <v>10+ Years</v>
      </c>
    </row>
    <row r="130" spans="1:26" x14ac:dyDescent="0.35">
      <c r="A130" t="s">
        <v>186</v>
      </c>
      <c r="B130">
        <v>52</v>
      </c>
      <c r="C130" t="s">
        <v>27</v>
      </c>
      <c r="D130" t="s">
        <v>49</v>
      </c>
      <c r="E130" t="s">
        <v>68</v>
      </c>
      <c r="F130" t="s">
        <v>56</v>
      </c>
      <c r="G130">
        <v>144701</v>
      </c>
      <c r="H130">
        <v>22</v>
      </c>
      <c r="I130">
        <v>28</v>
      </c>
      <c r="J130">
        <v>5</v>
      </c>
      <c r="K130">
        <v>1</v>
      </c>
      <c r="L130">
        <v>3</v>
      </c>
      <c r="M130">
        <v>1</v>
      </c>
      <c r="N130" t="s">
        <v>31</v>
      </c>
      <c r="O130" t="s">
        <v>32</v>
      </c>
      <c r="P130">
        <v>13</v>
      </c>
      <c r="Q130">
        <v>30</v>
      </c>
      <c r="R130">
        <v>3</v>
      </c>
      <c r="S130" t="s">
        <v>31</v>
      </c>
      <c r="T130">
        <v>8</v>
      </c>
      <c r="U130" t="s">
        <v>31</v>
      </c>
      <c r="V130" s="1">
        <v>41920</v>
      </c>
      <c r="X130" s="1" t="str">
        <f t="shared" si="3"/>
        <v>Active</v>
      </c>
      <c r="Y130" t="str">
        <f t="shared" si="4"/>
        <v>46-55</v>
      </c>
      <c r="Z130" t="str">
        <f t="shared" si="5"/>
        <v>10+ Years</v>
      </c>
    </row>
    <row r="131" spans="1:26" x14ac:dyDescent="0.35">
      <c r="A131" t="s">
        <v>187</v>
      </c>
      <c r="B131">
        <v>45</v>
      </c>
      <c r="C131" t="s">
        <v>27</v>
      </c>
      <c r="D131" t="s">
        <v>45</v>
      </c>
      <c r="E131" t="s">
        <v>46</v>
      </c>
      <c r="F131" t="s">
        <v>41</v>
      </c>
      <c r="G131">
        <v>146585</v>
      </c>
      <c r="H131">
        <v>22</v>
      </c>
      <c r="I131">
        <v>24</v>
      </c>
      <c r="J131">
        <v>5</v>
      </c>
      <c r="K131">
        <v>4</v>
      </c>
      <c r="L131">
        <v>3</v>
      </c>
      <c r="M131">
        <v>3</v>
      </c>
      <c r="N131" t="s">
        <v>33</v>
      </c>
      <c r="O131" t="s">
        <v>32</v>
      </c>
      <c r="P131">
        <v>11</v>
      </c>
      <c r="Q131">
        <v>50</v>
      </c>
      <c r="R131">
        <v>3</v>
      </c>
      <c r="S131" t="s">
        <v>33</v>
      </c>
      <c r="T131">
        <v>1</v>
      </c>
      <c r="U131" t="s">
        <v>31</v>
      </c>
      <c r="V131" s="1">
        <v>42718</v>
      </c>
      <c r="X131" s="1" t="str">
        <f t="shared" ref="X131:X194" si="6">IF(ISBLANK(W131), "Active", TEXT(W131, "yyyy-mm-dd"))</f>
        <v>Active</v>
      </c>
      <c r="Y131" t="str">
        <f t="shared" ref="Y131:Y194" si="7">_xlfn.IFS(B131&lt;=25, "18-25", B131&lt;=35, "26-35", B131&lt;=45, "36-45", B131&lt;=55, "46-55", B131&gt;55, "56+")</f>
        <v>36-45</v>
      </c>
      <c r="Z131" t="str">
        <f t="shared" ref="Z131:Z194" si="8">_xlfn.IFS(H131&lt;=1, "0-1 Year", H131&lt;=3, "2-3 Years", H131&lt;=5, "4-5 Years", H131&lt;=10, "6-10 Years", H131&gt;10, "10+ Years")</f>
        <v>10+ Years</v>
      </c>
    </row>
    <row r="132" spans="1:26" x14ac:dyDescent="0.35">
      <c r="A132" t="s">
        <v>188</v>
      </c>
      <c r="B132">
        <v>53</v>
      </c>
      <c r="C132" t="s">
        <v>44</v>
      </c>
      <c r="D132" t="s">
        <v>35</v>
      </c>
      <c r="E132" t="s">
        <v>36</v>
      </c>
      <c r="F132" t="s">
        <v>30</v>
      </c>
      <c r="G132">
        <v>104468</v>
      </c>
      <c r="H132">
        <v>8</v>
      </c>
      <c r="I132">
        <v>29</v>
      </c>
      <c r="J132">
        <v>4</v>
      </c>
      <c r="K132">
        <v>4</v>
      </c>
      <c r="L132">
        <v>1</v>
      </c>
      <c r="M132">
        <v>4</v>
      </c>
      <c r="N132" t="s">
        <v>33</v>
      </c>
      <c r="O132" t="s">
        <v>32</v>
      </c>
      <c r="P132">
        <v>19</v>
      </c>
      <c r="Q132">
        <v>18</v>
      </c>
      <c r="R132">
        <v>3</v>
      </c>
      <c r="S132" t="s">
        <v>33</v>
      </c>
      <c r="T132">
        <v>7</v>
      </c>
      <c r="U132" t="s">
        <v>31</v>
      </c>
      <c r="V132" s="1">
        <v>42857</v>
      </c>
      <c r="X132" s="1" t="str">
        <f t="shared" si="6"/>
        <v>Active</v>
      </c>
      <c r="Y132" t="str">
        <f t="shared" si="7"/>
        <v>46-55</v>
      </c>
      <c r="Z132" t="str">
        <f t="shared" si="8"/>
        <v>6-10 Years</v>
      </c>
    </row>
    <row r="133" spans="1:26" x14ac:dyDescent="0.35">
      <c r="A133" t="s">
        <v>189</v>
      </c>
      <c r="B133">
        <v>54</v>
      </c>
      <c r="C133" t="s">
        <v>44</v>
      </c>
      <c r="D133" t="s">
        <v>35</v>
      </c>
      <c r="E133" t="s">
        <v>85</v>
      </c>
      <c r="F133" t="s">
        <v>30</v>
      </c>
      <c r="G133">
        <v>144988</v>
      </c>
      <c r="H133">
        <v>22</v>
      </c>
      <c r="I133">
        <v>31</v>
      </c>
      <c r="J133">
        <v>5</v>
      </c>
      <c r="K133">
        <v>3</v>
      </c>
      <c r="L133">
        <v>1</v>
      </c>
      <c r="M133">
        <v>1</v>
      </c>
      <c r="N133" t="s">
        <v>31</v>
      </c>
      <c r="O133" t="s">
        <v>47</v>
      </c>
      <c r="P133">
        <v>15</v>
      </c>
      <c r="Q133">
        <v>34</v>
      </c>
      <c r="R133">
        <v>4</v>
      </c>
      <c r="S133" t="s">
        <v>31</v>
      </c>
      <c r="T133">
        <v>3</v>
      </c>
      <c r="U133" t="s">
        <v>31</v>
      </c>
      <c r="V133" s="1">
        <v>43496</v>
      </c>
      <c r="X133" s="1" t="str">
        <f t="shared" si="6"/>
        <v>Active</v>
      </c>
      <c r="Y133" t="str">
        <f t="shared" si="7"/>
        <v>46-55</v>
      </c>
      <c r="Z133" t="str">
        <f t="shared" si="8"/>
        <v>10+ Years</v>
      </c>
    </row>
    <row r="134" spans="1:26" x14ac:dyDescent="0.35">
      <c r="A134" t="s">
        <v>190</v>
      </c>
      <c r="B134">
        <v>56</v>
      </c>
      <c r="C134" t="s">
        <v>27</v>
      </c>
      <c r="D134" t="s">
        <v>39</v>
      </c>
      <c r="E134" t="s">
        <v>59</v>
      </c>
      <c r="F134" t="s">
        <v>37</v>
      </c>
      <c r="G134">
        <v>84132</v>
      </c>
      <c r="H134">
        <v>6</v>
      </c>
      <c r="I134">
        <v>32</v>
      </c>
      <c r="J134">
        <v>3</v>
      </c>
      <c r="K134">
        <v>2</v>
      </c>
      <c r="L134">
        <v>1</v>
      </c>
      <c r="M134">
        <v>1</v>
      </c>
      <c r="N134" t="s">
        <v>31</v>
      </c>
      <c r="O134" t="s">
        <v>32</v>
      </c>
      <c r="P134">
        <v>6</v>
      </c>
      <c r="Q134">
        <v>20</v>
      </c>
      <c r="R134">
        <v>3</v>
      </c>
      <c r="S134" t="s">
        <v>33</v>
      </c>
      <c r="T134">
        <v>4</v>
      </c>
      <c r="U134" t="s">
        <v>33</v>
      </c>
      <c r="V134" s="1">
        <v>41848</v>
      </c>
      <c r="W134" s="1">
        <v>42096</v>
      </c>
      <c r="X134" s="1" t="str">
        <f t="shared" si="6"/>
        <v>2015-04-02</v>
      </c>
      <c r="Y134" t="str">
        <f t="shared" si="7"/>
        <v>56+</v>
      </c>
      <c r="Z134" t="str">
        <f t="shared" si="8"/>
        <v>6-10 Years</v>
      </c>
    </row>
    <row r="135" spans="1:26" x14ac:dyDescent="0.35">
      <c r="A135" t="s">
        <v>191</v>
      </c>
      <c r="B135">
        <v>49</v>
      </c>
      <c r="C135" t="s">
        <v>44</v>
      </c>
      <c r="D135" t="s">
        <v>45</v>
      </c>
      <c r="E135" t="s">
        <v>46</v>
      </c>
      <c r="F135" t="s">
        <v>41</v>
      </c>
      <c r="G135">
        <v>157370</v>
      </c>
      <c r="H135">
        <v>27</v>
      </c>
      <c r="I135">
        <v>28</v>
      </c>
      <c r="J135">
        <v>5</v>
      </c>
      <c r="K135">
        <v>1</v>
      </c>
      <c r="L135">
        <v>1</v>
      </c>
      <c r="M135">
        <v>1</v>
      </c>
      <c r="N135" t="s">
        <v>31</v>
      </c>
      <c r="O135" t="s">
        <v>32</v>
      </c>
      <c r="P135">
        <v>21</v>
      </c>
      <c r="Q135">
        <v>19</v>
      </c>
      <c r="R135">
        <v>2</v>
      </c>
      <c r="S135" t="s">
        <v>31</v>
      </c>
      <c r="T135">
        <v>2</v>
      </c>
      <c r="U135" t="s">
        <v>31</v>
      </c>
      <c r="V135" s="1">
        <v>41583</v>
      </c>
      <c r="X135" s="1" t="str">
        <f t="shared" si="6"/>
        <v>Active</v>
      </c>
      <c r="Y135" t="str">
        <f t="shared" si="7"/>
        <v>46-55</v>
      </c>
      <c r="Z135" t="str">
        <f t="shared" si="8"/>
        <v>10+ Years</v>
      </c>
    </row>
    <row r="136" spans="1:26" x14ac:dyDescent="0.35">
      <c r="A136" t="s">
        <v>192</v>
      </c>
      <c r="B136">
        <v>46</v>
      </c>
      <c r="C136" t="s">
        <v>44</v>
      </c>
      <c r="D136" t="s">
        <v>45</v>
      </c>
      <c r="E136" t="s">
        <v>46</v>
      </c>
      <c r="F136" t="s">
        <v>41</v>
      </c>
      <c r="G136">
        <v>139636</v>
      </c>
      <c r="H136">
        <v>19</v>
      </c>
      <c r="I136">
        <v>24</v>
      </c>
      <c r="J136">
        <v>5</v>
      </c>
      <c r="K136">
        <v>3</v>
      </c>
      <c r="L136">
        <v>1</v>
      </c>
      <c r="M136">
        <v>4</v>
      </c>
      <c r="N136" t="s">
        <v>31</v>
      </c>
      <c r="O136" t="s">
        <v>42</v>
      </c>
      <c r="P136">
        <v>23</v>
      </c>
      <c r="Q136">
        <v>37</v>
      </c>
      <c r="R136">
        <v>2</v>
      </c>
      <c r="S136" t="s">
        <v>31</v>
      </c>
      <c r="T136">
        <v>4</v>
      </c>
      <c r="U136" t="s">
        <v>31</v>
      </c>
      <c r="V136" s="1">
        <v>43701</v>
      </c>
      <c r="X136" s="1" t="str">
        <f t="shared" si="6"/>
        <v>Active</v>
      </c>
      <c r="Y136" t="str">
        <f t="shared" si="7"/>
        <v>46-55</v>
      </c>
      <c r="Z136" t="str">
        <f t="shared" si="8"/>
        <v>10+ Years</v>
      </c>
    </row>
    <row r="137" spans="1:26" x14ac:dyDescent="0.35">
      <c r="A137" t="s">
        <v>193</v>
      </c>
      <c r="B137">
        <v>55</v>
      </c>
      <c r="C137" t="s">
        <v>27</v>
      </c>
      <c r="D137" t="s">
        <v>28</v>
      </c>
      <c r="E137" t="s">
        <v>29</v>
      </c>
      <c r="F137" t="s">
        <v>61</v>
      </c>
      <c r="G137">
        <v>97896</v>
      </c>
      <c r="H137">
        <v>6</v>
      </c>
      <c r="I137">
        <v>32</v>
      </c>
      <c r="J137">
        <v>4</v>
      </c>
      <c r="K137">
        <v>2</v>
      </c>
      <c r="L137">
        <v>4</v>
      </c>
      <c r="M137">
        <v>4</v>
      </c>
      <c r="N137" t="s">
        <v>31</v>
      </c>
      <c r="O137" t="s">
        <v>32</v>
      </c>
      <c r="P137">
        <v>4</v>
      </c>
      <c r="Q137">
        <v>56</v>
      </c>
      <c r="R137">
        <v>3</v>
      </c>
      <c r="S137" t="s">
        <v>33</v>
      </c>
      <c r="T137">
        <v>5</v>
      </c>
      <c r="U137" t="s">
        <v>33</v>
      </c>
      <c r="V137" s="1">
        <v>44905</v>
      </c>
      <c r="W137" s="1">
        <v>45493</v>
      </c>
      <c r="X137" s="1" t="str">
        <f t="shared" si="6"/>
        <v>2024-07-20</v>
      </c>
      <c r="Y137" t="str">
        <f t="shared" si="7"/>
        <v>46-55</v>
      </c>
      <c r="Z137" t="str">
        <f t="shared" si="8"/>
        <v>6-10 Years</v>
      </c>
    </row>
    <row r="138" spans="1:26" x14ac:dyDescent="0.35">
      <c r="A138" t="s">
        <v>194</v>
      </c>
      <c r="B138">
        <v>50</v>
      </c>
      <c r="C138" t="s">
        <v>27</v>
      </c>
      <c r="D138" t="s">
        <v>52</v>
      </c>
      <c r="E138" t="s">
        <v>53</v>
      </c>
      <c r="F138" t="s">
        <v>41</v>
      </c>
      <c r="G138">
        <v>119515</v>
      </c>
      <c r="H138">
        <v>11</v>
      </c>
      <c r="I138">
        <v>27</v>
      </c>
      <c r="J138">
        <v>5</v>
      </c>
      <c r="K138">
        <v>2</v>
      </c>
      <c r="L138">
        <v>4</v>
      </c>
      <c r="M138">
        <v>1</v>
      </c>
      <c r="N138" t="s">
        <v>31</v>
      </c>
      <c r="O138" t="s">
        <v>32</v>
      </c>
      <c r="P138">
        <v>11</v>
      </c>
      <c r="Q138">
        <v>24</v>
      </c>
      <c r="R138">
        <v>3</v>
      </c>
      <c r="S138" t="s">
        <v>31</v>
      </c>
      <c r="T138">
        <v>7</v>
      </c>
      <c r="U138" t="s">
        <v>33</v>
      </c>
      <c r="V138" s="1">
        <v>44340</v>
      </c>
      <c r="W138" s="1">
        <v>44507</v>
      </c>
      <c r="X138" s="1" t="str">
        <f t="shared" si="6"/>
        <v>2021-11-07</v>
      </c>
      <c r="Y138" t="str">
        <f t="shared" si="7"/>
        <v>46-55</v>
      </c>
      <c r="Z138" t="str">
        <f t="shared" si="8"/>
        <v>10+ Years</v>
      </c>
    </row>
    <row r="139" spans="1:26" x14ac:dyDescent="0.35">
      <c r="A139" t="s">
        <v>195</v>
      </c>
      <c r="B139">
        <v>52</v>
      </c>
      <c r="C139" t="s">
        <v>44</v>
      </c>
      <c r="D139" t="s">
        <v>49</v>
      </c>
      <c r="E139" t="s">
        <v>50</v>
      </c>
      <c r="F139" t="s">
        <v>61</v>
      </c>
      <c r="G139">
        <v>135215</v>
      </c>
      <c r="H139">
        <v>19</v>
      </c>
      <c r="I139">
        <v>29</v>
      </c>
      <c r="J139">
        <v>5</v>
      </c>
      <c r="K139">
        <v>2</v>
      </c>
      <c r="L139">
        <v>4</v>
      </c>
      <c r="M139">
        <v>1</v>
      </c>
      <c r="N139" t="s">
        <v>31</v>
      </c>
      <c r="O139" t="s">
        <v>32</v>
      </c>
      <c r="P139">
        <v>17</v>
      </c>
      <c r="Q139">
        <v>59</v>
      </c>
      <c r="R139">
        <v>4</v>
      </c>
      <c r="S139" t="s">
        <v>31</v>
      </c>
      <c r="T139">
        <v>5</v>
      </c>
      <c r="U139" t="s">
        <v>31</v>
      </c>
      <c r="V139" s="1">
        <v>43409</v>
      </c>
      <c r="X139" s="1" t="str">
        <f t="shared" si="6"/>
        <v>Active</v>
      </c>
      <c r="Y139" t="str">
        <f t="shared" si="7"/>
        <v>46-55</v>
      </c>
      <c r="Z139" t="str">
        <f t="shared" si="8"/>
        <v>10+ Years</v>
      </c>
    </row>
    <row r="140" spans="1:26" x14ac:dyDescent="0.35">
      <c r="A140" t="s">
        <v>196</v>
      </c>
      <c r="B140">
        <v>27</v>
      </c>
      <c r="C140" t="s">
        <v>27</v>
      </c>
      <c r="D140" t="s">
        <v>45</v>
      </c>
      <c r="E140" t="s">
        <v>63</v>
      </c>
      <c r="F140" t="s">
        <v>30</v>
      </c>
      <c r="G140">
        <v>55932</v>
      </c>
      <c r="H140">
        <v>1</v>
      </c>
      <c r="I140">
        <v>5</v>
      </c>
      <c r="J140">
        <v>2</v>
      </c>
      <c r="K140">
        <v>3</v>
      </c>
      <c r="L140">
        <v>2</v>
      </c>
      <c r="M140">
        <v>3</v>
      </c>
      <c r="N140" t="s">
        <v>31</v>
      </c>
      <c r="O140" t="s">
        <v>32</v>
      </c>
      <c r="P140">
        <v>11</v>
      </c>
      <c r="Q140">
        <v>53</v>
      </c>
      <c r="R140">
        <v>3</v>
      </c>
      <c r="S140" t="s">
        <v>31</v>
      </c>
      <c r="T140">
        <v>12</v>
      </c>
      <c r="U140" t="s">
        <v>31</v>
      </c>
      <c r="V140" s="1">
        <v>41778</v>
      </c>
      <c r="X140" s="1" t="str">
        <f t="shared" si="6"/>
        <v>Active</v>
      </c>
      <c r="Y140" t="str">
        <f t="shared" si="7"/>
        <v>26-35</v>
      </c>
      <c r="Z140" t="str">
        <f t="shared" si="8"/>
        <v>0-1 Year</v>
      </c>
    </row>
    <row r="141" spans="1:26" x14ac:dyDescent="0.35">
      <c r="A141" t="s">
        <v>197</v>
      </c>
      <c r="B141">
        <v>39</v>
      </c>
      <c r="C141" t="s">
        <v>44</v>
      </c>
      <c r="D141" t="s">
        <v>52</v>
      </c>
      <c r="E141" t="s">
        <v>55</v>
      </c>
      <c r="F141" t="s">
        <v>37</v>
      </c>
      <c r="G141">
        <v>43714</v>
      </c>
      <c r="H141">
        <v>1</v>
      </c>
      <c r="I141">
        <v>18</v>
      </c>
      <c r="J141">
        <v>1</v>
      </c>
      <c r="K141">
        <v>3</v>
      </c>
      <c r="L141">
        <v>1</v>
      </c>
      <c r="M141">
        <v>4</v>
      </c>
      <c r="N141" t="s">
        <v>31</v>
      </c>
      <c r="O141" t="s">
        <v>32</v>
      </c>
      <c r="P141">
        <v>8</v>
      </c>
      <c r="Q141">
        <v>39</v>
      </c>
      <c r="R141">
        <v>4</v>
      </c>
      <c r="S141" t="s">
        <v>31</v>
      </c>
      <c r="T141">
        <v>6</v>
      </c>
      <c r="U141" t="s">
        <v>31</v>
      </c>
      <c r="V141" s="1">
        <v>45141</v>
      </c>
      <c r="X141" s="1" t="str">
        <f t="shared" si="6"/>
        <v>Active</v>
      </c>
      <c r="Y141" t="str">
        <f t="shared" si="7"/>
        <v>36-45</v>
      </c>
      <c r="Z141" t="str">
        <f t="shared" si="8"/>
        <v>0-1 Year</v>
      </c>
    </row>
    <row r="142" spans="1:26" x14ac:dyDescent="0.35">
      <c r="A142" t="s">
        <v>198</v>
      </c>
      <c r="B142">
        <v>58</v>
      </c>
      <c r="C142" t="s">
        <v>27</v>
      </c>
      <c r="D142" t="s">
        <v>28</v>
      </c>
      <c r="E142" t="s">
        <v>66</v>
      </c>
      <c r="F142" t="s">
        <v>41</v>
      </c>
      <c r="G142">
        <v>139217</v>
      </c>
      <c r="H142">
        <v>20</v>
      </c>
      <c r="I142">
        <v>36</v>
      </c>
      <c r="J142">
        <v>5</v>
      </c>
      <c r="K142">
        <v>4</v>
      </c>
      <c r="L142">
        <v>4</v>
      </c>
      <c r="M142">
        <v>2</v>
      </c>
      <c r="N142" t="s">
        <v>31</v>
      </c>
      <c r="O142" t="s">
        <v>32</v>
      </c>
      <c r="P142">
        <v>27</v>
      </c>
      <c r="Q142">
        <v>38</v>
      </c>
      <c r="R142">
        <v>3</v>
      </c>
      <c r="S142" t="s">
        <v>31</v>
      </c>
      <c r="T142">
        <v>6</v>
      </c>
      <c r="U142" t="s">
        <v>31</v>
      </c>
      <c r="V142" s="1">
        <v>44733</v>
      </c>
      <c r="X142" s="1" t="str">
        <f t="shared" si="6"/>
        <v>Active</v>
      </c>
      <c r="Y142" t="str">
        <f t="shared" si="7"/>
        <v>56+</v>
      </c>
      <c r="Z142" t="str">
        <f t="shared" si="8"/>
        <v>10+ Years</v>
      </c>
    </row>
    <row r="143" spans="1:26" x14ac:dyDescent="0.35">
      <c r="A143" t="s">
        <v>199</v>
      </c>
      <c r="B143">
        <v>24</v>
      </c>
      <c r="C143" t="s">
        <v>27</v>
      </c>
      <c r="D143" t="s">
        <v>28</v>
      </c>
      <c r="E143" t="s">
        <v>66</v>
      </c>
      <c r="F143" t="s">
        <v>37</v>
      </c>
      <c r="G143">
        <v>40674</v>
      </c>
      <c r="H143">
        <v>0</v>
      </c>
      <c r="I143">
        <v>1</v>
      </c>
      <c r="J143">
        <v>1</v>
      </c>
      <c r="K143">
        <v>2</v>
      </c>
      <c r="L143">
        <v>2</v>
      </c>
      <c r="M143">
        <v>1</v>
      </c>
      <c r="N143" t="s">
        <v>33</v>
      </c>
      <c r="O143" t="s">
        <v>32</v>
      </c>
      <c r="P143">
        <v>27</v>
      </c>
      <c r="Q143">
        <v>27</v>
      </c>
      <c r="R143">
        <v>3</v>
      </c>
      <c r="S143" t="s">
        <v>31</v>
      </c>
      <c r="T143">
        <v>4</v>
      </c>
      <c r="U143" t="s">
        <v>31</v>
      </c>
      <c r="V143" s="1">
        <v>44695</v>
      </c>
      <c r="X143" s="1" t="str">
        <f t="shared" si="6"/>
        <v>Active</v>
      </c>
      <c r="Y143" t="str">
        <f t="shared" si="7"/>
        <v>18-25</v>
      </c>
      <c r="Z143" t="str">
        <f t="shared" si="8"/>
        <v>0-1 Year</v>
      </c>
    </row>
    <row r="144" spans="1:26" x14ac:dyDescent="0.35">
      <c r="A144" t="s">
        <v>200</v>
      </c>
      <c r="B144">
        <v>26</v>
      </c>
      <c r="C144" t="s">
        <v>27</v>
      </c>
      <c r="D144" t="s">
        <v>35</v>
      </c>
      <c r="E144" t="s">
        <v>85</v>
      </c>
      <c r="F144" t="s">
        <v>30</v>
      </c>
      <c r="G144">
        <v>39780</v>
      </c>
      <c r="H144">
        <v>0</v>
      </c>
      <c r="I144">
        <v>2</v>
      </c>
      <c r="J144">
        <v>1</v>
      </c>
      <c r="K144">
        <v>4</v>
      </c>
      <c r="L144">
        <v>1</v>
      </c>
      <c r="M144">
        <v>4</v>
      </c>
      <c r="N144" t="s">
        <v>31</v>
      </c>
      <c r="O144" t="s">
        <v>32</v>
      </c>
      <c r="P144">
        <v>26</v>
      </c>
      <c r="Q144">
        <v>28</v>
      </c>
      <c r="R144">
        <v>3</v>
      </c>
      <c r="S144" t="s">
        <v>31</v>
      </c>
      <c r="T144">
        <v>8</v>
      </c>
      <c r="U144" t="s">
        <v>31</v>
      </c>
      <c r="V144" s="1">
        <v>44884</v>
      </c>
      <c r="X144" s="1" t="str">
        <f t="shared" si="6"/>
        <v>Active</v>
      </c>
      <c r="Y144" t="str">
        <f t="shared" si="7"/>
        <v>26-35</v>
      </c>
      <c r="Z144" t="str">
        <f t="shared" si="8"/>
        <v>0-1 Year</v>
      </c>
    </row>
    <row r="145" spans="1:26" x14ac:dyDescent="0.35">
      <c r="A145" t="s">
        <v>201</v>
      </c>
      <c r="B145">
        <v>40</v>
      </c>
      <c r="C145" t="s">
        <v>44</v>
      </c>
      <c r="D145" t="s">
        <v>45</v>
      </c>
      <c r="E145" t="s">
        <v>63</v>
      </c>
      <c r="F145" t="s">
        <v>56</v>
      </c>
      <c r="G145">
        <v>73270</v>
      </c>
      <c r="H145">
        <v>3</v>
      </c>
      <c r="I145">
        <v>19</v>
      </c>
      <c r="J145">
        <v>3</v>
      </c>
      <c r="K145">
        <v>3</v>
      </c>
      <c r="L145">
        <v>1</v>
      </c>
      <c r="M145">
        <v>1</v>
      </c>
      <c r="N145" t="s">
        <v>31</v>
      </c>
      <c r="O145" t="s">
        <v>42</v>
      </c>
      <c r="P145">
        <v>29</v>
      </c>
      <c r="Q145">
        <v>45</v>
      </c>
      <c r="R145">
        <v>3</v>
      </c>
      <c r="S145" t="s">
        <v>31</v>
      </c>
      <c r="T145">
        <v>7</v>
      </c>
      <c r="U145" t="s">
        <v>31</v>
      </c>
      <c r="V145" s="1">
        <v>41162</v>
      </c>
      <c r="X145" s="1" t="str">
        <f t="shared" si="6"/>
        <v>Active</v>
      </c>
      <c r="Y145" t="str">
        <f t="shared" si="7"/>
        <v>36-45</v>
      </c>
      <c r="Z145" t="str">
        <f t="shared" si="8"/>
        <v>2-3 Years</v>
      </c>
    </row>
    <row r="146" spans="1:26" x14ac:dyDescent="0.35">
      <c r="A146" t="s">
        <v>202</v>
      </c>
      <c r="B146">
        <v>27</v>
      </c>
      <c r="C146" t="s">
        <v>27</v>
      </c>
      <c r="D146" t="s">
        <v>39</v>
      </c>
      <c r="E146" t="s">
        <v>40</v>
      </c>
      <c r="F146" t="s">
        <v>56</v>
      </c>
      <c r="G146">
        <v>80634</v>
      </c>
      <c r="H146">
        <v>4</v>
      </c>
      <c r="I146">
        <v>6</v>
      </c>
      <c r="J146">
        <v>3</v>
      </c>
      <c r="K146">
        <v>4</v>
      </c>
      <c r="L146">
        <v>3</v>
      </c>
      <c r="M146">
        <v>2</v>
      </c>
      <c r="N146" t="s">
        <v>31</v>
      </c>
      <c r="O146" t="s">
        <v>32</v>
      </c>
      <c r="P146">
        <v>4</v>
      </c>
      <c r="Q146">
        <v>56</v>
      </c>
      <c r="R146">
        <v>3</v>
      </c>
      <c r="S146" t="s">
        <v>31</v>
      </c>
      <c r="T146">
        <v>7</v>
      </c>
      <c r="U146" t="s">
        <v>31</v>
      </c>
      <c r="V146" s="1">
        <v>44720</v>
      </c>
      <c r="X146" s="1" t="str">
        <f t="shared" si="6"/>
        <v>Active</v>
      </c>
      <c r="Y146" t="str">
        <f t="shared" si="7"/>
        <v>26-35</v>
      </c>
      <c r="Z146" t="str">
        <f t="shared" si="8"/>
        <v>4-5 Years</v>
      </c>
    </row>
    <row r="147" spans="1:26" x14ac:dyDescent="0.35">
      <c r="A147" t="s">
        <v>203</v>
      </c>
      <c r="B147">
        <v>37</v>
      </c>
      <c r="C147" t="s">
        <v>44</v>
      </c>
      <c r="D147" t="s">
        <v>28</v>
      </c>
      <c r="E147" t="s">
        <v>66</v>
      </c>
      <c r="F147" t="s">
        <v>78</v>
      </c>
      <c r="G147">
        <v>55642</v>
      </c>
      <c r="H147">
        <v>0</v>
      </c>
      <c r="I147">
        <v>13</v>
      </c>
      <c r="J147">
        <v>2</v>
      </c>
      <c r="K147">
        <v>3</v>
      </c>
      <c r="L147">
        <v>3</v>
      </c>
      <c r="M147">
        <v>2</v>
      </c>
      <c r="N147" t="s">
        <v>33</v>
      </c>
      <c r="O147" t="s">
        <v>42</v>
      </c>
      <c r="P147">
        <v>9</v>
      </c>
      <c r="Q147">
        <v>26</v>
      </c>
      <c r="R147">
        <v>3</v>
      </c>
      <c r="S147" t="s">
        <v>31</v>
      </c>
      <c r="T147">
        <v>3</v>
      </c>
      <c r="U147" t="s">
        <v>31</v>
      </c>
      <c r="V147" s="1">
        <v>41061</v>
      </c>
      <c r="X147" s="1" t="str">
        <f t="shared" si="6"/>
        <v>Active</v>
      </c>
      <c r="Y147" t="str">
        <f t="shared" si="7"/>
        <v>36-45</v>
      </c>
      <c r="Z147" t="str">
        <f t="shared" si="8"/>
        <v>0-1 Year</v>
      </c>
    </row>
    <row r="148" spans="1:26" x14ac:dyDescent="0.35">
      <c r="A148" t="s">
        <v>204</v>
      </c>
      <c r="B148">
        <v>42</v>
      </c>
      <c r="C148" t="s">
        <v>44</v>
      </c>
      <c r="D148" t="s">
        <v>35</v>
      </c>
      <c r="E148" t="s">
        <v>36</v>
      </c>
      <c r="F148" t="s">
        <v>61</v>
      </c>
      <c r="G148">
        <v>60536</v>
      </c>
      <c r="H148">
        <v>3</v>
      </c>
      <c r="I148">
        <v>19</v>
      </c>
      <c r="J148">
        <v>2</v>
      </c>
      <c r="K148">
        <v>3</v>
      </c>
      <c r="L148">
        <v>4</v>
      </c>
      <c r="M148">
        <v>2</v>
      </c>
      <c r="N148" t="s">
        <v>31</v>
      </c>
      <c r="O148" t="s">
        <v>32</v>
      </c>
      <c r="P148">
        <v>1</v>
      </c>
      <c r="Q148">
        <v>56</v>
      </c>
      <c r="R148">
        <v>3</v>
      </c>
      <c r="S148" t="s">
        <v>31</v>
      </c>
      <c r="T148">
        <v>6</v>
      </c>
      <c r="U148" t="s">
        <v>31</v>
      </c>
      <c r="V148" s="1">
        <v>42240</v>
      </c>
      <c r="X148" s="1" t="str">
        <f t="shared" si="6"/>
        <v>Active</v>
      </c>
      <c r="Y148" t="str">
        <f t="shared" si="7"/>
        <v>36-45</v>
      </c>
      <c r="Z148" t="str">
        <f t="shared" si="8"/>
        <v>2-3 Years</v>
      </c>
    </row>
    <row r="149" spans="1:26" x14ac:dyDescent="0.35">
      <c r="A149" t="s">
        <v>205</v>
      </c>
      <c r="B149">
        <v>24</v>
      </c>
      <c r="C149" t="s">
        <v>27</v>
      </c>
      <c r="D149" t="s">
        <v>35</v>
      </c>
      <c r="E149" t="s">
        <v>85</v>
      </c>
      <c r="F149" t="s">
        <v>78</v>
      </c>
      <c r="G149">
        <v>42920</v>
      </c>
      <c r="H149">
        <v>1</v>
      </c>
      <c r="I149">
        <v>1</v>
      </c>
      <c r="J149">
        <v>1</v>
      </c>
      <c r="K149">
        <v>3</v>
      </c>
      <c r="L149">
        <v>2</v>
      </c>
      <c r="M149">
        <v>3</v>
      </c>
      <c r="N149" t="s">
        <v>31</v>
      </c>
      <c r="O149" t="s">
        <v>47</v>
      </c>
      <c r="P149">
        <v>17</v>
      </c>
      <c r="Q149">
        <v>28</v>
      </c>
      <c r="R149">
        <v>3</v>
      </c>
      <c r="S149" t="s">
        <v>31</v>
      </c>
      <c r="T149">
        <v>5</v>
      </c>
      <c r="U149" t="s">
        <v>31</v>
      </c>
      <c r="V149" s="1">
        <v>43881</v>
      </c>
      <c r="X149" s="1" t="str">
        <f t="shared" si="6"/>
        <v>Active</v>
      </c>
      <c r="Y149" t="str">
        <f t="shared" si="7"/>
        <v>18-25</v>
      </c>
      <c r="Z149" t="str">
        <f t="shared" si="8"/>
        <v>0-1 Year</v>
      </c>
    </row>
    <row r="150" spans="1:26" x14ac:dyDescent="0.35">
      <c r="A150" t="s">
        <v>206</v>
      </c>
      <c r="B150">
        <v>40</v>
      </c>
      <c r="C150" t="s">
        <v>44</v>
      </c>
      <c r="D150" t="s">
        <v>35</v>
      </c>
      <c r="E150" t="s">
        <v>36</v>
      </c>
      <c r="F150" t="s">
        <v>37</v>
      </c>
      <c r="G150">
        <v>43426</v>
      </c>
      <c r="H150">
        <v>0</v>
      </c>
      <c r="I150">
        <v>19</v>
      </c>
      <c r="J150">
        <v>1</v>
      </c>
      <c r="K150">
        <v>4</v>
      </c>
      <c r="L150">
        <v>2</v>
      </c>
      <c r="M150">
        <v>4</v>
      </c>
      <c r="N150" t="s">
        <v>31</v>
      </c>
      <c r="O150" t="s">
        <v>32</v>
      </c>
      <c r="P150">
        <v>12</v>
      </c>
      <c r="Q150">
        <v>25</v>
      </c>
      <c r="R150">
        <v>3</v>
      </c>
      <c r="S150" t="s">
        <v>31</v>
      </c>
      <c r="T150">
        <v>3</v>
      </c>
      <c r="U150" t="s">
        <v>31</v>
      </c>
      <c r="V150" s="1">
        <v>44002</v>
      </c>
      <c r="X150" s="1" t="str">
        <f t="shared" si="6"/>
        <v>Active</v>
      </c>
      <c r="Y150" t="str">
        <f t="shared" si="7"/>
        <v>36-45</v>
      </c>
      <c r="Z150" t="str">
        <f t="shared" si="8"/>
        <v>0-1 Year</v>
      </c>
    </row>
    <row r="151" spans="1:26" x14ac:dyDescent="0.35">
      <c r="A151" t="s">
        <v>207</v>
      </c>
      <c r="B151">
        <v>58</v>
      </c>
      <c r="C151" t="s">
        <v>27</v>
      </c>
      <c r="D151" t="s">
        <v>45</v>
      </c>
      <c r="E151" t="s">
        <v>63</v>
      </c>
      <c r="F151" t="s">
        <v>37</v>
      </c>
      <c r="G151">
        <v>131690</v>
      </c>
      <c r="H151">
        <v>15</v>
      </c>
      <c r="I151">
        <v>36</v>
      </c>
      <c r="J151">
        <v>5</v>
      </c>
      <c r="K151">
        <v>3</v>
      </c>
      <c r="L151">
        <v>2</v>
      </c>
      <c r="M151">
        <v>4</v>
      </c>
      <c r="N151" t="s">
        <v>33</v>
      </c>
      <c r="O151" t="s">
        <v>32</v>
      </c>
      <c r="P151">
        <v>21</v>
      </c>
      <c r="Q151">
        <v>20</v>
      </c>
      <c r="R151">
        <v>3</v>
      </c>
      <c r="S151" t="s">
        <v>31</v>
      </c>
      <c r="T151">
        <v>7</v>
      </c>
      <c r="U151" t="s">
        <v>31</v>
      </c>
      <c r="V151" s="1">
        <v>42382</v>
      </c>
      <c r="X151" s="1" t="str">
        <f t="shared" si="6"/>
        <v>Active</v>
      </c>
      <c r="Y151" t="str">
        <f t="shared" si="7"/>
        <v>56+</v>
      </c>
      <c r="Z151" t="str">
        <f t="shared" si="8"/>
        <v>10+ Years</v>
      </c>
    </row>
    <row r="152" spans="1:26" x14ac:dyDescent="0.35">
      <c r="A152" t="s">
        <v>208</v>
      </c>
      <c r="B152">
        <v>51</v>
      </c>
      <c r="C152" t="s">
        <v>27</v>
      </c>
      <c r="D152" t="s">
        <v>52</v>
      </c>
      <c r="E152" t="s">
        <v>53</v>
      </c>
      <c r="F152" t="s">
        <v>78</v>
      </c>
      <c r="G152">
        <v>146758</v>
      </c>
      <c r="H152">
        <v>21</v>
      </c>
      <c r="I152">
        <v>27</v>
      </c>
      <c r="J152">
        <v>5</v>
      </c>
      <c r="K152">
        <v>3</v>
      </c>
      <c r="L152">
        <v>2</v>
      </c>
      <c r="M152">
        <v>3</v>
      </c>
      <c r="N152" t="s">
        <v>31</v>
      </c>
      <c r="O152" t="s">
        <v>32</v>
      </c>
      <c r="P152">
        <v>29</v>
      </c>
      <c r="Q152">
        <v>33</v>
      </c>
      <c r="R152">
        <v>3</v>
      </c>
      <c r="S152" t="s">
        <v>31</v>
      </c>
      <c r="T152">
        <v>4</v>
      </c>
      <c r="U152" t="s">
        <v>33</v>
      </c>
      <c r="V152" s="1">
        <v>42250</v>
      </c>
      <c r="W152" s="1">
        <v>43030</v>
      </c>
      <c r="X152" s="1" t="str">
        <f t="shared" si="6"/>
        <v>2017-10-22</v>
      </c>
      <c r="Y152" t="str">
        <f t="shared" si="7"/>
        <v>46-55</v>
      </c>
      <c r="Z152" t="str">
        <f t="shared" si="8"/>
        <v>10+ Years</v>
      </c>
    </row>
    <row r="153" spans="1:26" x14ac:dyDescent="0.35">
      <c r="A153" t="s">
        <v>209</v>
      </c>
      <c r="B153">
        <v>26</v>
      </c>
      <c r="C153" t="s">
        <v>27</v>
      </c>
      <c r="D153" t="s">
        <v>52</v>
      </c>
      <c r="E153" t="s">
        <v>53</v>
      </c>
      <c r="F153" t="s">
        <v>61</v>
      </c>
      <c r="G153">
        <v>55654</v>
      </c>
      <c r="H153">
        <v>0</v>
      </c>
      <c r="I153">
        <v>3</v>
      </c>
      <c r="J153">
        <v>2</v>
      </c>
      <c r="K153">
        <v>3</v>
      </c>
      <c r="L153">
        <v>3</v>
      </c>
      <c r="M153">
        <v>2</v>
      </c>
      <c r="N153" t="s">
        <v>31</v>
      </c>
      <c r="O153" t="s">
        <v>32</v>
      </c>
      <c r="P153">
        <v>24</v>
      </c>
      <c r="Q153">
        <v>19</v>
      </c>
      <c r="R153">
        <v>3</v>
      </c>
      <c r="S153" t="s">
        <v>31</v>
      </c>
      <c r="T153">
        <v>5</v>
      </c>
      <c r="U153" t="s">
        <v>31</v>
      </c>
      <c r="V153" s="1">
        <v>43104</v>
      </c>
      <c r="X153" s="1" t="str">
        <f t="shared" si="6"/>
        <v>Active</v>
      </c>
      <c r="Y153" t="str">
        <f t="shared" si="7"/>
        <v>26-35</v>
      </c>
      <c r="Z153" t="str">
        <f t="shared" si="8"/>
        <v>0-1 Year</v>
      </c>
    </row>
    <row r="154" spans="1:26" x14ac:dyDescent="0.35">
      <c r="A154" t="s">
        <v>210</v>
      </c>
      <c r="B154">
        <v>40</v>
      </c>
      <c r="C154" t="s">
        <v>44</v>
      </c>
      <c r="D154" t="s">
        <v>39</v>
      </c>
      <c r="E154" t="s">
        <v>59</v>
      </c>
      <c r="F154" t="s">
        <v>78</v>
      </c>
      <c r="G154">
        <v>57742</v>
      </c>
      <c r="H154">
        <v>2</v>
      </c>
      <c r="I154">
        <v>18</v>
      </c>
      <c r="J154">
        <v>2</v>
      </c>
      <c r="K154">
        <v>3</v>
      </c>
      <c r="L154">
        <v>2</v>
      </c>
      <c r="M154">
        <v>1</v>
      </c>
      <c r="N154" t="s">
        <v>31</v>
      </c>
      <c r="O154" t="s">
        <v>32</v>
      </c>
      <c r="P154">
        <v>4</v>
      </c>
      <c r="Q154">
        <v>11</v>
      </c>
      <c r="R154">
        <v>3</v>
      </c>
      <c r="S154" t="s">
        <v>31</v>
      </c>
      <c r="T154">
        <v>7</v>
      </c>
      <c r="U154" t="s">
        <v>31</v>
      </c>
      <c r="V154" s="1">
        <v>41518</v>
      </c>
      <c r="X154" s="1" t="str">
        <f t="shared" si="6"/>
        <v>Active</v>
      </c>
      <c r="Y154" t="str">
        <f t="shared" si="7"/>
        <v>36-45</v>
      </c>
      <c r="Z154" t="str">
        <f t="shared" si="8"/>
        <v>2-3 Years</v>
      </c>
    </row>
    <row r="155" spans="1:26" x14ac:dyDescent="0.35">
      <c r="A155" t="s">
        <v>211</v>
      </c>
      <c r="B155">
        <v>51</v>
      </c>
      <c r="C155" t="s">
        <v>44</v>
      </c>
      <c r="D155" t="s">
        <v>52</v>
      </c>
      <c r="E155" t="s">
        <v>53</v>
      </c>
      <c r="F155" t="s">
        <v>61</v>
      </c>
      <c r="G155">
        <v>58816</v>
      </c>
      <c r="H155">
        <v>3</v>
      </c>
      <c r="I155">
        <v>30</v>
      </c>
      <c r="J155">
        <v>2</v>
      </c>
      <c r="K155">
        <v>1</v>
      </c>
      <c r="L155">
        <v>4</v>
      </c>
      <c r="M155">
        <v>3</v>
      </c>
      <c r="N155" t="s">
        <v>31</v>
      </c>
      <c r="O155" t="s">
        <v>42</v>
      </c>
      <c r="P155">
        <v>10</v>
      </c>
      <c r="Q155">
        <v>41</v>
      </c>
      <c r="R155">
        <v>4</v>
      </c>
      <c r="S155" t="s">
        <v>31</v>
      </c>
      <c r="T155">
        <v>3</v>
      </c>
      <c r="U155" t="s">
        <v>31</v>
      </c>
      <c r="V155" s="1">
        <v>44399</v>
      </c>
      <c r="X155" s="1" t="str">
        <f t="shared" si="6"/>
        <v>Active</v>
      </c>
      <c r="Y155" t="str">
        <f t="shared" si="7"/>
        <v>46-55</v>
      </c>
      <c r="Z155" t="str">
        <f t="shared" si="8"/>
        <v>2-3 Years</v>
      </c>
    </row>
    <row r="156" spans="1:26" x14ac:dyDescent="0.35">
      <c r="A156" t="s">
        <v>212</v>
      </c>
      <c r="B156">
        <v>42</v>
      </c>
      <c r="C156" t="s">
        <v>44</v>
      </c>
      <c r="D156" t="s">
        <v>52</v>
      </c>
      <c r="E156" t="s">
        <v>53</v>
      </c>
      <c r="F156" t="s">
        <v>41</v>
      </c>
      <c r="G156">
        <v>85962</v>
      </c>
      <c r="H156">
        <v>8</v>
      </c>
      <c r="I156">
        <v>21</v>
      </c>
      <c r="J156">
        <v>3</v>
      </c>
      <c r="K156">
        <v>4</v>
      </c>
      <c r="L156">
        <v>4</v>
      </c>
      <c r="M156">
        <v>1</v>
      </c>
      <c r="N156" t="s">
        <v>31</v>
      </c>
      <c r="O156" t="s">
        <v>42</v>
      </c>
      <c r="P156">
        <v>13</v>
      </c>
      <c r="Q156">
        <v>49</v>
      </c>
      <c r="R156">
        <v>3</v>
      </c>
      <c r="S156" t="s">
        <v>33</v>
      </c>
      <c r="T156">
        <v>3</v>
      </c>
      <c r="U156" t="s">
        <v>31</v>
      </c>
      <c r="V156" s="1">
        <v>45073</v>
      </c>
      <c r="X156" s="1" t="str">
        <f t="shared" si="6"/>
        <v>Active</v>
      </c>
      <c r="Y156" t="str">
        <f t="shared" si="7"/>
        <v>36-45</v>
      </c>
      <c r="Z156" t="str">
        <f t="shared" si="8"/>
        <v>6-10 Years</v>
      </c>
    </row>
    <row r="157" spans="1:26" x14ac:dyDescent="0.35">
      <c r="A157" t="s">
        <v>213</v>
      </c>
      <c r="B157">
        <v>55</v>
      </c>
      <c r="C157" t="s">
        <v>27</v>
      </c>
      <c r="D157" t="s">
        <v>28</v>
      </c>
      <c r="E157" t="s">
        <v>66</v>
      </c>
      <c r="F157" t="s">
        <v>37</v>
      </c>
      <c r="G157">
        <v>162551</v>
      </c>
      <c r="H157">
        <v>32</v>
      </c>
      <c r="I157">
        <v>33</v>
      </c>
      <c r="J157">
        <v>5</v>
      </c>
      <c r="K157">
        <v>2</v>
      </c>
      <c r="L157">
        <v>2</v>
      </c>
      <c r="M157">
        <v>4</v>
      </c>
      <c r="N157" t="s">
        <v>31</v>
      </c>
      <c r="O157" t="s">
        <v>32</v>
      </c>
      <c r="P157">
        <v>4</v>
      </c>
      <c r="Q157">
        <v>22</v>
      </c>
      <c r="R157">
        <v>3</v>
      </c>
      <c r="S157" t="s">
        <v>33</v>
      </c>
      <c r="T157">
        <v>6</v>
      </c>
      <c r="U157" t="s">
        <v>31</v>
      </c>
      <c r="V157" s="1">
        <v>41203</v>
      </c>
      <c r="X157" s="1" t="str">
        <f t="shared" si="6"/>
        <v>Active</v>
      </c>
      <c r="Y157" t="str">
        <f t="shared" si="7"/>
        <v>46-55</v>
      </c>
      <c r="Z157" t="str">
        <f t="shared" si="8"/>
        <v>10+ Years</v>
      </c>
    </row>
    <row r="158" spans="1:26" x14ac:dyDescent="0.35">
      <c r="A158" t="s">
        <v>214</v>
      </c>
      <c r="B158">
        <v>49</v>
      </c>
      <c r="C158" t="s">
        <v>44</v>
      </c>
      <c r="D158" t="s">
        <v>28</v>
      </c>
      <c r="E158" t="s">
        <v>29</v>
      </c>
      <c r="F158" t="s">
        <v>30</v>
      </c>
      <c r="G158">
        <v>137444</v>
      </c>
      <c r="H158">
        <v>20</v>
      </c>
      <c r="I158">
        <v>25</v>
      </c>
      <c r="J158">
        <v>5</v>
      </c>
      <c r="K158">
        <v>2</v>
      </c>
      <c r="L158">
        <v>3</v>
      </c>
      <c r="M158">
        <v>3</v>
      </c>
      <c r="N158" t="s">
        <v>31</v>
      </c>
      <c r="O158" t="s">
        <v>32</v>
      </c>
      <c r="P158">
        <v>28</v>
      </c>
      <c r="Q158">
        <v>52</v>
      </c>
      <c r="R158">
        <v>3</v>
      </c>
      <c r="S158" t="s">
        <v>33</v>
      </c>
      <c r="T158">
        <v>4</v>
      </c>
      <c r="U158" t="s">
        <v>31</v>
      </c>
      <c r="V158" s="1">
        <v>45260</v>
      </c>
      <c r="X158" s="1" t="str">
        <f t="shared" si="6"/>
        <v>Active</v>
      </c>
      <c r="Y158" t="str">
        <f t="shared" si="7"/>
        <v>46-55</v>
      </c>
      <c r="Z158" t="str">
        <f t="shared" si="8"/>
        <v>10+ Years</v>
      </c>
    </row>
    <row r="159" spans="1:26" x14ac:dyDescent="0.35">
      <c r="A159" t="s">
        <v>215</v>
      </c>
      <c r="B159">
        <v>28</v>
      </c>
      <c r="C159" t="s">
        <v>27</v>
      </c>
      <c r="D159" t="s">
        <v>45</v>
      </c>
      <c r="E159" t="s">
        <v>63</v>
      </c>
      <c r="F159" t="s">
        <v>41</v>
      </c>
      <c r="G159">
        <v>40074</v>
      </c>
      <c r="H159">
        <v>0</v>
      </c>
      <c r="I159">
        <v>4</v>
      </c>
      <c r="J159">
        <v>1</v>
      </c>
      <c r="K159">
        <v>2</v>
      </c>
      <c r="L159">
        <v>2</v>
      </c>
      <c r="M159">
        <v>2</v>
      </c>
      <c r="N159" t="s">
        <v>31</v>
      </c>
      <c r="O159" t="s">
        <v>32</v>
      </c>
      <c r="P159">
        <v>29</v>
      </c>
      <c r="Q159">
        <v>14</v>
      </c>
      <c r="R159">
        <v>3</v>
      </c>
      <c r="S159" t="s">
        <v>31</v>
      </c>
      <c r="T159">
        <v>7</v>
      </c>
      <c r="U159" t="s">
        <v>33</v>
      </c>
      <c r="V159" s="1">
        <v>43239</v>
      </c>
      <c r="W159" s="1">
        <v>43650</v>
      </c>
      <c r="X159" s="1" t="str">
        <f t="shared" si="6"/>
        <v>2019-07-04</v>
      </c>
      <c r="Y159" t="str">
        <f t="shared" si="7"/>
        <v>26-35</v>
      </c>
      <c r="Z159" t="str">
        <f t="shared" si="8"/>
        <v>0-1 Year</v>
      </c>
    </row>
    <row r="160" spans="1:26" x14ac:dyDescent="0.35">
      <c r="A160" t="s">
        <v>216</v>
      </c>
      <c r="B160">
        <v>44</v>
      </c>
      <c r="C160" t="s">
        <v>27</v>
      </c>
      <c r="D160" t="s">
        <v>28</v>
      </c>
      <c r="E160" t="s">
        <v>29</v>
      </c>
      <c r="F160" t="s">
        <v>30</v>
      </c>
      <c r="G160">
        <v>126933</v>
      </c>
      <c r="H160">
        <v>12</v>
      </c>
      <c r="I160">
        <v>20</v>
      </c>
      <c r="J160">
        <v>5</v>
      </c>
      <c r="K160">
        <v>4</v>
      </c>
      <c r="L160">
        <v>3</v>
      </c>
      <c r="M160">
        <v>4</v>
      </c>
      <c r="N160" t="s">
        <v>31</v>
      </c>
      <c r="O160" t="s">
        <v>32</v>
      </c>
      <c r="P160">
        <v>26</v>
      </c>
      <c r="Q160">
        <v>48</v>
      </c>
      <c r="R160">
        <v>3</v>
      </c>
      <c r="S160" t="s">
        <v>31</v>
      </c>
      <c r="T160">
        <v>4</v>
      </c>
      <c r="U160" t="s">
        <v>31</v>
      </c>
      <c r="V160" s="1">
        <v>43217</v>
      </c>
      <c r="X160" s="1" t="str">
        <f t="shared" si="6"/>
        <v>Active</v>
      </c>
      <c r="Y160" t="str">
        <f t="shared" si="7"/>
        <v>36-45</v>
      </c>
      <c r="Z160" t="str">
        <f t="shared" si="8"/>
        <v>10+ Years</v>
      </c>
    </row>
    <row r="161" spans="1:26" x14ac:dyDescent="0.35">
      <c r="A161" t="s">
        <v>217</v>
      </c>
      <c r="B161">
        <v>44</v>
      </c>
      <c r="C161" t="s">
        <v>44</v>
      </c>
      <c r="D161" t="s">
        <v>49</v>
      </c>
      <c r="E161" t="s">
        <v>68</v>
      </c>
      <c r="F161" t="s">
        <v>61</v>
      </c>
      <c r="G161">
        <v>144404</v>
      </c>
      <c r="H161">
        <v>21</v>
      </c>
      <c r="I161">
        <v>21</v>
      </c>
      <c r="J161">
        <v>5</v>
      </c>
      <c r="K161">
        <v>3</v>
      </c>
      <c r="L161">
        <v>1</v>
      </c>
      <c r="M161">
        <v>3</v>
      </c>
      <c r="N161" t="s">
        <v>31</v>
      </c>
      <c r="O161" t="s">
        <v>32</v>
      </c>
      <c r="P161">
        <v>23</v>
      </c>
      <c r="Q161">
        <v>54</v>
      </c>
      <c r="R161">
        <v>3</v>
      </c>
      <c r="S161" t="s">
        <v>31</v>
      </c>
      <c r="T161">
        <v>0</v>
      </c>
      <c r="U161" t="s">
        <v>31</v>
      </c>
      <c r="V161" s="1">
        <v>41554</v>
      </c>
      <c r="X161" s="1" t="str">
        <f t="shared" si="6"/>
        <v>Active</v>
      </c>
      <c r="Y161" t="str">
        <f t="shared" si="7"/>
        <v>36-45</v>
      </c>
      <c r="Z161" t="str">
        <f t="shared" si="8"/>
        <v>10+ Years</v>
      </c>
    </row>
    <row r="162" spans="1:26" x14ac:dyDescent="0.35">
      <c r="A162" t="s">
        <v>218</v>
      </c>
      <c r="B162">
        <v>39</v>
      </c>
      <c r="C162" t="s">
        <v>27</v>
      </c>
      <c r="D162" t="s">
        <v>45</v>
      </c>
      <c r="E162" t="s">
        <v>46</v>
      </c>
      <c r="F162" t="s">
        <v>56</v>
      </c>
      <c r="G162">
        <v>124081</v>
      </c>
      <c r="H162">
        <v>10</v>
      </c>
      <c r="I162">
        <v>18</v>
      </c>
      <c r="J162">
        <v>5</v>
      </c>
      <c r="K162">
        <v>3</v>
      </c>
      <c r="L162">
        <v>2</v>
      </c>
      <c r="M162">
        <v>2</v>
      </c>
      <c r="N162" t="s">
        <v>33</v>
      </c>
      <c r="O162" t="s">
        <v>32</v>
      </c>
      <c r="P162">
        <v>9</v>
      </c>
      <c r="Q162">
        <v>51</v>
      </c>
      <c r="R162">
        <v>3</v>
      </c>
      <c r="S162" t="s">
        <v>33</v>
      </c>
      <c r="T162">
        <v>2</v>
      </c>
      <c r="U162" t="s">
        <v>31</v>
      </c>
      <c r="V162" s="1">
        <v>44891</v>
      </c>
      <c r="X162" s="1" t="str">
        <f t="shared" si="6"/>
        <v>Active</v>
      </c>
      <c r="Y162" t="str">
        <f t="shared" si="7"/>
        <v>36-45</v>
      </c>
      <c r="Z162" t="str">
        <f t="shared" si="8"/>
        <v>6-10 Years</v>
      </c>
    </row>
    <row r="163" spans="1:26" x14ac:dyDescent="0.35">
      <c r="A163" t="s">
        <v>219</v>
      </c>
      <c r="B163">
        <v>49</v>
      </c>
      <c r="C163" t="s">
        <v>44</v>
      </c>
      <c r="D163" t="s">
        <v>49</v>
      </c>
      <c r="E163" t="s">
        <v>50</v>
      </c>
      <c r="F163" t="s">
        <v>61</v>
      </c>
      <c r="G163">
        <v>55552</v>
      </c>
      <c r="H163">
        <v>0</v>
      </c>
      <c r="I163">
        <v>26</v>
      </c>
      <c r="J163">
        <v>2</v>
      </c>
      <c r="K163">
        <v>3</v>
      </c>
      <c r="L163">
        <v>3</v>
      </c>
      <c r="M163">
        <v>2</v>
      </c>
      <c r="N163" t="s">
        <v>31</v>
      </c>
      <c r="O163" t="s">
        <v>32</v>
      </c>
      <c r="P163">
        <v>2</v>
      </c>
      <c r="Q163">
        <v>22</v>
      </c>
      <c r="R163">
        <v>3</v>
      </c>
      <c r="S163" t="s">
        <v>31</v>
      </c>
      <c r="T163">
        <v>5</v>
      </c>
      <c r="U163" t="s">
        <v>31</v>
      </c>
      <c r="V163" s="1">
        <v>43596</v>
      </c>
      <c r="X163" s="1" t="str">
        <f t="shared" si="6"/>
        <v>Active</v>
      </c>
      <c r="Y163" t="str">
        <f t="shared" si="7"/>
        <v>46-55</v>
      </c>
      <c r="Z163" t="str">
        <f t="shared" si="8"/>
        <v>0-1 Year</v>
      </c>
    </row>
    <row r="164" spans="1:26" x14ac:dyDescent="0.35">
      <c r="A164" t="s">
        <v>220</v>
      </c>
      <c r="B164">
        <v>45</v>
      </c>
      <c r="C164" t="s">
        <v>44</v>
      </c>
      <c r="D164" t="s">
        <v>28</v>
      </c>
      <c r="E164" t="s">
        <v>29</v>
      </c>
      <c r="F164" t="s">
        <v>30</v>
      </c>
      <c r="G164">
        <v>46433</v>
      </c>
      <c r="H164">
        <v>2</v>
      </c>
      <c r="I164">
        <v>24</v>
      </c>
      <c r="J164">
        <v>1</v>
      </c>
      <c r="K164">
        <v>1</v>
      </c>
      <c r="L164">
        <v>3</v>
      </c>
      <c r="M164">
        <v>1</v>
      </c>
      <c r="N164" t="s">
        <v>31</v>
      </c>
      <c r="O164" t="s">
        <v>42</v>
      </c>
      <c r="P164">
        <v>27</v>
      </c>
      <c r="Q164">
        <v>12</v>
      </c>
      <c r="R164">
        <v>3</v>
      </c>
      <c r="S164" t="s">
        <v>31</v>
      </c>
      <c r="T164">
        <v>4</v>
      </c>
      <c r="U164" t="s">
        <v>31</v>
      </c>
      <c r="V164" s="1">
        <v>43588</v>
      </c>
      <c r="X164" s="1" t="str">
        <f t="shared" si="6"/>
        <v>Active</v>
      </c>
      <c r="Y164" t="str">
        <f t="shared" si="7"/>
        <v>36-45</v>
      </c>
      <c r="Z164" t="str">
        <f t="shared" si="8"/>
        <v>2-3 Years</v>
      </c>
    </row>
    <row r="165" spans="1:26" x14ac:dyDescent="0.35">
      <c r="A165" t="s">
        <v>221</v>
      </c>
      <c r="B165">
        <v>22</v>
      </c>
      <c r="C165" t="s">
        <v>27</v>
      </c>
      <c r="D165" t="s">
        <v>45</v>
      </c>
      <c r="E165" t="s">
        <v>63</v>
      </c>
      <c r="F165" t="s">
        <v>61</v>
      </c>
      <c r="G165">
        <v>45773</v>
      </c>
      <c r="H165">
        <v>1</v>
      </c>
      <c r="I165">
        <v>1</v>
      </c>
      <c r="J165">
        <v>1</v>
      </c>
      <c r="K165">
        <v>1</v>
      </c>
      <c r="L165">
        <v>3</v>
      </c>
      <c r="M165">
        <v>2</v>
      </c>
      <c r="N165" t="s">
        <v>31</v>
      </c>
      <c r="O165" t="s">
        <v>32</v>
      </c>
      <c r="P165">
        <v>15</v>
      </c>
      <c r="Q165">
        <v>12</v>
      </c>
      <c r="R165">
        <v>3</v>
      </c>
      <c r="S165" t="s">
        <v>31</v>
      </c>
      <c r="T165">
        <v>1</v>
      </c>
      <c r="U165" t="s">
        <v>31</v>
      </c>
      <c r="V165" s="1">
        <v>43391</v>
      </c>
      <c r="X165" s="1" t="str">
        <f t="shared" si="6"/>
        <v>Active</v>
      </c>
      <c r="Y165" t="str">
        <f t="shared" si="7"/>
        <v>18-25</v>
      </c>
      <c r="Z165" t="str">
        <f t="shared" si="8"/>
        <v>0-1 Year</v>
      </c>
    </row>
    <row r="166" spans="1:26" x14ac:dyDescent="0.35">
      <c r="A166" t="s">
        <v>222</v>
      </c>
      <c r="B166">
        <v>23</v>
      </c>
      <c r="C166" t="s">
        <v>27</v>
      </c>
      <c r="D166" t="s">
        <v>45</v>
      </c>
      <c r="E166" t="s">
        <v>63</v>
      </c>
      <c r="F166" t="s">
        <v>41</v>
      </c>
      <c r="G166">
        <v>54339</v>
      </c>
      <c r="H166">
        <v>0</v>
      </c>
      <c r="I166">
        <v>1</v>
      </c>
      <c r="J166">
        <v>2</v>
      </c>
      <c r="K166">
        <v>3</v>
      </c>
      <c r="L166">
        <v>4</v>
      </c>
      <c r="M166">
        <v>4</v>
      </c>
      <c r="N166" t="s">
        <v>33</v>
      </c>
      <c r="O166" t="s">
        <v>32</v>
      </c>
      <c r="P166">
        <v>13</v>
      </c>
      <c r="Q166">
        <v>24</v>
      </c>
      <c r="R166">
        <v>3</v>
      </c>
      <c r="S166" t="s">
        <v>31</v>
      </c>
      <c r="T166">
        <v>3</v>
      </c>
      <c r="U166" t="s">
        <v>31</v>
      </c>
      <c r="V166" s="1">
        <v>41114</v>
      </c>
      <c r="X166" s="1" t="str">
        <f t="shared" si="6"/>
        <v>Active</v>
      </c>
      <c r="Y166" t="str">
        <f t="shared" si="7"/>
        <v>18-25</v>
      </c>
      <c r="Z166" t="str">
        <f t="shared" si="8"/>
        <v>0-1 Year</v>
      </c>
    </row>
    <row r="167" spans="1:26" x14ac:dyDescent="0.35">
      <c r="A167" t="s">
        <v>223</v>
      </c>
      <c r="B167">
        <v>25</v>
      </c>
      <c r="C167" t="s">
        <v>27</v>
      </c>
      <c r="D167" t="s">
        <v>52</v>
      </c>
      <c r="E167" t="s">
        <v>53</v>
      </c>
      <c r="F167" t="s">
        <v>30</v>
      </c>
      <c r="G167">
        <v>63581</v>
      </c>
      <c r="H167">
        <v>2</v>
      </c>
      <c r="I167">
        <v>2</v>
      </c>
      <c r="J167">
        <v>2</v>
      </c>
      <c r="K167">
        <v>3</v>
      </c>
      <c r="L167">
        <v>2</v>
      </c>
      <c r="M167">
        <v>2</v>
      </c>
      <c r="N167" t="s">
        <v>31</v>
      </c>
      <c r="O167" t="s">
        <v>32</v>
      </c>
      <c r="P167">
        <v>2</v>
      </c>
      <c r="Q167">
        <v>24</v>
      </c>
      <c r="R167">
        <v>3</v>
      </c>
      <c r="S167" t="s">
        <v>31</v>
      </c>
      <c r="T167">
        <v>3</v>
      </c>
      <c r="U167" t="s">
        <v>31</v>
      </c>
      <c r="V167" s="1">
        <v>42762</v>
      </c>
      <c r="X167" s="1" t="str">
        <f t="shared" si="6"/>
        <v>Active</v>
      </c>
      <c r="Y167" t="str">
        <f t="shared" si="7"/>
        <v>18-25</v>
      </c>
      <c r="Z167" t="str">
        <f t="shared" si="8"/>
        <v>2-3 Years</v>
      </c>
    </row>
    <row r="168" spans="1:26" x14ac:dyDescent="0.35">
      <c r="A168" t="s">
        <v>224</v>
      </c>
      <c r="B168">
        <v>53</v>
      </c>
      <c r="C168" t="s">
        <v>27</v>
      </c>
      <c r="D168" t="s">
        <v>35</v>
      </c>
      <c r="E168" t="s">
        <v>36</v>
      </c>
      <c r="F168" t="s">
        <v>78</v>
      </c>
      <c r="G168">
        <v>106618</v>
      </c>
      <c r="H168">
        <v>11</v>
      </c>
      <c r="I168">
        <v>30</v>
      </c>
      <c r="J168">
        <v>4</v>
      </c>
      <c r="K168">
        <v>3</v>
      </c>
      <c r="L168">
        <v>4</v>
      </c>
      <c r="M168">
        <v>1</v>
      </c>
      <c r="N168" t="s">
        <v>31</v>
      </c>
      <c r="O168" t="s">
        <v>32</v>
      </c>
      <c r="P168">
        <v>16</v>
      </c>
      <c r="Q168">
        <v>32</v>
      </c>
      <c r="R168">
        <v>3</v>
      </c>
      <c r="S168" t="s">
        <v>33</v>
      </c>
      <c r="T168">
        <v>8</v>
      </c>
      <c r="U168" t="s">
        <v>31</v>
      </c>
      <c r="V168" s="1">
        <v>41863</v>
      </c>
      <c r="X168" s="1" t="str">
        <f t="shared" si="6"/>
        <v>Active</v>
      </c>
      <c r="Y168" t="str">
        <f t="shared" si="7"/>
        <v>46-55</v>
      </c>
      <c r="Z168" t="str">
        <f t="shared" si="8"/>
        <v>10+ Years</v>
      </c>
    </row>
    <row r="169" spans="1:26" x14ac:dyDescent="0.35">
      <c r="A169" t="s">
        <v>225</v>
      </c>
      <c r="B169">
        <v>23</v>
      </c>
      <c r="C169" t="s">
        <v>27</v>
      </c>
      <c r="D169" t="s">
        <v>52</v>
      </c>
      <c r="E169" t="s">
        <v>55</v>
      </c>
      <c r="F169" t="s">
        <v>41</v>
      </c>
      <c r="G169">
        <v>54640</v>
      </c>
      <c r="H169">
        <v>0</v>
      </c>
      <c r="I169">
        <v>1</v>
      </c>
      <c r="J169">
        <v>2</v>
      </c>
      <c r="K169">
        <v>2</v>
      </c>
      <c r="L169">
        <v>2</v>
      </c>
      <c r="M169">
        <v>2</v>
      </c>
      <c r="N169" t="s">
        <v>31</v>
      </c>
      <c r="O169" t="s">
        <v>32</v>
      </c>
      <c r="P169">
        <v>17</v>
      </c>
      <c r="Q169">
        <v>47</v>
      </c>
      <c r="R169">
        <v>3</v>
      </c>
      <c r="S169" t="s">
        <v>31</v>
      </c>
      <c r="T169">
        <v>7</v>
      </c>
      <c r="U169" t="s">
        <v>31</v>
      </c>
      <c r="V169" s="1">
        <v>43859</v>
      </c>
      <c r="X169" s="1" t="str">
        <f t="shared" si="6"/>
        <v>Active</v>
      </c>
      <c r="Y169" t="str">
        <f t="shared" si="7"/>
        <v>18-25</v>
      </c>
      <c r="Z169" t="str">
        <f t="shared" si="8"/>
        <v>0-1 Year</v>
      </c>
    </row>
    <row r="170" spans="1:26" x14ac:dyDescent="0.35">
      <c r="A170" t="s">
        <v>226</v>
      </c>
      <c r="B170">
        <v>43</v>
      </c>
      <c r="C170" t="s">
        <v>27</v>
      </c>
      <c r="D170" t="s">
        <v>28</v>
      </c>
      <c r="E170" t="s">
        <v>29</v>
      </c>
      <c r="F170" t="s">
        <v>41</v>
      </c>
      <c r="G170">
        <v>78363</v>
      </c>
      <c r="H170">
        <v>5</v>
      </c>
      <c r="I170">
        <v>19</v>
      </c>
      <c r="J170">
        <v>3</v>
      </c>
      <c r="K170">
        <v>2</v>
      </c>
      <c r="L170">
        <v>1</v>
      </c>
      <c r="M170">
        <v>4</v>
      </c>
      <c r="N170" t="s">
        <v>31</v>
      </c>
      <c r="O170" t="s">
        <v>32</v>
      </c>
      <c r="P170">
        <v>22</v>
      </c>
      <c r="Q170">
        <v>15</v>
      </c>
      <c r="R170">
        <v>3</v>
      </c>
      <c r="S170" t="s">
        <v>31</v>
      </c>
      <c r="T170">
        <v>9</v>
      </c>
      <c r="U170" t="s">
        <v>31</v>
      </c>
      <c r="V170" s="1">
        <v>43287</v>
      </c>
      <c r="X170" s="1" t="str">
        <f t="shared" si="6"/>
        <v>Active</v>
      </c>
      <c r="Y170" t="str">
        <f t="shared" si="7"/>
        <v>36-45</v>
      </c>
      <c r="Z170" t="str">
        <f t="shared" si="8"/>
        <v>4-5 Years</v>
      </c>
    </row>
    <row r="171" spans="1:26" x14ac:dyDescent="0.35">
      <c r="A171" t="s">
        <v>227</v>
      </c>
      <c r="B171">
        <v>54</v>
      </c>
      <c r="C171" t="s">
        <v>44</v>
      </c>
      <c r="D171" t="s">
        <v>45</v>
      </c>
      <c r="E171" t="s">
        <v>63</v>
      </c>
      <c r="F171" t="s">
        <v>37</v>
      </c>
      <c r="G171">
        <v>104956</v>
      </c>
      <c r="H171">
        <v>11</v>
      </c>
      <c r="I171">
        <v>30</v>
      </c>
      <c r="J171">
        <v>4</v>
      </c>
      <c r="K171">
        <v>3</v>
      </c>
      <c r="L171">
        <v>3</v>
      </c>
      <c r="M171">
        <v>4</v>
      </c>
      <c r="N171" t="s">
        <v>33</v>
      </c>
      <c r="O171" t="s">
        <v>32</v>
      </c>
      <c r="P171">
        <v>15</v>
      </c>
      <c r="Q171">
        <v>25</v>
      </c>
      <c r="R171">
        <v>3</v>
      </c>
      <c r="S171" t="s">
        <v>31</v>
      </c>
      <c r="T171">
        <v>1</v>
      </c>
      <c r="U171" t="s">
        <v>31</v>
      </c>
      <c r="V171" s="1">
        <v>41858</v>
      </c>
      <c r="X171" s="1" t="str">
        <f t="shared" si="6"/>
        <v>Active</v>
      </c>
      <c r="Y171" t="str">
        <f t="shared" si="7"/>
        <v>46-55</v>
      </c>
      <c r="Z171" t="str">
        <f t="shared" si="8"/>
        <v>10+ Years</v>
      </c>
    </row>
    <row r="172" spans="1:26" x14ac:dyDescent="0.35">
      <c r="A172" t="s">
        <v>228</v>
      </c>
      <c r="B172">
        <v>32</v>
      </c>
      <c r="C172" t="s">
        <v>27</v>
      </c>
      <c r="D172" t="s">
        <v>52</v>
      </c>
      <c r="E172" t="s">
        <v>55</v>
      </c>
      <c r="F172" t="s">
        <v>78</v>
      </c>
      <c r="G172">
        <v>80486</v>
      </c>
      <c r="H172">
        <v>5</v>
      </c>
      <c r="I172">
        <v>9</v>
      </c>
      <c r="J172">
        <v>3</v>
      </c>
      <c r="K172">
        <v>2</v>
      </c>
      <c r="L172">
        <v>4</v>
      </c>
      <c r="M172">
        <v>2</v>
      </c>
      <c r="N172" t="s">
        <v>31</v>
      </c>
      <c r="O172" t="s">
        <v>32</v>
      </c>
      <c r="P172">
        <v>11</v>
      </c>
      <c r="Q172">
        <v>44</v>
      </c>
      <c r="R172">
        <v>3</v>
      </c>
      <c r="S172" t="s">
        <v>33</v>
      </c>
      <c r="T172">
        <v>3</v>
      </c>
      <c r="U172" t="s">
        <v>31</v>
      </c>
      <c r="V172" s="1">
        <v>40927</v>
      </c>
      <c r="X172" s="1" t="str">
        <f t="shared" si="6"/>
        <v>Active</v>
      </c>
      <c r="Y172" t="str">
        <f t="shared" si="7"/>
        <v>26-35</v>
      </c>
      <c r="Z172" t="str">
        <f t="shared" si="8"/>
        <v>4-5 Years</v>
      </c>
    </row>
    <row r="173" spans="1:26" x14ac:dyDescent="0.35">
      <c r="A173" t="s">
        <v>229</v>
      </c>
      <c r="B173">
        <v>23</v>
      </c>
      <c r="C173" t="s">
        <v>44</v>
      </c>
      <c r="D173" t="s">
        <v>49</v>
      </c>
      <c r="E173" t="s">
        <v>50</v>
      </c>
      <c r="F173" t="s">
        <v>41</v>
      </c>
      <c r="G173">
        <v>43039</v>
      </c>
      <c r="H173">
        <v>0</v>
      </c>
      <c r="I173">
        <v>1</v>
      </c>
      <c r="J173">
        <v>1</v>
      </c>
      <c r="K173">
        <v>3</v>
      </c>
      <c r="L173">
        <v>2</v>
      </c>
      <c r="M173">
        <v>2</v>
      </c>
      <c r="N173" t="s">
        <v>31</v>
      </c>
      <c r="O173" t="s">
        <v>32</v>
      </c>
      <c r="P173">
        <v>19</v>
      </c>
      <c r="Q173">
        <v>30</v>
      </c>
      <c r="R173">
        <v>3</v>
      </c>
      <c r="S173" t="s">
        <v>31</v>
      </c>
      <c r="T173">
        <v>6</v>
      </c>
      <c r="U173" t="s">
        <v>31</v>
      </c>
      <c r="V173" s="1">
        <v>42007</v>
      </c>
      <c r="X173" s="1" t="str">
        <f t="shared" si="6"/>
        <v>Active</v>
      </c>
      <c r="Y173" t="str">
        <f t="shared" si="7"/>
        <v>18-25</v>
      </c>
      <c r="Z173" t="str">
        <f t="shared" si="8"/>
        <v>0-1 Year</v>
      </c>
    </row>
    <row r="174" spans="1:26" x14ac:dyDescent="0.35">
      <c r="A174" t="s">
        <v>230</v>
      </c>
      <c r="B174">
        <v>42</v>
      </c>
      <c r="C174" t="s">
        <v>44</v>
      </c>
      <c r="D174" t="s">
        <v>35</v>
      </c>
      <c r="E174" t="s">
        <v>36</v>
      </c>
      <c r="F174" t="s">
        <v>61</v>
      </c>
      <c r="G174">
        <v>139917</v>
      </c>
      <c r="H174">
        <v>21</v>
      </c>
      <c r="I174">
        <v>21</v>
      </c>
      <c r="J174">
        <v>5</v>
      </c>
      <c r="K174">
        <v>3</v>
      </c>
      <c r="L174">
        <v>1</v>
      </c>
      <c r="M174">
        <v>4</v>
      </c>
      <c r="N174" t="s">
        <v>31</v>
      </c>
      <c r="O174" t="s">
        <v>32</v>
      </c>
      <c r="P174">
        <v>22</v>
      </c>
      <c r="Q174">
        <v>31</v>
      </c>
      <c r="R174">
        <v>3</v>
      </c>
      <c r="S174" t="s">
        <v>31</v>
      </c>
      <c r="T174">
        <v>4</v>
      </c>
      <c r="U174" t="s">
        <v>31</v>
      </c>
      <c r="V174" s="1">
        <v>41115</v>
      </c>
      <c r="X174" s="1" t="str">
        <f t="shared" si="6"/>
        <v>Active</v>
      </c>
      <c r="Y174" t="str">
        <f t="shared" si="7"/>
        <v>36-45</v>
      </c>
      <c r="Z174" t="str">
        <f t="shared" si="8"/>
        <v>10+ Years</v>
      </c>
    </row>
    <row r="175" spans="1:26" x14ac:dyDescent="0.35">
      <c r="A175" t="s">
        <v>231</v>
      </c>
      <c r="B175">
        <v>33</v>
      </c>
      <c r="C175" t="s">
        <v>27</v>
      </c>
      <c r="D175" t="s">
        <v>52</v>
      </c>
      <c r="E175" t="s">
        <v>55</v>
      </c>
      <c r="F175" t="s">
        <v>56</v>
      </c>
      <c r="G175">
        <v>101213</v>
      </c>
      <c r="H175">
        <v>7</v>
      </c>
      <c r="I175">
        <v>10</v>
      </c>
      <c r="J175">
        <v>4</v>
      </c>
      <c r="K175">
        <v>1</v>
      </c>
      <c r="L175">
        <v>1</v>
      </c>
      <c r="M175">
        <v>2</v>
      </c>
      <c r="N175" t="s">
        <v>33</v>
      </c>
      <c r="O175" t="s">
        <v>47</v>
      </c>
      <c r="P175">
        <v>26</v>
      </c>
      <c r="Q175">
        <v>20</v>
      </c>
      <c r="R175">
        <v>3</v>
      </c>
      <c r="S175" t="s">
        <v>31</v>
      </c>
      <c r="T175">
        <v>2</v>
      </c>
      <c r="U175" t="s">
        <v>31</v>
      </c>
      <c r="V175" s="1">
        <v>43296</v>
      </c>
      <c r="X175" s="1" t="str">
        <f t="shared" si="6"/>
        <v>Active</v>
      </c>
      <c r="Y175" t="str">
        <f t="shared" si="7"/>
        <v>26-35</v>
      </c>
      <c r="Z175" t="str">
        <f t="shared" si="8"/>
        <v>6-10 Years</v>
      </c>
    </row>
    <row r="176" spans="1:26" x14ac:dyDescent="0.35">
      <c r="A176" t="s">
        <v>232</v>
      </c>
      <c r="B176">
        <v>37</v>
      </c>
      <c r="C176" t="s">
        <v>44</v>
      </c>
      <c r="D176" t="s">
        <v>49</v>
      </c>
      <c r="E176" t="s">
        <v>50</v>
      </c>
      <c r="F176" t="s">
        <v>78</v>
      </c>
      <c r="G176">
        <v>125943</v>
      </c>
      <c r="H176">
        <v>14</v>
      </c>
      <c r="I176">
        <v>14</v>
      </c>
      <c r="J176">
        <v>5</v>
      </c>
      <c r="K176">
        <v>3</v>
      </c>
      <c r="L176">
        <v>1</v>
      </c>
      <c r="M176">
        <v>3</v>
      </c>
      <c r="N176" t="s">
        <v>31</v>
      </c>
      <c r="O176" t="s">
        <v>47</v>
      </c>
      <c r="P176">
        <v>20</v>
      </c>
      <c r="Q176">
        <v>46</v>
      </c>
      <c r="R176">
        <v>3</v>
      </c>
      <c r="S176" t="s">
        <v>33</v>
      </c>
      <c r="T176">
        <v>5</v>
      </c>
      <c r="U176" t="s">
        <v>31</v>
      </c>
      <c r="V176" s="1">
        <v>44765</v>
      </c>
      <c r="X176" s="1" t="str">
        <f t="shared" si="6"/>
        <v>Active</v>
      </c>
      <c r="Y176" t="str">
        <f t="shared" si="7"/>
        <v>36-45</v>
      </c>
      <c r="Z176" t="str">
        <f t="shared" si="8"/>
        <v>10+ Years</v>
      </c>
    </row>
    <row r="177" spans="1:26" x14ac:dyDescent="0.35">
      <c r="A177" t="s">
        <v>233</v>
      </c>
      <c r="B177">
        <v>51</v>
      </c>
      <c r="C177" t="s">
        <v>27</v>
      </c>
      <c r="D177" t="s">
        <v>45</v>
      </c>
      <c r="E177" t="s">
        <v>46</v>
      </c>
      <c r="F177" t="s">
        <v>30</v>
      </c>
      <c r="G177">
        <v>96617</v>
      </c>
      <c r="H177">
        <v>6</v>
      </c>
      <c r="I177">
        <v>29</v>
      </c>
      <c r="J177">
        <v>4</v>
      </c>
      <c r="K177">
        <v>2</v>
      </c>
      <c r="L177">
        <v>3</v>
      </c>
      <c r="M177">
        <v>4</v>
      </c>
      <c r="N177" t="s">
        <v>31</v>
      </c>
      <c r="O177" t="s">
        <v>32</v>
      </c>
      <c r="P177">
        <v>15</v>
      </c>
      <c r="Q177">
        <v>46</v>
      </c>
      <c r="R177">
        <v>2</v>
      </c>
      <c r="S177" t="s">
        <v>31</v>
      </c>
      <c r="T177">
        <v>3</v>
      </c>
      <c r="U177" t="s">
        <v>31</v>
      </c>
      <c r="V177" s="1">
        <v>41018</v>
      </c>
      <c r="X177" s="1" t="str">
        <f t="shared" si="6"/>
        <v>Active</v>
      </c>
      <c r="Y177" t="str">
        <f t="shared" si="7"/>
        <v>46-55</v>
      </c>
      <c r="Z177" t="str">
        <f t="shared" si="8"/>
        <v>6-10 Years</v>
      </c>
    </row>
    <row r="178" spans="1:26" x14ac:dyDescent="0.35">
      <c r="A178" t="s">
        <v>234</v>
      </c>
      <c r="B178">
        <v>29</v>
      </c>
      <c r="C178" t="s">
        <v>27</v>
      </c>
      <c r="D178" t="s">
        <v>52</v>
      </c>
      <c r="E178" t="s">
        <v>55</v>
      </c>
      <c r="F178" t="s">
        <v>41</v>
      </c>
      <c r="G178">
        <v>59036</v>
      </c>
      <c r="H178">
        <v>3</v>
      </c>
      <c r="I178">
        <v>8</v>
      </c>
      <c r="J178">
        <v>2</v>
      </c>
      <c r="K178">
        <v>4</v>
      </c>
      <c r="L178">
        <v>4</v>
      </c>
      <c r="M178">
        <v>1</v>
      </c>
      <c r="N178" t="s">
        <v>31</v>
      </c>
      <c r="O178" t="s">
        <v>42</v>
      </c>
      <c r="P178">
        <v>6</v>
      </c>
      <c r="Q178">
        <v>33</v>
      </c>
      <c r="R178">
        <v>3</v>
      </c>
      <c r="S178" t="s">
        <v>31</v>
      </c>
      <c r="T178">
        <v>2</v>
      </c>
      <c r="U178" t="s">
        <v>31</v>
      </c>
      <c r="V178" s="1">
        <v>42920</v>
      </c>
      <c r="X178" s="1" t="str">
        <f t="shared" si="6"/>
        <v>Active</v>
      </c>
      <c r="Y178" t="str">
        <f t="shared" si="7"/>
        <v>26-35</v>
      </c>
      <c r="Z178" t="str">
        <f t="shared" si="8"/>
        <v>2-3 Years</v>
      </c>
    </row>
    <row r="179" spans="1:26" x14ac:dyDescent="0.35">
      <c r="A179" t="s">
        <v>235</v>
      </c>
      <c r="B179">
        <v>53</v>
      </c>
      <c r="C179" t="s">
        <v>27</v>
      </c>
      <c r="D179" t="s">
        <v>45</v>
      </c>
      <c r="E179" t="s">
        <v>63</v>
      </c>
      <c r="F179" t="s">
        <v>56</v>
      </c>
      <c r="G179">
        <v>59183</v>
      </c>
      <c r="H179">
        <v>2</v>
      </c>
      <c r="I179">
        <v>29</v>
      </c>
      <c r="J179">
        <v>2</v>
      </c>
      <c r="K179">
        <v>4</v>
      </c>
      <c r="L179">
        <v>2</v>
      </c>
      <c r="M179">
        <v>3</v>
      </c>
      <c r="N179" t="s">
        <v>31</v>
      </c>
      <c r="O179" t="s">
        <v>32</v>
      </c>
      <c r="P179">
        <v>25</v>
      </c>
      <c r="Q179">
        <v>51</v>
      </c>
      <c r="R179">
        <v>2</v>
      </c>
      <c r="S179" t="s">
        <v>31</v>
      </c>
      <c r="T179">
        <v>4</v>
      </c>
      <c r="U179" t="s">
        <v>33</v>
      </c>
      <c r="V179" s="1">
        <v>43062</v>
      </c>
      <c r="W179" s="1">
        <v>43432</v>
      </c>
      <c r="X179" s="1" t="str">
        <f t="shared" si="6"/>
        <v>2018-11-28</v>
      </c>
      <c r="Y179" t="str">
        <f t="shared" si="7"/>
        <v>46-55</v>
      </c>
      <c r="Z179" t="str">
        <f t="shared" si="8"/>
        <v>2-3 Years</v>
      </c>
    </row>
    <row r="180" spans="1:26" x14ac:dyDescent="0.35">
      <c r="A180" t="s">
        <v>236</v>
      </c>
      <c r="B180">
        <v>36</v>
      </c>
      <c r="C180" t="s">
        <v>27</v>
      </c>
      <c r="D180" t="s">
        <v>28</v>
      </c>
      <c r="E180" t="s">
        <v>29</v>
      </c>
      <c r="F180" t="s">
        <v>61</v>
      </c>
      <c r="G180">
        <v>76802</v>
      </c>
      <c r="H180">
        <v>3</v>
      </c>
      <c r="I180">
        <v>12</v>
      </c>
      <c r="J180">
        <v>3</v>
      </c>
      <c r="K180">
        <v>1</v>
      </c>
      <c r="L180">
        <v>2</v>
      </c>
      <c r="M180">
        <v>1</v>
      </c>
      <c r="N180" t="s">
        <v>31</v>
      </c>
      <c r="O180" t="s">
        <v>32</v>
      </c>
      <c r="P180">
        <v>19</v>
      </c>
      <c r="Q180">
        <v>16</v>
      </c>
      <c r="R180">
        <v>3</v>
      </c>
      <c r="S180" t="s">
        <v>31</v>
      </c>
      <c r="T180">
        <v>4</v>
      </c>
      <c r="U180" t="s">
        <v>31</v>
      </c>
      <c r="V180" s="1">
        <v>43444</v>
      </c>
      <c r="X180" s="1" t="str">
        <f t="shared" si="6"/>
        <v>Active</v>
      </c>
      <c r="Y180" t="str">
        <f t="shared" si="7"/>
        <v>36-45</v>
      </c>
      <c r="Z180" t="str">
        <f t="shared" si="8"/>
        <v>2-3 Years</v>
      </c>
    </row>
    <row r="181" spans="1:26" x14ac:dyDescent="0.35">
      <c r="A181" t="s">
        <v>237</v>
      </c>
      <c r="B181">
        <v>34</v>
      </c>
      <c r="C181" t="s">
        <v>44</v>
      </c>
      <c r="D181" t="s">
        <v>35</v>
      </c>
      <c r="E181" t="s">
        <v>36</v>
      </c>
      <c r="F181" t="s">
        <v>56</v>
      </c>
      <c r="G181">
        <v>99881</v>
      </c>
      <c r="H181">
        <v>8</v>
      </c>
      <c r="I181">
        <v>11</v>
      </c>
      <c r="J181">
        <v>4</v>
      </c>
      <c r="K181">
        <v>2</v>
      </c>
      <c r="L181">
        <v>3</v>
      </c>
      <c r="M181">
        <v>2</v>
      </c>
      <c r="N181" t="s">
        <v>31</v>
      </c>
      <c r="O181" t="s">
        <v>32</v>
      </c>
      <c r="P181">
        <v>27</v>
      </c>
      <c r="Q181">
        <v>47</v>
      </c>
      <c r="R181">
        <v>3</v>
      </c>
      <c r="S181" t="s">
        <v>31</v>
      </c>
      <c r="T181">
        <v>8</v>
      </c>
      <c r="U181" t="s">
        <v>31</v>
      </c>
      <c r="V181" s="1">
        <v>42962</v>
      </c>
      <c r="X181" s="1" t="str">
        <f t="shared" si="6"/>
        <v>Active</v>
      </c>
      <c r="Y181" t="str">
        <f t="shared" si="7"/>
        <v>26-35</v>
      </c>
      <c r="Z181" t="str">
        <f t="shared" si="8"/>
        <v>6-10 Years</v>
      </c>
    </row>
    <row r="182" spans="1:26" x14ac:dyDescent="0.35">
      <c r="A182" t="s">
        <v>238</v>
      </c>
      <c r="B182">
        <v>35</v>
      </c>
      <c r="C182" t="s">
        <v>27</v>
      </c>
      <c r="D182" t="s">
        <v>39</v>
      </c>
      <c r="E182" t="s">
        <v>40</v>
      </c>
      <c r="F182" t="s">
        <v>37</v>
      </c>
      <c r="G182">
        <v>42918</v>
      </c>
      <c r="H182">
        <v>0</v>
      </c>
      <c r="I182">
        <v>11</v>
      </c>
      <c r="J182">
        <v>1</v>
      </c>
      <c r="K182">
        <v>1</v>
      </c>
      <c r="L182">
        <v>3</v>
      </c>
      <c r="M182">
        <v>1</v>
      </c>
      <c r="N182" t="s">
        <v>31</v>
      </c>
      <c r="O182" t="s">
        <v>32</v>
      </c>
      <c r="P182">
        <v>21</v>
      </c>
      <c r="Q182">
        <v>29</v>
      </c>
      <c r="R182">
        <v>3</v>
      </c>
      <c r="S182" t="s">
        <v>31</v>
      </c>
      <c r="T182">
        <v>2</v>
      </c>
      <c r="U182" t="s">
        <v>33</v>
      </c>
      <c r="V182" s="1">
        <v>41184</v>
      </c>
      <c r="W182" s="1">
        <v>41783</v>
      </c>
      <c r="X182" s="1" t="str">
        <f t="shared" si="6"/>
        <v>2014-05-24</v>
      </c>
      <c r="Y182" t="str">
        <f t="shared" si="7"/>
        <v>26-35</v>
      </c>
      <c r="Z182" t="str">
        <f t="shared" si="8"/>
        <v>0-1 Year</v>
      </c>
    </row>
    <row r="183" spans="1:26" x14ac:dyDescent="0.35">
      <c r="A183" t="s">
        <v>239</v>
      </c>
      <c r="B183">
        <v>34</v>
      </c>
      <c r="C183" t="s">
        <v>27</v>
      </c>
      <c r="D183" t="s">
        <v>52</v>
      </c>
      <c r="E183" t="s">
        <v>53</v>
      </c>
      <c r="F183" t="s">
        <v>61</v>
      </c>
      <c r="G183">
        <v>55129</v>
      </c>
      <c r="H183">
        <v>0</v>
      </c>
      <c r="I183">
        <v>11</v>
      </c>
      <c r="J183">
        <v>2</v>
      </c>
      <c r="K183">
        <v>4</v>
      </c>
      <c r="L183">
        <v>2</v>
      </c>
      <c r="M183">
        <v>3</v>
      </c>
      <c r="N183" t="s">
        <v>33</v>
      </c>
      <c r="O183" t="s">
        <v>32</v>
      </c>
      <c r="P183">
        <v>26</v>
      </c>
      <c r="Q183">
        <v>56</v>
      </c>
      <c r="R183">
        <v>2</v>
      </c>
      <c r="S183" t="s">
        <v>31</v>
      </c>
      <c r="T183">
        <v>6</v>
      </c>
      <c r="U183" t="s">
        <v>31</v>
      </c>
      <c r="V183" s="1">
        <v>41779</v>
      </c>
      <c r="X183" s="1" t="str">
        <f t="shared" si="6"/>
        <v>Active</v>
      </c>
      <c r="Y183" t="str">
        <f t="shared" si="7"/>
        <v>26-35</v>
      </c>
      <c r="Z183" t="str">
        <f t="shared" si="8"/>
        <v>0-1 Year</v>
      </c>
    </row>
    <row r="184" spans="1:26" x14ac:dyDescent="0.35">
      <c r="A184" t="s">
        <v>240</v>
      </c>
      <c r="B184">
        <v>34</v>
      </c>
      <c r="C184" t="s">
        <v>44</v>
      </c>
      <c r="D184" t="s">
        <v>28</v>
      </c>
      <c r="E184" t="s">
        <v>66</v>
      </c>
      <c r="F184" t="s">
        <v>56</v>
      </c>
      <c r="G184">
        <v>127100</v>
      </c>
      <c r="H184">
        <v>12</v>
      </c>
      <c r="I184">
        <v>12</v>
      </c>
      <c r="J184">
        <v>5</v>
      </c>
      <c r="K184">
        <v>2</v>
      </c>
      <c r="L184">
        <v>1</v>
      </c>
      <c r="M184">
        <v>4</v>
      </c>
      <c r="N184" t="s">
        <v>31</v>
      </c>
      <c r="O184" t="s">
        <v>32</v>
      </c>
      <c r="P184">
        <v>9</v>
      </c>
      <c r="Q184">
        <v>19</v>
      </c>
      <c r="R184">
        <v>3</v>
      </c>
      <c r="S184" t="s">
        <v>33</v>
      </c>
      <c r="T184">
        <v>8</v>
      </c>
      <c r="U184" t="s">
        <v>31</v>
      </c>
      <c r="V184" s="1">
        <v>42413</v>
      </c>
      <c r="X184" s="1" t="str">
        <f t="shared" si="6"/>
        <v>Active</v>
      </c>
      <c r="Y184" t="str">
        <f t="shared" si="7"/>
        <v>26-35</v>
      </c>
      <c r="Z184" t="str">
        <f t="shared" si="8"/>
        <v>10+ Years</v>
      </c>
    </row>
    <row r="185" spans="1:26" x14ac:dyDescent="0.35">
      <c r="A185" t="s">
        <v>241</v>
      </c>
      <c r="B185">
        <v>35</v>
      </c>
      <c r="C185" t="s">
        <v>44</v>
      </c>
      <c r="D185" t="s">
        <v>49</v>
      </c>
      <c r="E185" t="s">
        <v>68</v>
      </c>
      <c r="F185" t="s">
        <v>41</v>
      </c>
      <c r="G185">
        <v>120113</v>
      </c>
      <c r="H185">
        <v>10</v>
      </c>
      <c r="I185">
        <v>14</v>
      </c>
      <c r="J185">
        <v>5</v>
      </c>
      <c r="K185">
        <v>2</v>
      </c>
      <c r="L185">
        <v>3</v>
      </c>
      <c r="M185">
        <v>3</v>
      </c>
      <c r="N185" t="s">
        <v>31</v>
      </c>
      <c r="O185" t="s">
        <v>32</v>
      </c>
      <c r="P185">
        <v>26</v>
      </c>
      <c r="Q185">
        <v>38</v>
      </c>
      <c r="R185">
        <v>3</v>
      </c>
      <c r="S185" t="s">
        <v>33</v>
      </c>
      <c r="T185">
        <v>6</v>
      </c>
      <c r="U185" t="s">
        <v>31</v>
      </c>
      <c r="V185" s="1">
        <v>43095</v>
      </c>
      <c r="X185" s="1" t="str">
        <f t="shared" si="6"/>
        <v>Active</v>
      </c>
      <c r="Y185" t="str">
        <f t="shared" si="7"/>
        <v>26-35</v>
      </c>
      <c r="Z185" t="str">
        <f t="shared" si="8"/>
        <v>6-10 Years</v>
      </c>
    </row>
    <row r="186" spans="1:26" x14ac:dyDescent="0.35">
      <c r="A186" t="s">
        <v>242</v>
      </c>
      <c r="B186">
        <v>45</v>
      </c>
      <c r="C186" t="s">
        <v>27</v>
      </c>
      <c r="D186" t="s">
        <v>49</v>
      </c>
      <c r="E186" t="s">
        <v>68</v>
      </c>
      <c r="F186" t="s">
        <v>37</v>
      </c>
      <c r="G186">
        <v>132218</v>
      </c>
      <c r="H186">
        <v>16</v>
      </c>
      <c r="I186">
        <v>22</v>
      </c>
      <c r="J186">
        <v>5</v>
      </c>
      <c r="K186">
        <v>4</v>
      </c>
      <c r="L186">
        <v>2</v>
      </c>
      <c r="M186">
        <v>4</v>
      </c>
      <c r="N186" t="s">
        <v>31</v>
      </c>
      <c r="O186" t="s">
        <v>42</v>
      </c>
      <c r="P186">
        <v>4</v>
      </c>
      <c r="Q186">
        <v>31</v>
      </c>
      <c r="R186">
        <v>3</v>
      </c>
      <c r="S186" t="s">
        <v>31</v>
      </c>
      <c r="T186">
        <v>2</v>
      </c>
      <c r="U186" t="s">
        <v>31</v>
      </c>
      <c r="V186" s="1">
        <v>44085</v>
      </c>
      <c r="X186" s="1" t="str">
        <f t="shared" si="6"/>
        <v>Active</v>
      </c>
      <c r="Y186" t="str">
        <f t="shared" si="7"/>
        <v>36-45</v>
      </c>
      <c r="Z186" t="str">
        <f t="shared" si="8"/>
        <v>10+ Years</v>
      </c>
    </row>
    <row r="187" spans="1:26" x14ac:dyDescent="0.35">
      <c r="A187" t="s">
        <v>243</v>
      </c>
      <c r="B187">
        <v>57</v>
      </c>
      <c r="C187" t="s">
        <v>44</v>
      </c>
      <c r="D187" t="s">
        <v>45</v>
      </c>
      <c r="E187" t="s">
        <v>46</v>
      </c>
      <c r="F187" t="s">
        <v>30</v>
      </c>
      <c r="G187">
        <v>152961</v>
      </c>
      <c r="H187">
        <v>27</v>
      </c>
      <c r="I187">
        <v>33</v>
      </c>
      <c r="J187">
        <v>5</v>
      </c>
      <c r="K187">
        <v>2</v>
      </c>
      <c r="L187">
        <v>4</v>
      </c>
      <c r="M187">
        <v>4</v>
      </c>
      <c r="N187" t="s">
        <v>31</v>
      </c>
      <c r="O187" t="s">
        <v>47</v>
      </c>
      <c r="P187">
        <v>18</v>
      </c>
      <c r="Q187">
        <v>13</v>
      </c>
      <c r="R187">
        <v>3</v>
      </c>
      <c r="S187" t="s">
        <v>31</v>
      </c>
      <c r="T187">
        <v>4</v>
      </c>
      <c r="U187" t="s">
        <v>31</v>
      </c>
      <c r="V187" s="1">
        <v>42182</v>
      </c>
      <c r="X187" s="1" t="str">
        <f t="shared" si="6"/>
        <v>Active</v>
      </c>
      <c r="Y187" t="str">
        <f t="shared" si="7"/>
        <v>56+</v>
      </c>
      <c r="Z187" t="str">
        <f t="shared" si="8"/>
        <v>10+ Years</v>
      </c>
    </row>
    <row r="188" spans="1:26" x14ac:dyDescent="0.35">
      <c r="A188" t="s">
        <v>244</v>
      </c>
      <c r="B188">
        <v>45</v>
      </c>
      <c r="C188" t="s">
        <v>27</v>
      </c>
      <c r="D188" t="s">
        <v>39</v>
      </c>
      <c r="E188" t="s">
        <v>74</v>
      </c>
      <c r="F188" t="s">
        <v>30</v>
      </c>
      <c r="G188">
        <v>103378</v>
      </c>
      <c r="H188">
        <v>7</v>
      </c>
      <c r="I188">
        <v>21</v>
      </c>
      <c r="J188">
        <v>4</v>
      </c>
      <c r="K188">
        <v>3</v>
      </c>
      <c r="L188">
        <v>4</v>
      </c>
      <c r="M188">
        <v>1</v>
      </c>
      <c r="N188" t="s">
        <v>31</v>
      </c>
      <c r="O188" t="s">
        <v>42</v>
      </c>
      <c r="P188">
        <v>3</v>
      </c>
      <c r="Q188">
        <v>21</v>
      </c>
      <c r="R188">
        <v>2</v>
      </c>
      <c r="S188" t="s">
        <v>33</v>
      </c>
      <c r="T188">
        <v>6</v>
      </c>
      <c r="U188" t="s">
        <v>31</v>
      </c>
      <c r="V188" s="1">
        <v>42178</v>
      </c>
      <c r="X188" s="1" t="str">
        <f t="shared" si="6"/>
        <v>Active</v>
      </c>
      <c r="Y188" t="str">
        <f t="shared" si="7"/>
        <v>36-45</v>
      </c>
      <c r="Z188" t="str">
        <f t="shared" si="8"/>
        <v>6-10 Years</v>
      </c>
    </row>
    <row r="189" spans="1:26" x14ac:dyDescent="0.35">
      <c r="A189" t="s">
        <v>245</v>
      </c>
      <c r="B189">
        <v>46</v>
      </c>
      <c r="C189" t="s">
        <v>44</v>
      </c>
      <c r="D189" t="s">
        <v>49</v>
      </c>
      <c r="E189" t="s">
        <v>68</v>
      </c>
      <c r="F189" t="s">
        <v>78</v>
      </c>
      <c r="G189">
        <v>135627</v>
      </c>
      <c r="H189">
        <v>19</v>
      </c>
      <c r="I189">
        <v>25</v>
      </c>
      <c r="J189">
        <v>5</v>
      </c>
      <c r="K189">
        <v>2</v>
      </c>
      <c r="L189">
        <v>1</v>
      </c>
      <c r="M189">
        <v>2</v>
      </c>
      <c r="N189" t="s">
        <v>33</v>
      </c>
      <c r="O189" t="s">
        <v>32</v>
      </c>
      <c r="P189">
        <v>26</v>
      </c>
      <c r="Q189">
        <v>55</v>
      </c>
      <c r="R189">
        <v>3</v>
      </c>
      <c r="S189" t="s">
        <v>31</v>
      </c>
      <c r="T189">
        <v>3</v>
      </c>
      <c r="U189" t="s">
        <v>33</v>
      </c>
      <c r="V189" s="1">
        <v>42235</v>
      </c>
      <c r="W189" s="1">
        <v>42805</v>
      </c>
      <c r="X189" s="1" t="str">
        <f t="shared" si="6"/>
        <v>2017-03-11</v>
      </c>
      <c r="Y189" t="str">
        <f t="shared" si="7"/>
        <v>46-55</v>
      </c>
      <c r="Z189" t="str">
        <f t="shared" si="8"/>
        <v>10+ Years</v>
      </c>
    </row>
    <row r="190" spans="1:26" x14ac:dyDescent="0.35">
      <c r="A190" t="s">
        <v>246</v>
      </c>
      <c r="B190">
        <v>25</v>
      </c>
      <c r="C190" t="s">
        <v>44</v>
      </c>
      <c r="D190" t="s">
        <v>28</v>
      </c>
      <c r="E190" t="s">
        <v>66</v>
      </c>
      <c r="F190" t="s">
        <v>37</v>
      </c>
      <c r="G190">
        <v>58191</v>
      </c>
      <c r="H190">
        <v>3</v>
      </c>
      <c r="I190">
        <v>3</v>
      </c>
      <c r="J190">
        <v>2</v>
      </c>
      <c r="K190">
        <v>3</v>
      </c>
      <c r="L190">
        <v>4</v>
      </c>
      <c r="M190">
        <v>2</v>
      </c>
      <c r="N190" t="s">
        <v>31</v>
      </c>
      <c r="O190" t="s">
        <v>32</v>
      </c>
      <c r="P190">
        <v>11</v>
      </c>
      <c r="Q190">
        <v>14</v>
      </c>
      <c r="R190">
        <v>3</v>
      </c>
      <c r="S190" t="s">
        <v>31</v>
      </c>
      <c r="T190">
        <v>2</v>
      </c>
      <c r="U190" t="s">
        <v>31</v>
      </c>
      <c r="V190" s="1">
        <v>44841</v>
      </c>
      <c r="X190" s="1" t="str">
        <f t="shared" si="6"/>
        <v>Active</v>
      </c>
      <c r="Y190" t="str">
        <f t="shared" si="7"/>
        <v>18-25</v>
      </c>
      <c r="Z190" t="str">
        <f t="shared" si="8"/>
        <v>2-3 Years</v>
      </c>
    </row>
    <row r="191" spans="1:26" x14ac:dyDescent="0.35">
      <c r="A191" t="s">
        <v>247</v>
      </c>
      <c r="B191">
        <v>26</v>
      </c>
      <c r="C191" t="s">
        <v>27</v>
      </c>
      <c r="D191" t="s">
        <v>39</v>
      </c>
      <c r="E191" t="s">
        <v>74</v>
      </c>
      <c r="F191" t="s">
        <v>41</v>
      </c>
      <c r="G191">
        <v>41011</v>
      </c>
      <c r="H191">
        <v>1</v>
      </c>
      <c r="I191">
        <v>3</v>
      </c>
      <c r="J191">
        <v>1</v>
      </c>
      <c r="K191">
        <v>4</v>
      </c>
      <c r="L191">
        <v>4</v>
      </c>
      <c r="M191">
        <v>3</v>
      </c>
      <c r="N191" t="s">
        <v>31</v>
      </c>
      <c r="O191" t="s">
        <v>32</v>
      </c>
      <c r="P191">
        <v>29</v>
      </c>
      <c r="Q191">
        <v>37</v>
      </c>
      <c r="R191">
        <v>3</v>
      </c>
      <c r="S191" t="s">
        <v>31</v>
      </c>
      <c r="T191">
        <v>5</v>
      </c>
      <c r="U191" t="s">
        <v>31</v>
      </c>
      <c r="V191" s="1">
        <v>42520</v>
      </c>
      <c r="X191" s="1" t="str">
        <f t="shared" si="6"/>
        <v>Active</v>
      </c>
      <c r="Y191" t="str">
        <f t="shared" si="7"/>
        <v>26-35</v>
      </c>
      <c r="Z191" t="str">
        <f t="shared" si="8"/>
        <v>0-1 Year</v>
      </c>
    </row>
    <row r="192" spans="1:26" x14ac:dyDescent="0.35">
      <c r="A192" t="s">
        <v>248</v>
      </c>
      <c r="B192">
        <v>22</v>
      </c>
      <c r="C192" t="s">
        <v>27</v>
      </c>
      <c r="D192" t="s">
        <v>28</v>
      </c>
      <c r="E192" t="s">
        <v>29</v>
      </c>
      <c r="F192" t="s">
        <v>61</v>
      </c>
      <c r="G192">
        <v>44657</v>
      </c>
      <c r="H192">
        <v>0</v>
      </c>
      <c r="I192">
        <v>1</v>
      </c>
      <c r="J192">
        <v>1</v>
      </c>
      <c r="K192">
        <v>2</v>
      </c>
      <c r="L192">
        <v>2</v>
      </c>
      <c r="M192">
        <v>1</v>
      </c>
      <c r="N192" t="s">
        <v>33</v>
      </c>
      <c r="O192" t="s">
        <v>42</v>
      </c>
      <c r="P192">
        <v>16</v>
      </c>
      <c r="Q192">
        <v>17</v>
      </c>
      <c r="R192">
        <v>3</v>
      </c>
      <c r="S192" t="s">
        <v>31</v>
      </c>
      <c r="T192">
        <v>2</v>
      </c>
      <c r="U192" t="s">
        <v>31</v>
      </c>
      <c r="V192" s="1">
        <v>41074</v>
      </c>
      <c r="X192" s="1" t="str">
        <f t="shared" si="6"/>
        <v>Active</v>
      </c>
      <c r="Y192" t="str">
        <f t="shared" si="7"/>
        <v>18-25</v>
      </c>
      <c r="Z192" t="str">
        <f t="shared" si="8"/>
        <v>0-1 Year</v>
      </c>
    </row>
    <row r="193" spans="1:26" x14ac:dyDescent="0.35">
      <c r="A193" t="s">
        <v>249</v>
      </c>
      <c r="B193">
        <v>38</v>
      </c>
      <c r="C193" t="s">
        <v>27</v>
      </c>
      <c r="D193" t="s">
        <v>28</v>
      </c>
      <c r="E193" t="s">
        <v>66</v>
      </c>
      <c r="F193" t="s">
        <v>37</v>
      </c>
      <c r="G193">
        <v>123071</v>
      </c>
      <c r="H193">
        <v>13</v>
      </c>
      <c r="I193">
        <v>16</v>
      </c>
      <c r="J193">
        <v>5</v>
      </c>
      <c r="K193">
        <v>1</v>
      </c>
      <c r="L193">
        <v>3</v>
      </c>
      <c r="M193">
        <v>2</v>
      </c>
      <c r="N193" t="s">
        <v>31</v>
      </c>
      <c r="O193" t="s">
        <v>32</v>
      </c>
      <c r="P193">
        <v>24</v>
      </c>
      <c r="Q193">
        <v>44</v>
      </c>
      <c r="R193">
        <v>3</v>
      </c>
      <c r="S193" t="s">
        <v>31</v>
      </c>
      <c r="T193">
        <v>5</v>
      </c>
      <c r="U193" t="s">
        <v>31</v>
      </c>
      <c r="V193" s="1">
        <v>43527</v>
      </c>
      <c r="X193" s="1" t="str">
        <f t="shared" si="6"/>
        <v>Active</v>
      </c>
      <c r="Y193" t="str">
        <f t="shared" si="7"/>
        <v>36-45</v>
      </c>
      <c r="Z193" t="str">
        <f t="shared" si="8"/>
        <v>10+ Years</v>
      </c>
    </row>
    <row r="194" spans="1:26" x14ac:dyDescent="0.35">
      <c r="A194" t="s">
        <v>250</v>
      </c>
      <c r="B194">
        <v>39</v>
      </c>
      <c r="C194" t="s">
        <v>27</v>
      </c>
      <c r="D194" t="s">
        <v>35</v>
      </c>
      <c r="E194" t="s">
        <v>85</v>
      </c>
      <c r="F194" t="s">
        <v>56</v>
      </c>
      <c r="G194">
        <v>98651</v>
      </c>
      <c r="H194">
        <v>6</v>
      </c>
      <c r="I194">
        <v>18</v>
      </c>
      <c r="J194">
        <v>4</v>
      </c>
      <c r="K194">
        <v>3</v>
      </c>
      <c r="L194">
        <v>3</v>
      </c>
      <c r="M194">
        <v>3</v>
      </c>
      <c r="N194" t="s">
        <v>33</v>
      </c>
      <c r="O194" t="s">
        <v>32</v>
      </c>
      <c r="P194">
        <v>3</v>
      </c>
      <c r="Q194">
        <v>28</v>
      </c>
      <c r="R194">
        <v>3</v>
      </c>
      <c r="S194" t="s">
        <v>31</v>
      </c>
      <c r="T194">
        <v>4</v>
      </c>
      <c r="U194" t="s">
        <v>33</v>
      </c>
      <c r="V194" s="1">
        <v>41982</v>
      </c>
      <c r="W194" s="1">
        <v>42146</v>
      </c>
      <c r="X194" s="1" t="str">
        <f t="shared" si="6"/>
        <v>2015-05-22</v>
      </c>
      <c r="Y194" t="str">
        <f t="shared" si="7"/>
        <v>36-45</v>
      </c>
      <c r="Z194" t="str">
        <f t="shared" si="8"/>
        <v>6-10 Years</v>
      </c>
    </row>
    <row r="195" spans="1:26" x14ac:dyDescent="0.35">
      <c r="A195" t="s">
        <v>251</v>
      </c>
      <c r="B195">
        <v>56</v>
      </c>
      <c r="C195" t="s">
        <v>27</v>
      </c>
      <c r="D195" t="s">
        <v>28</v>
      </c>
      <c r="E195" t="s">
        <v>66</v>
      </c>
      <c r="F195" t="s">
        <v>30</v>
      </c>
      <c r="G195">
        <v>130023</v>
      </c>
      <c r="H195">
        <v>13</v>
      </c>
      <c r="I195">
        <v>32</v>
      </c>
      <c r="J195">
        <v>5</v>
      </c>
      <c r="K195">
        <v>3</v>
      </c>
      <c r="L195">
        <v>3</v>
      </c>
      <c r="M195">
        <v>2</v>
      </c>
      <c r="N195" t="s">
        <v>33</v>
      </c>
      <c r="O195" t="s">
        <v>42</v>
      </c>
      <c r="P195">
        <v>4</v>
      </c>
      <c r="Q195">
        <v>54</v>
      </c>
      <c r="R195">
        <v>3</v>
      </c>
      <c r="S195" t="s">
        <v>31</v>
      </c>
      <c r="T195">
        <v>5</v>
      </c>
      <c r="U195" t="s">
        <v>31</v>
      </c>
      <c r="V195" s="1">
        <v>41870</v>
      </c>
      <c r="X195" s="1" t="str">
        <f t="shared" ref="X195:X258" si="9">IF(ISBLANK(W195), "Active", TEXT(W195, "yyyy-mm-dd"))</f>
        <v>Active</v>
      </c>
      <c r="Y195" t="str">
        <f t="shared" ref="Y195:Y258" si="10">_xlfn.IFS(B195&lt;=25, "18-25", B195&lt;=35, "26-35", B195&lt;=45, "36-45", B195&lt;=55, "46-55", B195&gt;55, "56+")</f>
        <v>56+</v>
      </c>
      <c r="Z195" t="str">
        <f t="shared" ref="Z195:Z258" si="11">_xlfn.IFS(H195&lt;=1, "0-1 Year", H195&lt;=3, "2-3 Years", H195&lt;=5, "4-5 Years", H195&lt;=10, "6-10 Years", H195&gt;10, "10+ Years")</f>
        <v>10+ Years</v>
      </c>
    </row>
    <row r="196" spans="1:26" x14ac:dyDescent="0.35">
      <c r="A196" t="s">
        <v>252</v>
      </c>
      <c r="B196">
        <v>29</v>
      </c>
      <c r="C196" t="s">
        <v>27</v>
      </c>
      <c r="D196" t="s">
        <v>52</v>
      </c>
      <c r="E196" t="s">
        <v>53</v>
      </c>
      <c r="F196" t="s">
        <v>30</v>
      </c>
      <c r="G196">
        <v>102066</v>
      </c>
      <c r="H196">
        <v>8</v>
      </c>
      <c r="I196">
        <v>8</v>
      </c>
      <c r="J196">
        <v>4</v>
      </c>
      <c r="K196">
        <v>2</v>
      </c>
      <c r="L196">
        <v>2</v>
      </c>
      <c r="M196">
        <v>2</v>
      </c>
      <c r="N196" t="s">
        <v>31</v>
      </c>
      <c r="O196" t="s">
        <v>32</v>
      </c>
      <c r="P196">
        <v>28</v>
      </c>
      <c r="Q196">
        <v>43</v>
      </c>
      <c r="R196">
        <v>3</v>
      </c>
      <c r="S196" t="s">
        <v>33</v>
      </c>
      <c r="T196">
        <v>7</v>
      </c>
      <c r="U196" t="s">
        <v>33</v>
      </c>
      <c r="V196" s="1">
        <v>42356</v>
      </c>
      <c r="W196" s="1">
        <v>43345</v>
      </c>
      <c r="X196" s="1" t="str">
        <f t="shared" si="9"/>
        <v>2018-09-02</v>
      </c>
      <c r="Y196" t="str">
        <f t="shared" si="10"/>
        <v>26-35</v>
      </c>
      <c r="Z196" t="str">
        <f t="shared" si="11"/>
        <v>6-10 Years</v>
      </c>
    </row>
    <row r="197" spans="1:26" x14ac:dyDescent="0.35">
      <c r="A197" t="s">
        <v>253</v>
      </c>
      <c r="B197">
        <v>53</v>
      </c>
      <c r="C197" t="s">
        <v>27</v>
      </c>
      <c r="D197" t="s">
        <v>39</v>
      </c>
      <c r="E197" t="s">
        <v>59</v>
      </c>
      <c r="F197" t="s">
        <v>37</v>
      </c>
      <c r="G197">
        <v>59722</v>
      </c>
      <c r="H197">
        <v>2</v>
      </c>
      <c r="I197">
        <v>30</v>
      </c>
      <c r="J197">
        <v>2</v>
      </c>
      <c r="K197">
        <v>3</v>
      </c>
      <c r="L197">
        <v>1</v>
      </c>
      <c r="M197">
        <v>4</v>
      </c>
      <c r="N197" t="s">
        <v>31</v>
      </c>
      <c r="O197" t="s">
        <v>42</v>
      </c>
      <c r="P197">
        <v>5</v>
      </c>
      <c r="Q197">
        <v>41</v>
      </c>
      <c r="R197">
        <v>4</v>
      </c>
      <c r="S197" t="s">
        <v>31</v>
      </c>
      <c r="T197">
        <v>7</v>
      </c>
      <c r="U197" t="s">
        <v>31</v>
      </c>
      <c r="V197" s="1">
        <v>41507</v>
      </c>
      <c r="X197" s="1" t="str">
        <f t="shared" si="9"/>
        <v>Active</v>
      </c>
      <c r="Y197" t="str">
        <f t="shared" si="10"/>
        <v>46-55</v>
      </c>
      <c r="Z197" t="str">
        <f t="shared" si="11"/>
        <v>2-3 Years</v>
      </c>
    </row>
    <row r="198" spans="1:26" x14ac:dyDescent="0.35">
      <c r="A198" t="s">
        <v>254</v>
      </c>
      <c r="B198">
        <v>35</v>
      </c>
      <c r="C198" t="s">
        <v>44</v>
      </c>
      <c r="D198" t="s">
        <v>35</v>
      </c>
      <c r="E198" t="s">
        <v>36</v>
      </c>
      <c r="F198" t="s">
        <v>61</v>
      </c>
      <c r="G198">
        <v>95106</v>
      </c>
      <c r="H198">
        <v>6</v>
      </c>
      <c r="I198">
        <v>14</v>
      </c>
      <c r="J198">
        <v>4</v>
      </c>
      <c r="K198">
        <v>1</v>
      </c>
      <c r="L198">
        <v>3</v>
      </c>
      <c r="M198">
        <v>1</v>
      </c>
      <c r="N198" t="s">
        <v>31</v>
      </c>
      <c r="O198" t="s">
        <v>32</v>
      </c>
      <c r="P198">
        <v>28</v>
      </c>
      <c r="Q198">
        <v>43</v>
      </c>
      <c r="R198">
        <v>3</v>
      </c>
      <c r="S198" t="s">
        <v>31</v>
      </c>
      <c r="T198">
        <v>5</v>
      </c>
      <c r="U198" t="s">
        <v>31</v>
      </c>
      <c r="V198" s="1">
        <v>42266</v>
      </c>
      <c r="X198" s="1" t="str">
        <f t="shared" si="9"/>
        <v>Active</v>
      </c>
      <c r="Y198" t="str">
        <f t="shared" si="10"/>
        <v>26-35</v>
      </c>
      <c r="Z198" t="str">
        <f t="shared" si="11"/>
        <v>6-10 Years</v>
      </c>
    </row>
    <row r="199" spans="1:26" x14ac:dyDescent="0.35">
      <c r="A199" t="s">
        <v>255</v>
      </c>
      <c r="B199">
        <v>56</v>
      </c>
      <c r="C199" t="s">
        <v>44</v>
      </c>
      <c r="D199" t="s">
        <v>39</v>
      </c>
      <c r="E199" t="s">
        <v>59</v>
      </c>
      <c r="F199" t="s">
        <v>37</v>
      </c>
      <c r="G199">
        <v>108548</v>
      </c>
      <c r="H199">
        <v>10</v>
      </c>
      <c r="I199">
        <v>33</v>
      </c>
      <c r="J199">
        <v>4</v>
      </c>
      <c r="K199">
        <v>2</v>
      </c>
      <c r="L199">
        <v>1</v>
      </c>
      <c r="M199">
        <v>3</v>
      </c>
      <c r="N199" t="s">
        <v>33</v>
      </c>
      <c r="O199" t="s">
        <v>42</v>
      </c>
      <c r="P199">
        <v>12</v>
      </c>
      <c r="Q199">
        <v>51</v>
      </c>
      <c r="R199">
        <v>2</v>
      </c>
      <c r="S199" t="s">
        <v>33</v>
      </c>
      <c r="T199">
        <v>2</v>
      </c>
      <c r="U199" t="s">
        <v>33</v>
      </c>
      <c r="V199" s="1">
        <v>41095</v>
      </c>
      <c r="W199" s="1">
        <v>42052</v>
      </c>
      <c r="X199" s="1" t="str">
        <f t="shared" si="9"/>
        <v>2015-02-17</v>
      </c>
      <c r="Y199" t="str">
        <f t="shared" si="10"/>
        <v>56+</v>
      </c>
      <c r="Z199" t="str">
        <f t="shared" si="11"/>
        <v>6-10 Years</v>
      </c>
    </row>
    <row r="200" spans="1:26" x14ac:dyDescent="0.35">
      <c r="A200" t="s">
        <v>256</v>
      </c>
      <c r="B200">
        <v>37</v>
      </c>
      <c r="C200" t="s">
        <v>27</v>
      </c>
      <c r="D200" t="s">
        <v>52</v>
      </c>
      <c r="E200" t="s">
        <v>53</v>
      </c>
      <c r="F200" t="s">
        <v>30</v>
      </c>
      <c r="G200">
        <v>110019</v>
      </c>
      <c r="H200">
        <v>11</v>
      </c>
      <c r="I200">
        <v>13</v>
      </c>
      <c r="J200">
        <v>4</v>
      </c>
      <c r="K200">
        <v>3</v>
      </c>
      <c r="L200">
        <v>2</v>
      </c>
      <c r="M200">
        <v>2</v>
      </c>
      <c r="N200" t="s">
        <v>31</v>
      </c>
      <c r="O200" t="s">
        <v>32</v>
      </c>
      <c r="P200">
        <v>8</v>
      </c>
      <c r="Q200">
        <v>16</v>
      </c>
      <c r="R200">
        <v>2</v>
      </c>
      <c r="S200" t="s">
        <v>31</v>
      </c>
      <c r="T200">
        <v>3</v>
      </c>
      <c r="U200" t="s">
        <v>31</v>
      </c>
      <c r="V200" s="1">
        <v>45257</v>
      </c>
      <c r="X200" s="1" t="str">
        <f t="shared" si="9"/>
        <v>Active</v>
      </c>
      <c r="Y200" t="str">
        <f t="shared" si="10"/>
        <v>36-45</v>
      </c>
      <c r="Z200" t="str">
        <f t="shared" si="11"/>
        <v>10+ Years</v>
      </c>
    </row>
    <row r="201" spans="1:26" x14ac:dyDescent="0.35">
      <c r="A201" t="s">
        <v>257</v>
      </c>
      <c r="B201">
        <v>38</v>
      </c>
      <c r="C201" t="s">
        <v>27</v>
      </c>
      <c r="D201" t="s">
        <v>28</v>
      </c>
      <c r="E201" t="s">
        <v>66</v>
      </c>
      <c r="F201" t="s">
        <v>78</v>
      </c>
      <c r="G201">
        <v>129843</v>
      </c>
      <c r="H201">
        <v>15</v>
      </c>
      <c r="I201">
        <v>16</v>
      </c>
      <c r="J201">
        <v>5</v>
      </c>
      <c r="K201">
        <v>2</v>
      </c>
      <c r="L201">
        <v>1</v>
      </c>
      <c r="M201">
        <v>3</v>
      </c>
      <c r="N201" t="s">
        <v>33</v>
      </c>
      <c r="O201" t="s">
        <v>32</v>
      </c>
      <c r="P201">
        <v>10</v>
      </c>
      <c r="Q201">
        <v>16</v>
      </c>
      <c r="R201">
        <v>4</v>
      </c>
      <c r="S201" t="s">
        <v>31</v>
      </c>
      <c r="T201">
        <v>5</v>
      </c>
      <c r="U201" t="s">
        <v>31</v>
      </c>
      <c r="V201" s="1">
        <v>45068</v>
      </c>
      <c r="X201" s="1" t="str">
        <f t="shared" si="9"/>
        <v>Active</v>
      </c>
      <c r="Y201" t="str">
        <f t="shared" si="10"/>
        <v>36-45</v>
      </c>
      <c r="Z201" t="str">
        <f t="shared" si="11"/>
        <v>10+ Years</v>
      </c>
    </row>
    <row r="202" spans="1:26" x14ac:dyDescent="0.35">
      <c r="A202" t="s">
        <v>258</v>
      </c>
      <c r="B202">
        <v>58</v>
      </c>
      <c r="C202" t="s">
        <v>44</v>
      </c>
      <c r="D202" t="s">
        <v>52</v>
      </c>
      <c r="E202" t="s">
        <v>53</v>
      </c>
      <c r="F202" t="s">
        <v>41</v>
      </c>
      <c r="G202">
        <v>63187</v>
      </c>
      <c r="H202">
        <v>5</v>
      </c>
      <c r="I202">
        <v>37</v>
      </c>
      <c r="J202">
        <v>2</v>
      </c>
      <c r="K202">
        <v>2</v>
      </c>
      <c r="L202">
        <v>2</v>
      </c>
      <c r="M202">
        <v>4</v>
      </c>
      <c r="N202" t="s">
        <v>33</v>
      </c>
      <c r="O202" t="s">
        <v>32</v>
      </c>
      <c r="P202">
        <v>13</v>
      </c>
      <c r="Q202">
        <v>28</v>
      </c>
      <c r="R202">
        <v>3</v>
      </c>
      <c r="S202" t="s">
        <v>33</v>
      </c>
      <c r="T202">
        <v>6</v>
      </c>
      <c r="U202" t="s">
        <v>31</v>
      </c>
      <c r="V202" s="1">
        <v>44315</v>
      </c>
      <c r="X202" s="1" t="str">
        <f t="shared" si="9"/>
        <v>Active</v>
      </c>
      <c r="Y202" t="str">
        <f t="shared" si="10"/>
        <v>56+</v>
      </c>
      <c r="Z202" t="str">
        <f t="shared" si="11"/>
        <v>4-5 Years</v>
      </c>
    </row>
    <row r="203" spans="1:26" x14ac:dyDescent="0.35">
      <c r="A203" t="s">
        <v>259</v>
      </c>
      <c r="B203">
        <v>41</v>
      </c>
      <c r="C203" t="s">
        <v>44</v>
      </c>
      <c r="D203" t="s">
        <v>52</v>
      </c>
      <c r="E203" t="s">
        <v>55</v>
      </c>
      <c r="F203" t="s">
        <v>30</v>
      </c>
      <c r="G203">
        <v>141781</v>
      </c>
      <c r="H203">
        <v>19</v>
      </c>
      <c r="I203">
        <v>20</v>
      </c>
      <c r="J203">
        <v>5</v>
      </c>
      <c r="K203">
        <v>3</v>
      </c>
      <c r="L203">
        <v>1</v>
      </c>
      <c r="M203">
        <v>2</v>
      </c>
      <c r="N203" t="s">
        <v>33</v>
      </c>
      <c r="O203" t="s">
        <v>32</v>
      </c>
      <c r="P203">
        <v>10</v>
      </c>
      <c r="Q203">
        <v>18</v>
      </c>
      <c r="R203">
        <v>3</v>
      </c>
      <c r="S203" t="s">
        <v>31</v>
      </c>
      <c r="T203">
        <v>10</v>
      </c>
      <c r="U203" t="s">
        <v>31</v>
      </c>
      <c r="V203" s="1">
        <v>41052</v>
      </c>
      <c r="X203" s="1" t="str">
        <f t="shared" si="9"/>
        <v>Active</v>
      </c>
      <c r="Y203" t="str">
        <f t="shared" si="10"/>
        <v>36-45</v>
      </c>
      <c r="Z203" t="str">
        <f t="shared" si="11"/>
        <v>10+ Years</v>
      </c>
    </row>
    <row r="204" spans="1:26" x14ac:dyDescent="0.35">
      <c r="A204" t="s">
        <v>260</v>
      </c>
      <c r="B204">
        <v>37</v>
      </c>
      <c r="C204" t="s">
        <v>27</v>
      </c>
      <c r="D204" t="s">
        <v>28</v>
      </c>
      <c r="E204" t="s">
        <v>29</v>
      </c>
      <c r="F204" t="s">
        <v>37</v>
      </c>
      <c r="G204">
        <v>37886</v>
      </c>
      <c r="H204">
        <v>0</v>
      </c>
      <c r="I204">
        <v>13</v>
      </c>
      <c r="J204">
        <v>1</v>
      </c>
      <c r="K204">
        <v>1</v>
      </c>
      <c r="L204">
        <v>4</v>
      </c>
      <c r="M204">
        <v>3</v>
      </c>
      <c r="N204" t="s">
        <v>31</v>
      </c>
      <c r="O204" t="s">
        <v>32</v>
      </c>
      <c r="P204">
        <v>1</v>
      </c>
      <c r="Q204">
        <v>20</v>
      </c>
      <c r="R204">
        <v>2</v>
      </c>
      <c r="S204" t="s">
        <v>31</v>
      </c>
      <c r="T204">
        <v>6</v>
      </c>
      <c r="U204" t="s">
        <v>31</v>
      </c>
      <c r="V204" s="1">
        <v>44276</v>
      </c>
      <c r="X204" s="1" t="str">
        <f t="shared" si="9"/>
        <v>Active</v>
      </c>
      <c r="Y204" t="str">
        <f t="shared" si="10"/>
        <v>36-45</v>
      </c>
      <c r="Z204" t="str">
        <f t="shared" si="11"/>
        <v>0-1 Year</v>
      </c>
    </row>
    <row r="205" spans="1:26" x14ac:dyDescent="0.35">
      <c r="A205" t="s">
        <v>261</v>
      </c>
      <c r="B205">
        <v>32</v>
      </c>
      <c r="C205" t="s">
        <v>44</v>
      </c>
      <c r="D205" t="s">
        <v>52</v>
      </c>
      <c r="E205" t="s">
        <v>53</v>
      </c>
      <c r="F205" t="s">
        <v>30</v>
      </c>
      <c r="G205">
        <v>55009</v>
      </c>
      <c r="H205">
        <v>0</v>
      </c>
      <c r="I205">
        <v>9</v>
      </c>
      <c r="J205">
        <v>2</v>
      </c>
      <c r="K205">
        <v>1</v>
      </c>
      <c r="L205">
        <v>4</v>
      </c>
      <c r="M205">
        <v>2</v>
      </c>
      <c r="N205" t="s">
        <v>31</v>
      </c>
      <c r="O205" t="s">
        <v>32</v>
      </c>
      <c r="P205">
        <v>25</v>
      </c>
      <c r="Q205">
        <v>41</v>
      </c>
      <c r="R205">
        <v>3</v>
      </c>
      <c r="S205" t="s">
        <v>31</v>
      </c>
      <c r="T205">
        <v>5</v>
      </c>
      <c r="U205" t="s">
        <v>31</v>
      </c>
      <c r="V205" s="1">
        <v>42169</v>
      </c>
      <c r="X205" s="1" t="str">
        <f t="shared" si="9"/>
        <v>Active</v>
      </c>
      <c r="Y205" t="str">
        <f t="shared" si="10"/>
        <v>26-35</v>
      </c>
      <c r="Z205" t="str">
        <f t="shared" si="11"/>
        <v>0-1 Year</v>
      </c>
    </row>
    <row r="206" spans="1:26" x14ac:dyDescent="0.35">
      <c r="A206" t="s">
        <v>262</v>
      </c>
      <c r="B206">
        <v>43</v>
      </c>
      <c r="C206" t="s">
        <v>27</v>
      </c>
      <c r="D206" t="s">
        <v>39</v>
      </c>
      <c r="E206" t="s">
        <v>40</v>
      </c>
      <c r="F206" t="s">
        <v>37</v>
      </c>
      <c r="G206">
        <v>134327</v>
      </c>
      <c r="H206">
        <v>15</v>
      </c>
      <c r="I206">
        <v>22</v>
      </c>
      <c r="J206">
        <v>5</v>
      </c>
      <c r="K206">
        <v>2</v>
      </c>
      <c r="L206">
        <v>1</v>
      </c>
      <c r="M206">
        <v>2</v>
      </c>
      <c r="N206" t="s">
        <v>33</v>
      </c>
      <c r="O206" t="s">
        <v>32</v>
      </c>
      <c r="P206">
        <v>10</v>
      </c>
      <c r="Q206">
        <v>41</v>
      </c>
      <c r="R206">
        <v>3</v>
      </c>
      <c r="S206" t="s">
        <v>33</v>
      </c>
      <c r="T206">
        <v>11</v>
      </c>
      <c r="U206" t="s">
        <v>31</v>
      </c>
      <c r="V206" s="1">
        <v>43873</v>
      </c>
      <c r="X206" s="1" t="str">
        <f t="shared" si="9"/>
        <v>Active</v>
      </c>
      <c r="Y206" t="str">
        <f t="shared" si="10"/>
        <v>36-45</v>
      </c>
      <c r="Z206" t="str">
        <f t="shared" si="11"/>
        <v>10+ Years</v>
      </c>
    </row>
    <row r="207" spans="1:26" x14ac:dyDescent="0.35">
      <c r="A207" t="s">
        <v>263</v>
      </c>
      <c r="B207">
        <v>31</v>
      </c>
      <c r="C207" t="s">
        <v>27</v>
      </c>
      <c r="D207" t="s">
        <v>28</v>
      </c>
      <c r="E207" t="s">
        <v>66</v>
      </c>
      <c r="F207" t="s">
        <v>56</v>
      </c>
      <c r="G207">
        <v>120269</v>
      </c>
      <c r="H207">
        <v>9</v>
      </c>
      <c r="I207">
        <v>9</v>
      </c>
      <c r="J207">
        <v>5</v>
      </c>
      <c r="K207">
        <v>4</v>
      </c>
      <c r="L207">
        <v>2</v>
      </c>
      <c r="M207">
        <v>4</v>
      </c>
      <c r="N207" t="s">
        <v>31</v>
      </c>
      <c r="O207" t="s">
        <v>42</v>
      </c>
      <c r="P207">
        <v>29</v>
      </c>
      <c r="Q207">
        <v>45</v>
      </c>
      <c r="R207">
        <v>4</v>
      </c>
      <c r="S207" t="s">
        <v>33</v>
      </c>
      <c r="T207">
        <v>6</v>
      </c>
      <c r="U207" t="s">
        <v>33</v>
      </c>
      <c r="V207" s="1">
        <v>43617</v>
      </c>
      <c r="W207" s="1">
        <v>43820</v>
      </c>
      <c r="X207" s="1" t="str">
        <f t="shared" si="9"/>
        <v>2019-12-21</v>
      </c>
      <c r="Y207" t="str">
        <f t="shared" si="10"/>
        <v>26-35</v>
      </c>
      <c r="Z207" t="str">
        <f t="shared" si="11"/>
        <v>6-10 Years</v>
      </c>
    </row>
    <row r="208" spans="1:26" x14ac:dyDescent="0.35">
      <c r="A208" t="s">
        <v>264</v>
      </c>
      <c r="B208">
        <v>35</v>
      </c>
      <c r="C208" t="s">
        <v>27</v>
      </c>
      <c r="D208" t="s">
        <v>45</v>
      </c>
      <c r="E208" t="s">
        <v>63</v>
      </c>
      <c r="F208" t="s">
        <v>41</v>
      </c>
      <c r="G208">
        <v>44766</v>
      </c>
      <c r="H208">
        <v>0</v>
      </c>
      <c r="I208">
        <v>11</v>
      </c>
      <c r="J208">
        <v>1</v>
      </c>
      <c r="K208">
        <v>2</v>
      </c>
      <c r="L208">
        <v>1</v>
      </c>
      <c r="M208">
        <v>3</v>
      </c>
      <c r="N208" t="s">
        <v>31</v>
      </c>
      <c r="O208" t="s">
        <v>47</v>
      </c>
      <c r="P208">
        <v>22</v>
      </c>
      <c r="Q208">
        <v>56</v>
      </c>
      <c r="R208">
        <v>2</v>
      </c>
      <c r="S208" t="s">
        <v>31</v>
      </c>
      <c r="T208">
        <v>7</v>
      </c>
      <c r="U208" t="s">
        <v>31</v>
      </c>
      <c r="V208" s="1">
        <v>45087</v>
      </c>
      <c r="X208" s="1" t="str">
        <f t="shared" si="9"/>
        <v>Active</v>
      </c>
      <c r="Y208" t="str">
        <f t="shared" si="10"/>
        <v>26-35</v>
      </c>
      <c r="Z208" t="str">
        <f t="shared" si="11"/>
        <v>0-1 Year</v>
      </c>
    </row>
    <row r="209" spans="1:26" x14ac:dyDescent="0.35">
      <c r="A209" t="s">
        <v>265</v>
      </c>
      <c r="B209">
        <v>44</v>
      </c>
      <c r="C209" t="s">
        <v>44</v>
      </c>
      <c r="D209" t="s">
        <v>28</v>
      </c>
      <c r="E209" t="s">
        <v>29</v>
      </c>
      <c r="F209" t="s">
        <v>41</v>
      </c>
      <c r="G209">
        <v>67964</v>
      </c>
      <c r="H209">
        <v>4</v>
      </c>
      <c r="I209">
        <v>21</v>
      </c>
      <c r="J209">
        <v>2</v>
      </c>
      <c r="K209">
        <v>2</v>
      </c>
      <c r="L209">
        <v>3</v>
      </c>
      <c r="M209">
        <v>1</v>
      </c>
      <c r="N209" t="s">
        <v>31</v>
      </c>
      <c r="O209" t="s">
        <v>47</v>
      </c>
      <c r="P209">
        <v>27</v>
      </c>
      <c r="Q209">
        <v>34</v>
      </c>
      <c r="R209">
        <v>3</v>
      </c>
      <c r="S209" t="s">
        <v>31</v>
      </c>
      <c r="T209">
        <v>3</v>
      </c>
      <c r="U209" t="s">
        <v>31</v>
      </c>
      <c r="V209" s="1">
        <v>42276</v>
      </c>
      <c r="X209" s="1" t="str">
        <f t="shared" si="9"/>
        <v>Active</v>
      </c>
      <c r="Y209" t="str">
        <f t="shared" si="10"/>
        <v>36-45</v>
      </c>
      <c r="Z209" t="str">
        <f t="shared" si="11"/>
        <v>4-5 Years</v>
      </c>
    </row>
    <row r="210" spans="1:26" x14ac:dyDescent="0.35">
      <c r="A210" t="s">
        <v>266</v>
      </c>
      <c r="B210">
        <v>32</v>
      </c>
      <c r="C210" t="s">
        <v>27</v>
      </c>
      <c r="D210" t="s">
        <v>39</v>
      </c>
      <c r="E210" t="s">
        <v>40</v>
      </c>
      <c r="F210" t="s">
        <v>41</v>
      </c>
      <c r="G210">
        <v>44966</v>
      </c>
      <c r="H210">
        <v>2</v>
      </c>
      <c r="I210">
        <v>10</v>
      </c>
      <c r="J210">
        <v>1</v>
      </c>
      <c r="K210">
        <v>2</v>
      </c>
      <c r="L210">
        <v>1</v>
      </c>
      <c r="M210">
        <v>3</v>
      </c>
      <c r="N210" t="s">
        <v>31</v>
      </c>
      <c r="O210" t="s">
        <v>42</v>
      </c>
      <c r="P210">
        <v>8</v>
      </c>
      <c r="Q210">
        <v>38</v>
      </c>
      <c r="R210">
        <v>3</v>
      </c>
      <c r="S210" t="s">
        <v>31</v>
      </c>
      <c r="T210">
        <v>6</v>
      </c>
      <c r="U210" t="s">
        <v>31</v>
      </c>
      <c r="V210" s="1">
        <v>41151</v>
      </c>
      <c r="X210" s="1" t="str">
        <f t="shared" si="9"/>
        <v>Active</v>
      </c>
      <c r="Y210" t="str">
        <f t="shared" si="10"/>
        <v>26-35</v>
      </c>
      <c r="Z210" t="str">
        <f t="shared" si="11"/>
        <v>2-3 Years</v>
      </c>
    </row>
    <row r="211" spans="1:26" x14ac:dyDescent="0.35">
      <c r="A211" t="s">
        <v>267</v>
      </c>
      <c r="B211">
        <v>40</v>
      </c>
      <c r="C211" t="s">
        <v>44</v>
      </c>
      <c r="D211" t="s">
        <v>28</v>
      </c>
      <c r="E211" t="s">
        <v>29</v>
      </c>
      <c r="F211" t="s">
        <v>78</v>
      </c>
      <c r="G211">
        <v>136972</v>
      </c>
      <c r="H211">
        <v>19</v>
      </c>
      <c r="I211">
        <v>19</v>
      </c>
      <c r="J211">
        <v>5</v>
      </c>
      <c r="K211">
        <v>1</v>
      </c>
      <c r="L211">
        <v>2</v>
      </c>
      <c r="M211">
        <v>3</v>
      </c>
      <c r="N211" t="s">
        <v>33</v>
      </c>
      <c r="O211" t="s">
        <v>47</v>
      </c>
      <c r="P211">
        <v>16</v>
      </c>
      <c r="Q211">
        <v>35</v>
      </c>
      <c r="R211">
        <v>3</v>
      </c>
      <c r="S211" t="s">
        <v>31</v>
      </c>
      <c r="T211">
        <v>6</v>
      </c>
      <c r="U211" t="s">
        <v>31</v>
      </c>
      <c r="V211" s="1">
        <v>43762</v>
      </c>
      <c r="X211" s="1" t="str">
        <f t="shared" si="9"/>
        <v>Active</v>
      </c>
      <c r="Y211" t="str">
        <f t="shared" si="10"/>
        <v>36-45</v>
      </c>
      <c r="Z211" t="str">
        <f t="shared" si="11"/>
        <v>10+ Years</v>
      </c>
    </row>
    <row r="212" spans="1:26" x14ac:dyDescent="0.35">
      <c r="A212" t="s">
        <v>268</v>
      </c>
      <c r="B212">
        <v>55</v>
      </c>
      <c r="C212" t="s">
        <v>27</v>
      </c>
      <c r="D212" t="s">
        <v>45</v>
      </c>
      <c r="E212" t="s">
        <v>63</v>
      </c>
      <c r="F212" t="s">
        <v>41</v>
      </c>
      <c r="G212">
        <v>156351</v>
      </c>
      <c r="H212">
        <v>27</v>
      </c>
      <c r="I212">
        <v>33</v>
      </c>
      <c r="J212">
        <v>5</v>
      </c>
      <c r="K212">
        <v>4</v>
      </c>
      <c r="L212">
        <v>3</v>
      </c>
      <c r="M212">
        <v>4</v>
      </c>
      <c r="N212" t="s">
        <v>31</v>
      </c>
      <c r="O212" t="s">
        <v>32</v>
      </c>
      <c r="P212">
        <v>29</v>
      </c>
      <c r="Q212">
        <v>13</v>
      </c>
      <c r="R212">
        <v>3</v>
      </c>
      <c r="S212" t="s">
        <v>31</v>
      </c>
      <c r="T212">
        <v>4</v>
      </c>
      <c r="U212" t="s">
        <v>31</v>
      </c>
      <c r="V212" s="1">
        <v>42821</v>
      </c>
      <c r="X212" s="1" t="str">
        <f t="shared" si="9"/>
        <v>Active</v>
      </c>
      <c r="Y212" t="str">
        <f t="shared" si="10"/>
        <v>46-55</v>
      </c>
      <c r="Z212" t="str">
        <f t="shared" si="11"/>
        <v>10+ Years</v>
      </c>
    </row>
    <row r="213" spans="1:26" x14ac:dyDescent="0.35">
      <c r="A213" t="s">
        <v>269</v>
      </c>
      <c r="B213">
        <v>34</v>
      </c>
      <c r="C213" t="s">
        <v>44</v>
      </c>
      <c r="D213" t="s">
        <v>45</v>
      </c>
      <c r="E213" t="s">
        <v>63</v>
      </c>
      <c r="F213" t="s">
        <v>61</v>
      </c>
      <c r="G213">
        <v>78098</v>
      </c>
      <c r="H213">
        <v>5</v>
      </c>
      <c r="I213">
        <v>10</v>
      </c>
      <c r="J213">
        <v>3</v>
      </c>
      <c r="K213">
        <v>4</v>
      </c>
      <c r="L213">
        <v>1</v>
      </c>
      <c r="M213">
        <v>3</v>
      </c>
      <c r="N213" t="s">
        <v>31</v>
      </c>
      <c r="O213" t="s">
        <v>47</v>
      </c>
      <c r="P213">
        <v>23</v>
      </c>
      <c r="Q213">
        <v>54</v>
      </c>
      <c r="R213">
        <v>3</v>
      </c>
      <c r="S213" t="s">
        <v>31</v>
      </c>
      <c r="T213">
        <v>4</v>
      </c>
      <c r="U213" t="s">
        <v>31</v>
      </c>
      <c r="V213" s="1">
        <v>43290</v>
      </c>
      <c r="X213" s="1" t="str">
        <f t="shared" si="9"/>
        <v>Active</v>
      </c>
      <c r="Y213" t="str">
        <f t="shared" si="10"/>
        <v>26-35</v>
      </c>
      <c r="Z213" t="str">
        <f t="shared" si="11"/>
        <v>4-5 Years</v>
      </c>
    </row>
    <row r="214" spans="1:26" x14ac:dyDescent="0.35">
      <c r="A214" t="s">
        <v>270</v>
      </c>
      <c r="B214">
        <v>56</v>
      </c>
      <c r="C214" t="s">
        <v>44</v>
      </c>
      <c r="D214" t="s">
        <v>35</v>
      </c>
      <c r="E214" t="s">
        <v>36</v>
      </c>
      <c r="F214" t="s">
        <v>56</v>
      </c>
      <c r="G214">
        <v>159222</v>
      </c>
      <c r="H214">
        <v>28</v>
      </c>
      <c r="I214">
        <v>34</v>
      </c>
      <c r="J214">
        <v>5</v>
      </c>
      <c r="K214">
        <v>2</v>
      </c>
      <c r="L214">
        <v>4</v>
      </c>
      <c r="M214">
        <v>1</v>
      </c>
      <c r="N214" t="s">
        <v>31</v>
      </c>
      <c r="O214" t="s">
        <v>32</v>
      </c>
      <c r="P214">
        <v>22</v>
      </c>
      <c r="Q214">
        <v>47</v>
      </c>
      <c r="R214">
        <v>3</v>
      </c>
      <c r="S214" t="s">
        <v>31</v>
      </c>
      <c r="T214">
        <v>4</v>
      </c>
      <c r="U214" t="s">
        <v>31</v>
      </c>
      <c r="V214" s="1">
        <v>44286</v>
      </c>
      <c r="X214" s="1" t="str">
        <f t="shared" si="9"/>
        <v>Active</v>
      </c>
      <c r="Y214" t="str">
        <f t="shared" si="10"/>
        <v>56+</v>
      </c>
      <c r="Z214" t="str">
        <f t="shared" si="11"/>
        <v>10+ Years</v>
      </c>
    </row>
    <row r="215" spans="1:26" x14ac:dyDescent="0.35">
      <c r="A215" t="s">
        <v>271</v>
      </c>
      <c r="B215">
        <v>59</v>
      </c>
      <c r="C215" t="s">
        <v>44</v>
      </c>
      <c r="D215" t="s">
        <v>35</v>
      </c>
      <c r="E215" t="s">
        <v>36</v>
      </c>
      <c r="F215" t="s">
        <v>41</v>
      </c>
      <c r="G215">
        <v>163912</v>
      </c>
      <c r="H215">
        <v>33</v>
      </c>
      <c r="I215">
        <v>38</v>
      </c>
      <c r="J215">
        <v>5</v>
      </c>
      <c r="K215">
        <v>4</v>
      </c>
      <c r="L215">
        <v>3</v>
      </c>
      <c r="M215">
        <v>2</v>
      </c>
      <c r="N215" t="s">
        <v>31</v>
      </c>
      <c r="O215" t="s">
        <v>32</v>
      </c>
      <c r="P215">
        <v>9</v>
      </c>
      <c r="Q215">
        <v>44</v>
      </c>
      <c r="R215">
        <v>2</v>
      </c>
      <c r="S215" t="s">
        <v>31</v>
      </c>
      <c r="T215">
        <v>5</v>
      </c>
      <c r="U215" t="s">
        <v>31</v>
      </c>
      <c r="V215" s="1">
        <v>42345</v>
      </c>
      <c r="X215" s="1" t="str">
        <f t="shared" si="9"/>
        <v>Active</v>
      </c>
      <c r="Y215" t="str">
        <f t="shared" si="10"/>
        <v>56+</v>
      </c>
      <c r="Z215" t="str">
        <f t="shared" si="11"/>
        <v>10+ Years</v>
      </c>
    </row>
    <row r="216" spans="1:26" x14ac:dyDescent="0.35">
      <c r="A216" t="s">
        <v>272</v>
      </c>
      <c r="B216">
        <v>37</v>
      </c>
      <c r="C216" t="s">
        <v>44</v>
      </c>
      <c r="D216" t="s">
        <v>49</v>
      </c>
      <c r="E216" t="s">
        <v>50</v>
      </c>
      <c r="F216" t="s">
        <v>41</v>
      </c>
      <c r="G216">
        <v>133399</v>
      </c>
      <c r="H216">
        <v>16</v>
      </c>
      <c r="I216">
        <v>16</v>
      </c>
      <c r="J216">
        <v>5</v>
      </c>
      <c r="K216">
        <v>2</v>
      </c>
      <c r="L216">
        <v>2</v>
      </c>
      <c r="M216">
        <v>4</v>
      </c>
      <c r="N216" t="s">
        <v>31</v>
      </c>
      <c r="O216" t="s">
        <v>32</v>
      </c>
      <c r="P216">
        <v>11</v>
      </c>
      <c r="Q216">
        <v>11</v>
      </c>
      <c r="R216">
        <v>3</v>
      </c>
      <c r="S216" t="s">
        <v>33</v>
      </c>
      <c r="T216">
        <v>7</v>
      </c>
      <c r="U216" t="s">
        <v>31</v>
      </c>
      <c r="V216" s="1">
        <v>42644</v>
      </c>
      <c r="X216" s="1" t="str">
        <f t="shared" si="9"/>
        <v>Active</v>
      </c>
      <c r="Y216" t="str">
        <f t="shared" si="10"/>
        <v>36-45</v>
      </c>
      <c r="Z216" t="str">
        <f t="shared" si="11"/>
        <v>10+ Years</v>
      </c>
    </row>
    <row r="217" spans="1:26" x14ac:dyDescent="0.35">
      <c r="A217" t="s">
        <v>273</v>
      </c>
      <c r="B217">
        <v>45</v>
      </c>
      <c r="C217" t="s">
        <v>27</v>
      </c>
      <c r="D217" t="s">
        <v>28</v>
      </c>
      <c r="E217" t="s">
        <v>66</v>
      </c>
      <c r="F217" t="s">
        <v>56</v>
      </c>
      <c r="G217">
        <v>147080</v>
      </c>
      <c r="H217">
        <v>24</v>
      </c>
      <c r="I217">
        <v>24</v>
      </c>
      <c r="J217">
        <v>5</v>
      </c>
      <c r="K217">
        <v>2</v>
      </c>
      <c r="L217">
        <v>1</v>
      </c>
      <c r="M217">
        <v>4</v>
      </c>
      <c r="N217" t="s">
        <v>33</v>
      </c>
      <c r="O217" t="s">
        <v>47</v>
      </c>
      <c r="P217">
        <v>21</v>
      </c>
      <c r="Q217">
        <v>21</v>
      </c>
      <c r="R217">
        <v>4</v>
      </c>
      <c r="S217" t="s">
        <v>33</v>
      </c>
      <c r="T217">
        <v>4</v>
      </c>
      <c r="U217" t="s">
        <v>31</v>
      </c>
      <c r="V217" s="1">
        <v>43215</v>
      </c>
      <c r="X217" s="1" t="str">
        <f t="shared" si="9"/>
        <v>Active</v>
      </c>
      <c r="Y217" t="str">
        <f t="shared" si="10"/>
        <v>36-45</v>
      </c>
      <c r="Z217" t="str">
        <f t="shared" si="11"/>
        <v>10+ Years</v>
      </c>
    </row>
    <row r="218" spans="1:26" x14ac:dyDescent="0.35">
      <c r="A218" t="s">
        <v>274</v>
      </c>
      <c r="B218">
        <v>28</v>
      </c>
      <c r="C218" t="s">
        <v>44</v>
      </c>
      <c r="D218" t="s">
        <v>52</v>
      </c>
      <c r="E218" t="s">
        <v>55</v>
      </c>
      <c r="F218" t="s">
        <v>78</v>
      </c>
      <c r="G218">
        <v>59774</v>
      </c>
      <c r="H218">
        <v>0</v>
      </c>
      <c r="I218">
        <v>6</v>
      </c>
      <c r="J218">
        <v>2</v>
      </c>
      <c r="K218">
        <v>2</v>
      </c>
      <c r="L218">
        <v>3</v>
      </c>
      <c r="M218">
        <v>4</v>
      </c>
      <c r="N218" t="s">
        <v>33</v>
      </c>
      <c r="O218" t="s">
        <v>32</v>
      </c>
      <c r="P218">
        <v>24</v>
      </c>
      <c r="Q218">
        <v>31</v>
      </c>
      <c r="R218">
        <v>3</v>
      </c>
      <c r="S218" t="s">
        <v>31</v>
      </c>
      <c r="T218">
        <v>4</v>
      </c>
      <c r="U218" t="s">
        <v>31</v>
      </c>
      <c r="V218" s="1">
        <v>44890</v>
      </c>
      <c r="X218" s="1" t="str">
        <f t="shared" si="9"/>
        <v>Active</v>
      </c>
      <c r="Y218" t="str">
        <f t="shared" si="10"/>
        <v>26-35</v>
      </c>
      <c r="Z218" t="str">
        <f t="shared" si="11"/>
        <v>0-1 Year</v>
      </c>
    </row>
    <row r="219" spans="1:26" x14ac:dyDescent="0.35">
      <c r="A219" t="s">
        <v>275</v>
      </c>
      <c r="B219">
        <v>49</v>
      </c>
      <c r="C219" t="s">
        <v>27</v>
      </c>
      <c r="D219" t="s">
        <v>49</v>
      </c>
      <c r="E219" t="s">
        <v>50</v>
      </c>
      <c r="F219" t="s">
        <v>61</v>
      </c>
      <c r="G219">
        <v>150733</v>
      </c>
      <c r="H219">
        <v>25</v>
      </c>
      <c r="I219">
        <v>28</v>
      </c>
      <c r="J219">
        <v>5</v>
      </c>
      <c r="K219">
        <v>4</v>
      </c>
      <c r="L219">
        <v>1</v>
      </c>
      <c r="M219">
        <v>3</v>
      </c>
      <c r="N219" t="s">
        <v>33</v>
      </c>
      <c r="O219" t="s">
        <v>42</v>
      </c>
      <c r="P219">
        <v>27</v>
      </c>
      <c r="Q219">
        <v>48</v>
      </c>
      <c r="R219">
        <v>3</v>
      </c>
      <c r="S219" t="s">
        <v>31</v>
      </c>
      <c r="T219">
        <v>2</v>
      </c>
      <c r="U219" t="s">
        <v>31</v>
      </c>
      <c r="V219" s="1">
        <v>40937</v>
      </c>
      <c r="X219" s="1" t="str">
        <f t="shared" si="9"/>
        <v>Active</v>
      </c>
      <c r="Y219" t="str">
        <f t="shared" si="10"/>
        <v>46-55</v>
      </c>
      <c r="Z219" t="str">
        <f t="shared" si="11"/>
        <v>10+ Years</v>
      </c>
    </row>
    <row r="220" spans="1:26" x14ac:dyDescent="0.35">
      <c r="A220" t="s">
        <v>276</v>
      </c>
      <c r="B220">
        <v>36</v>
      </c>
      <c r="C220" t="s">
        <v>44</v>
      </c>
      <c r="D220" t="s">
        <v>52</v>
      </c>
      <c r="E220" t="s">
        <v>53</v>
      </c>
      <c r="F220" t="s">
        <v>56</v>
      </c>
      <c r="G220">
        <v>124138</v>
      </c>
      <c r="H220">
        <v>12</v>
      </c>
      <c r="I220">
        <v>15</v>
      </c>
      <c r="J220">
        <v>5</v>
      </c>
      <c r="K220">
        <v>4</v>
      </c>
      <c r="L220">
        <v>4</v>
      </c>
      <c r="M220">
        <v>3</v>
      </c>
      <c r="N220" t="s">
        <v>31</v>
      </c>
      <c r="O220" t="s">
        <v>32</v>
      </c>
      <c r="P220">
        <v>3</v>
      </c>
      <c r="Q220">
        <v>54</v>
      </c>
      <c r="R220">
        <v>3</v>
      </c>
      <c r="S220" t="s">
        <v>31</v>
      </c>
      <c r="T220">
        <v>4</v>
      </c>
      <c r="U220" t="s">
        <v>33</v>
      </c>
      <c r="V220" s="1">
        <v>41747</v>
      </c>
      <c r="W220" s="1">
        <v>42460</v>
      </c>
      <c r="X220" s="1" t="str">
        <f t="shared" si="9"/>
        <v>2016-03-31</v>
      </c>
      <c r="Y220" t="str">
        <f t="shared" si="10"/>
        <v>36-45</v>
      </c>
      <c r="Z220" t="str">
        <f t="shared" si="11"/>
        <v>10+ Years</v>
      </c>
    </row>
    <row r="221" spans="1:26" x14ac:dyDescent="0.35">
      <c r="A221" t="s">
        <v>277</v>
      </c>
      <c r="B221">
        <v>55</v>
      </c>
      <c r="C221" t="s">
        <v>27</v>
      </c>
      <c r="D221" t="s">
        <v>35</v>
      </c>
      <c r="E221" t="s">
        <v>36</v>
      </c>
      <c r="F221" t="s">
        <v>41</v>
      </c>
      <c r="G221">
        <v>101231</v>
      </c>
      <c r="H221">
        <v>9</v>
      </c>
      <c r="I221">
        <v>34</v>
      </c>
      <c r="J221">
        <v>4</v>
      </c>
      <c r="K221">
        <v>2</v>
      </c>
      <c r="L221">
        <v>4</v>
      </c>
      <c r="M221">
        <v>4</v>
      </c>
      <c r="N221" t="s">
        <v>31</v>
      </c>
      <c r="O221" t="s">
        <v>47</v>
      </c>
      <c r="P221">
        <v>28</v>
      </c>
      <c r="Q221">
        <v>35</v>
      </c>
      <c r="R221">
        <v>3</v>
      </c>
      <c r="S221" t="s">
        <v>33</v>
      </c>
      <c r="T221">
        <v>2</v>
      </c>
      <c r="U221" t="s">
        <v>31</v>
      </c>
      <c r="V221" s="1">
        <v>42359</v>
      </c>
      <c r="X221" s="1" t="str">
        <f t="shared" si="9"/>
        <v>Active</v>
      </c>
      <c r="Y221" t="str">
        <f t="shared" si="10"/>
        <v>46-55</v>
      </c>
      <c r="Z221" t="str">
        <f t="shared" si="11"/>
        <v>6-10 Years</v>
      </c>
    </row>
    <row r="222" spans="1:26" x14ac:dyDescent="0.35">
      <c r="A222" t="s">
        <v>278</v>
      </c>
      <c r="B222">
        <v>46</v>
      </c>
      <c r="C222" t="s">
        <v>27</v>
      </c>
      <c r="D222" t="s">
        <v>28</v>
      </c>
      <c r="E222" t="s">
        <v>29</v>
      </c>
      <c r="F222" t="s">
        <v>56</v>
      </c>
      <c r="G222">
        <v>134515</v>
      </c>
      <c r="H222">
        <v>17</v>
      </c>
      <c r="I222">
        <v>22</v>
      </c>
      <c r="J222">
        <v>5</v>
      </c>
      <c r="K222">
        <v>3</v>
      </c>
      <c r="L222">
        <v>1</v>
      </c>
      <c r="M222">
        <v>4</v>
      </c>
      <c r="N222" t="s">
        <v>31</v>
      </c>
      <c r="O222" t="s">
        <v>32</v>
      </c>
      <c r="P222">
        <v>8</v>
      </c>
      <c r="Q222">
        <v>41</v>
      </c>
      <c r="R222">
        <v>3</v>
      </c>
      <c r="S222" t="s">
        <v>31</v>
      </c>
      <c r="T222">
        <v>2</v>
      </c>
      <c r="U222" t="s">
        <v>33</v>
      </c>
      <c r="V222" s="1">
        <v>41812</v>
      </c>
      <c r="W222" s="1">
        <v>42429</v>
      </c>
      <c r="X222" s="1" t="str">
        <f t="shared" si="9"/>
        <v>2016-02-29</v>
      </c>
      <c r="Y222" t="str">
        <f t="shared" si="10"/>
        <v>46-55</v>
      </c>
      <c r="Z222" t="str">
        <f t="shared" si="11"/>
        <v>10+ Years</v>
      </c>
    </row>
    <row r="223" spans="1:26" x14ac:dyDescent="0.35">
      <c r="A223" t="s">
        <v>279</v>
      </c>
      <c r="B223">
        <v>37</v>
      </c>
      <c r="C223" t="s">
        <v>44</v>
      </c>
      <c r="D223" t="s">
        <v>45</v>
      </c>
      <c r="E223" t="s">
        <v>46</v>
      </c>
      <c r="F223" t="s">
        <v>78</v>
      </c>
      <c r="G223">
        <v>126089</v>
      </c>
      <c r="H223">
        <v>14</v>
      </c>
      <c r="I223">
        <v>16</v>
      </c>
      <c r="J223">
        <v>5</v>
      </c>
      <c r="K223">
        <v>2</v>
      </c>
      <c r="L223">
        <v>3</v>
      </c>
      <c r="M223">
        <v>1</v>
      </c>
      <c r="N223" t="s">
        <v>31</v>
      </c>
      <c r="O223" t="s">
        <v>32</v>
      </c>
      <c r="P223">
        <v>18</v>
      </c>
      <c r="Q223">
        <v>56</v>
      </c>
      <c r="R223">
        <v>3</v>
      </c>
      <c r="S223" t="s">
        <v>31</v>
      </c>
      <c r="T223">
        <v>7</v>
      </c>
      <c r="U223" t="s">
        <v>33</v>
      </c>
      <c r="V223" s="1">
        <v>44643</v>
      </c>
      <c r="W223" s="1">
        <v>45182</v>
      </c>
      <c r="X223" s="1" t="str">
        <f t="shared" si="9"/>
        <v>2023-09-13</v>
      </c>
      <c r="Y223" t="str">
        <f t="shared" si="10"/>
        <v>36-45</v>
      </c>
      <c r="Z223" t="str">
        <f t="shared" si="11"/>
        <v>10+ Years</v>
      </c>
    </row>
    <row r="224" spans="1:26" x14ac:dyDescent="0.35">
      <c r="A224" t="s">
        <v>280</v>
      </c>
      <c r="B224">
        <v>40</v>
      </c>
      <c r="C224" t="s">
        <v>27</v>
      </c>
      <c r="D224" t="s">
        <v>52</v>
      </c>
      <c r="E224" t="s">
        <v>55</v>
      </c>
      <c r="F224" t="s">
        <v>41</v>
      </c>
      <c r="G224">
        <v>42659</v>
      </c>
      <c r="H224">
        <v>0</v>
      </c>
      <c r="I224">
        <v>17</v>
      </c>
      <c r="J224">
        <v>1</v>
      </c>
      <c r="K224">
        <v>3</v>
      </c>
      <c r="L224">
        <v>4</v>
      </c>
      <c r="M224">
        <v>1</v>
      </c>
      <c r="N224" t="s">
        <v>31</v>
      </c>
      <c r="O224" t="s">
        <v>42</v>
      </c>
      <c r="P224">
        <v>3</v>
      </c>
      <c r="Q224">
        <v>49</v>
      </c>
      <c r="R224">
        <v>3</v>
      </c>
      <c r="S224" t="s">
        <v>31</v>
      </c>
      <c r="T224">
        <v>6</v>
      </c>
      <c r="U224" t="s">
        <v>31</v>
      </c>
      <c r="V224" s="1">
        <v>42371</v>
      </c>
      <c r="X224" s="1" t="str">
        <f t="shared" si="9"/>
        <v>Active</v>
      </c>
      <c r="Y224" t="str">
        <f t="shared" si="10"/>
        <v>36-45</v>
      </c>
      <c r="Z224" t="str">
        <f t="shared" si="11"/>
        <v>0-1 Year</v>
      </c>
    </row>
    <row r="225" spans="1:26" x14ac:dyDescent="0.35">
      <c r="A225" t="s">
        <v>281</v>
      </c>
      <c r="B225">
        <v>43</v>
      </c>
      <c r="C225" t="s">
        <v>44</v>
      </c>
      <c r="D225" t="s">
        <v>28</v>
      </c>
      <c r="E225" t="s">
        <v>29</v>
      </c>
      <c r="F225" t="s">
        <v>61</v>
      </c>
      <c r="G225">
        <v>62626</v>
      </c>
      <c r="H225">
        <v>5</v>
      </c>
      <c r="I225">
        <v>22</v>
      </c>
      <c r="J225">
        <v>2</v>
      </c>
      <c r="K225">
        <v>4</v>
      </c>
      <c r="L225">
        <v>3</v>
      </c>
      <c r="M225">
        <v>3</v>
      </c>
      <c r="N225" t="s">
        <v>31</v>
      </c>
      <c r="O225" t="s">
        <v>47</v>
      </c>
      <c r="P225">
        <v>18</v>
      </c>
      <c r="Q225">
        <v>32</v>
      </c>
      <c r="R225">
        <v>3</v>
      </c>
      <c r="S225" t="s">
        <v>31</v>
      </c>
      <c r="T225">
        <v>4</v>
      </c>
      <c r="U225" t="s">
        <v>31</v>
      </c>
      <c r="V225" s="1">
        <v>41590</v>
      </c>
      <c r="X225" s="1" t="str">
        <f t="shared" si="9"/>
        <v>Active</v>
      </c>
      <c r="Y225" t="str">
        <f t="shared" si="10"/>
        <v>36-45</v>
      </c>
      <c r="Z225" t="str">
        <f t="shared" si="11"/>
        <v>4-5 Years</v>
      </c>
    </row>
    <row r="226" spans="1:26" x14ac:dyDescent="0.35">
      <c r="A226" t="s">
        <v>282</v>
      </c>
      <c r="B226">
        <v>28</v>
      </c>
      <c r="C226" t="s">
        <v>44</v>
      </c>
      <c r="D226" t="s">
        <v>52</v>
      </c>
      <c r="E226" t="s">
        <v>53</v>
      </c>
      <c r="F226" t="s">
        <v>56</v>
      </c>
      <c r="G226">
        <v>39156</v>
      </c>
      <c r="H226">
        <v>0</v>
      </c>
      <c r="I226">
        <v>5</v>
      </c>
      <c r="J226">
        <v>1</v>
      </c>
      <c r="K226">
        <v>1</v>
      </c>
      <c r="L226">
        <v>3</v>
      </c>
      <c r="M226">
        <v>1</v>
      </c>
      <c r="N226" t="s">
        <v>31</v>
      </c>
      <c r="O226" t="s">
        <v>32</v>
      </c>
      <c r="P226">
        <v>23</v>
      </c>
      <c r="Q226">
        <v>29</v>
      </c>
      <c r="R226">
        <v>3</v>
      </c>
      <c r="S226" t="s">
        <v>31</v>
      </c>
      <c r="T226">
        <v>5</v>
      </c>
      <c r="U226" t="s">
        <v>31</v>
      </c>
      <c r="V226" s="1">
        <v>43205</v>
      </c>
      <c r="X226" s="1" t="str">
        <f t="shared" si="9"/>
        <v>Active</v>
      </c>
      <c r="Y226" t="str">
        <f t="shared" si="10"/>
        <v>26-35</v>
      </c>
      <c r="Z226" t="str">
        <f t="shared" si="11"/>
        <v>0-1 Year</v>
      </c>
    </row>
    <row r="227" spans="1:26" x14ac:dyDescent="0.35">
      <c r="A227" t="s">
        <v>283</v>
      </c>
      <c r="B227">
        <v>59</v>
      </c>
      <c r="C227" t="s">
        <v>27</v>
      </c>
      <c r="D227" t="s">
        <v>49</v>
      </c>
      <c r="E227" t="s">
        <v>68</v>
      </c>
      <c r="F227" t="s">
        <v>30</v>
      </c>
      <c r="G227">
        <v>42378</v>
      </c>
      <c r="H227">
        <v>2</v>
      </c>
      <c r="I227">
        <v>35</v>
      </c>
      <c r="J227">
        <v>1</v>
      </c>
      <c r="K227">
        <v>1</v>
      </c>
      <c r="L227">
        <v>4</v>
      </c>
      <c r="M227">
        <v>3</v>
      </c>
      <c r="N227" t="s">
        <v>31</v>
      </c>
      <c r="O227" t="s">
        <v>32</v>
      </c>
      <c r="P227">
        <v>13</v>
      </c>
      <c r="Q227">
        <v>44</v>
      </c>
      <c r="R227">
        <v>3</v>
      </c>
      <c r="S227" t="s">
        <v>31</v>
      </c>
      <c r="T227">
        <v>2</v>
      </c>
      <c r="U227" t="s">
        <v>33</v>
      </c>
      <c r="V227" s="1">
        <v>44462</v>
      </c>
      <c r="W227" s="1">
        <v>44906</v>
      </c>
      <c r="X227" s="1" t="str">
        <f t="shared" si="9"/>
        <v>2022-12-11</v>
      </c>
      <c r="Y227" t="str">
        <f t="shared" si="10"/>
        <v>56+</v>
      </c>
      <c r="Z227" t="str">
        <f t="shared" si="11"/>
        <v>2-3 Years</v>
      </c>
    </row>
    <row r="228" spans="1:26" x14ac:dyDescent="0.35">
      <c r="A228" t="s">
        <v>284</v>
      </c>
      <c r="B228">
        <v>37</v>
      </c>
      <c r="C228" t="s">
        <v>44</v>
      </c>
      <c r="D228" t="s">
        <v>49</v>
      </c>
      <c r="E228" t="s">
        <v>50</v>
      </c>
      <c r="F228" t="s">
        <v>37</v>
      </c>
      <c r="G228">
        <v>132618</v>
      </c>
      <c r="H228">
        <v>15</v>
      </c>
      <c r="I228">
        <v>16</v>
      </c>
      <c r="J228">
        <v>5</v>
      </c>
      <c r="K228">
        <v>1</v>
      </c>
      <c r="L228">
        <v>1</v>
      </c>
      <c r="M228">
        <v>2</v>
      </c>
      <c r="N228" t="s">
        <v>33</v>
      </c>
      <c r="O228" t="s">
        <v>32</v>
      </c>
      <c r="P228">
        <v>23</v>
      </c>
      <c r="Q228">
        <v>27</v>
      </c>
      <c r="R228">
        <v>3</v>
      </c>
      <c r="S228" t="s">
        <v>31</v>
      </c>
      <c r="T228">
        <v>5</v>
      </c>
      <c r="U228" t="s">
        <v>31</v>
      </c>
      <c r="V228" s="1">
        <v>42949</v>
      </c>
      <c r="X228" s="1" t="str">
        <f t="shared" si="9"/>
        <v>Active</v>
      </c>
      <c r="Y228" t="str">
        <f t="shared" si="10"/>
        <v>36-45</v>
      </c>
      <c r="Z228" t="str">
        <f t="shared" si="11"/>
        <v>10+ Years</v>
      </c>
    </row>
    <row r="229" spans="1:26" x14ac:dyDescent="0.35">
      <c r="A229" t="s">
        <v>285</v>
      </c>
      <c r="B229">
        <v>39</v>
      </c>
      <c r="C229" t="s">
        <v>27</v>
      </c>
      <c r="D229" t="s">
        <v>52</v>
      </c>
      <c r="E229" t="s">
        <v>53</v>
      </c>
      <c r="F229" t="s">
        <v>61</v>
      </c>
      <c r="G229">
        <v>129286</v>
      </c>
      <c r="H229">
        <v>14</v>
      </c>
      <c r="I229">
        <v>16</v>
      </c>
      <c r="J229">
        <v>5</v>
      </c>
      <c r="K229">
        <v>4</v>
      </c>
      <c r="L229">
        <v>1</v>
      </c>
      <c r="M229">
        <v>1</v>
      </c>
      <c r="N229" t="s">
        <v>31</v>
      </c>
      <c r="O229" t="s">
        <v>32</v>
      </c>
      <c r="P229">
        <v>3</v>
      </c>
      <c r="Q229">
        <v>14</v>
      </c>
      <c r="R229">
        <v>3</v>
      </c>
      <c r="S229" t="s">
        <v>31</v>
      </c>
      <c r="T229">
        <v>8</v>
      </c>
      <c r="U229" t="s">
        <v>31</v>
      </c>
      <c r="V229" s="1">
        <v>42049</v>
      </c>
      <c r="X229" s="1" t="str">
        <f t="shared" si="9"/>
        <v>Active</v>
      </c>
      <c r="Y229" t="str">
        <f t="shared" si="10"/>
        <v>36-45</v>
      </c>
      <c r="Z229" t="str">
        <f t="shared" si="11"/>
        <v>10+ Years</v>
      </c>
    </row>
    <row r="230" spans="1:26" x14ac:dyDescent="0.35">
      <c r="A230" t="s">
        <v>286</v>
      </c>
      <c r="B230">
        <v>32</v>
      </c>
      <c r="C230" t="s">
        <v>27</v>
      </c>
      <c r="D230" t="s">
        <v>28</v>
      </c>
      <c r="E230" t="s">
        <v>66</v>
      </c>
      <c r="F230" t="s">
        <v>78</v>
      </c>
      <c r="G230">
        <v>84339</v>
      </c>
      <c r="H230">
        <v>7</v>
      </c>
      <c r="I230">
        <v>8</v>
      </c>
      <c r="J230">
        <v>3</v>
      </c>
      <c r="K230">
        <v>1</v>
      </c>
      <c r="L230">
        <v>2</v>
      </c>
      <c r="M230">
        <v>4</v>
      </c>
      <c r="N230" t="s">
        <v>31</v>
      </c>
      <c r="O230" t="s">
        <v>32</v>
      </c>
      <c r="P230">
        <v>24</v>
      </c>
      <c r="Q230">
        <v>32</v>
      </c>
      <c r="R230">
        <v>3</v>
      </c>
      <c r="S230" t="s">
        <v>33</v>
      </c>
      <c r="T230">
        <v>5</v>
      </c>
      <c r="U230" t="s">
        <v>31</v>
      </c>
      <c r="V230" s="1">
        <v>41696</v>
      </c>
      <c r="X230" s="1" t="str">
        <f t="shared" si="9"/>
        <v>Active</v>
      </c>
      <c r="Y230" t="str">
        <f t="shared" si="10"/>
        <v>26-35</v>
      </c>
      <c r="Z230" t="str">
        <f t="shared" si="11"/>
        <v>6-10 Years</v>
      </c>
    </row>
    <row r="231" spans="1:26" x14ac:dyDescent="0.35">
      <c r="A231" t="s">
        <v>287</v>
      </c>
      <c r="B231">
        <v>38</v>
      </c>
      <c r="C231" t="s">
        <v>27</v>
      </c>
      <c r="D231" t="s">
        <v>35</v>
      </c>
      <c r="E231" t="s">
        <v>36</v>
      </c>
      <c r="F231" t="s">
        <v>30</v>
      </c>
      <c r="G231">
        <v>122446</v>
      </c>
      <c r="H231">
        <v>11</v>
      </c>
      <c r="I231">
        <v>15</v>
      </c>
      <c r="J231">
        <v>5</v>
      </c>
      <c r="K231">
        <v>2</v>
      </c>
      <c r="L231">
        <v>3</v>
      </c>
      <c r="M231">
        <v>2</v>
      </c>
      <c r="N231" t="s">
        <v>33</v>
      </c>
      <c r="O231" t="s">
        <v>32</v>
      </c>
      <c r="P231">
        <v>5</v>
      </c>
      <c r="Q231">
        <v>28</v>
      </c>
      <c r="R231">
        <v>2</v>
      </c>
      <c r="S231" t="s">
        <v>31</v>
      </c>
      <c r="T231">
        <v>1</v>
      </c>
      <c r="U231" t="s">
        <v>33</v>
      </c>
      <c r="V231" s="1">
        <v>43172</v>
      </c>
      <c r="W231" s="1">
        <v>43632</v>
      </c>
      <c r="X231" s="1" t="str">
        <f t="shared" si="9"/>
        <v>2019-06-16</v>
      </c>
      <c r="Y231" t="str">
        <f t="shared" si="10"/>
        <v>36-45</v>
      </c>
      <c r="Z231" t="str">
        <f t="shared" si="11"/>
        <v>10+ Years</v>
      </c>
    </row>
    <row r="232" spans="1:26" x14ac:dyDescent="0.35">
      <c r="A232" t="s">
        <v>288</v>
      </c>
      <c r="B232">
        <v>25</v>
      </c>
      <c r="C232" t="s">
        <v>44</v>
      </c>
      <c r="D232" t="s">
        <v>52</v>
      </c>
      <c r="E232" t="s">
        <v>53</v>
      </c>
      <c r="F232" t="s">
        <v>37</v>
      </c>
      <c r="G232">
        <v>44586</v>
      </c>
      <c r="H232">
        <v>1</v>
      </c>
      <c r="I232">
        <v>2</v>
      </c>
      <c r="J232">
        <v>1</v>
      </c>
      <c r="K232">
        <v>2</v>
      </c>
      <c r="L232">
        <v>4</v>
      </c>
      <c r="M232">
        <v>3</v>
      </c>
      <c r="N232" t="s">
        <v>31</v>
      </c>
      <c r="O232" t="s">
        <v>47</v>
      </c>
      <c r="P232">
        <v>22</v>
      </c>
      <c r="Q232">
        <v>49</v>
      </c>
      <c r="R232">
        <v>2</v>
      </c>
      <c r="S232" t="s">
        <v>31</v>
      </c>
      <c r="T232">
        <v>8</v>
      </c>
      <c r="U232" t="s">
        <v>33</v>
      </c>
      <c r="V232" s="1">
        <v>41822</v>
      </c>
      <c r="W232" s="1">
        <v>42136</v>
      </c>
      <c r="X232" s="1" t="str">
        <f t="shared" si="9"/>
        <v>2015-05-12</v>
      </c>
      <c r="Y232" t="str">
        <f t="shared" si="10"/>
        <v>18-25</v>
      </c>
      <c r="Z232" t="str">
        <f t="shared" si="11"/>
        <v>0-1 Year</v>
      </c>
    </row>
    <row r="233" spans="1:26" x14ac:dyDescent="0.35">
      <c r="A233" t="s">
        <v>289</v>
      </c>
      <c r="B233">
        <v>27</v>
      </c>
      <c r="C233" t="s">
        <v>44</v>
      </c>
      <c r="D233" t="s">
        <v>35</v>
      </c>
      <c r="E233" t="s">
        <v>36</v>
      </c>
      <c r="F233" t="s">
        <v>61</v>
      </c>
      <c r="G233">
        <v>59454</v>
      </c>
      <c r="H233">
        <v>2</v>
      </c>
      <c r="I233">
        <v>5</v>
      </c>
      <c r="J233">
        <v>2</v>
      </c>
      <c r="K233">
        <v>3</v>
      </c>
      <c r="L233">
        <v>2</v>
      </c>
      <c r="M233">
        <v>2</v>
      </c>
      <c r="N233" t="s">
        <v>33</v>
      </c>
      <c r="O233" t="s">
        <v>32</v>
      </c>
      <c r="P233">
        <v>19</v>
      </c>
      <c r="Q233">
        <v>35</v>
      </c>
      <c r="R233">
        <v>2</v>
      </c>
      <c r="S233" t="s">
        <v>31</v>
      </c>
      <c r="T233">
        <v>5</v>
      </c>
      <c r="U233" t="s">
        <v>31</v>
      </c>
      <c r="V233" s="1">
        <v>42553</v>
      </c>
      <c r="X233" s="1" t="str">
        <f t="shared" si="9"/>
        <v>Active</v>
      </c>
      <c r="Y233" t="str">
        <f t="shared" si="10"/>
        <v>26-35</v>
      </c>
      <c r="Z233" t="str">
        <f t="shared" si="11"/>
        <v>2-3 Years</v>
      </c>
    </row>
    <row r="234" spans="1:26" x14ac:dyDescent="0.35">
      <c r="A234" t="s">
        <v>290</v>
      </c>
      <c r="B234">
        <v>22</v>
      </c>
      <c r="C234" t="s">
        <v>44</v>
      </c>
      <c r="D234" t="s">
        <v>45</v>
      </c>
      <c r="E234" t="s">
        <v>63</v>
      </c>
      <c r="F234" t="s">
        <v>37</v>
      </c>
      <c r="G234">
        <v>58380</v>
      </c>
      <c r="H234">
        <v>0</v>
      </c>
      <c r="I234">
        <v>1</v>
      </c>
      <c r="J234">
        <v>2</v>
      </c>
      <c r="K234">
        <v>4</v>
      </c>
      <c r="L234">
        <v>3</v>
      </c>
      <c r="M234">
        <v>3</v>
      </c>
      <c r="N234" t="s">
        <v>33</v>
      </c>
      <c r="O234" t="s">
        <v>32</v>
      </c>
      <c r="P234">
        <v>23</v>
      </c>
      <c r="Q234">
        <v>50</v>
      </c>
      <c r="R234">
        <v>4</v>
      </c>
      <c r="S234" t="s">
        <v>31</v>
      </c>
      <c r="T234">
        <v>11</v>
      </c>
      <c r="U234" t="s">
        <v>31</v>
      </c>
      <c r="V234" s="1">
        <v>42300</v>
      </c>
      <c r="X234" s="1" t="str">
        <f t="shared" si="9"/>
        <v>Active</v>
      </c>
      <c r="Y234" t="str">
        <f t="shared" si="10"/>
        <v>18-25</v>
      </c>
      <c r="Z234" t="str">
        <f t="shared" si="11"/>
        <v>0-1 Year</v>
      </c>
    </row>
    <row r="235" spans="1:26" x14ac:dyDescent="0.35">
      <c r="A235" t="s">
        <v>291</v>
      </c>
      <c r="B235">
        <v>52</v>
      </c>
      <c r="C235" t="s">
        <v>27</v>
      </c>
      <c r="D235" t="s">
        <v>52</v>
      </c>
      <c r="E235" t="s">
        <v>55</v>
      </c>
      <c r="F235" t="s">
        <v>41</v>
      </c>
      <c r="G235">
        <v>138669</v>
      </c>
      <c r="H235">
        <v>17</v>
      </c>
      <c r="I235">
        <v>29</v>
      </c>
      <c r="J235">
        <v>5</v>
      </c>
      <c r="K235">
        <v>2</v>
      </c>
      <c r="L235">
        <v>2</v>
      </c>
      <c r="M235">
        <v>3</v>
      </c>
      <c r="N235" t="s">
        <v>31</v>
      </c>
      <c r="O235" t="s">
        <v>42</v>
      </c>
      <c r="P235">
        <v>23</v>
      </c>
      <c r="Q235">
        <v>17</v>
      </c>
      <c r="R235">
        <v>2</v>
      </c>
      <c r="S235" t="s">
        <v>33</v>
      </c>
      <c r="T235">
        <v>8</v>
      </c>
      <c r="U235" t="s">
        <v>31</v>
      </c>
      <c r="V235" s="1">
        <v>43290</v>
      </c>
      <c r="X235" s="1" t="str">
        <f t="shared" si="9"/>
        <v>Active</v>
      </c>
      <c r="Y235" t="str">
        <f t="shared" si="10"/>
        <v>46-55</v>
      </c>
      <c r="Z235" t="str">
        <f t="shared" si="11"/>
        <v>10+ Years</v>
      </c>
    </row>
    <row r="236" spans="1:26" x14ac:dyDescent="0.35">
      <c r="A236" t="s">
        <v>292</v>
      </c>
      <c r="B236">
        <v>50</v>
      </c>
      <c r="C236" t="s">
        <v>27</v>
      </c>
      <c r="D236" t="s">
        <v>45</v>
      </c>
      <c r="E236" t="s">
        <v>46</v>
      </c>
      <c r="F236" t="s">
        <v>78</v>
      </c>
      <c r="G236">
        <v>147061</v>
      </c>
      <c r="H236">
        <v>24</v>
      </c>
      <c r="I236">
        <v>27</v>
      </c>
      <c r="J236">
        <v>5</v>
      </c>
      <c r="K236">
        <v>4</v>
      </c>
      <c r="L236">
        <v>3</v>
      </c>
      <c r="M236">
        <v>2</v>
      </c>
      <c r="N236" t="s">
        <v>31</v>
      </c>
      <c r="O236" t="s">
        <v>42</v>
      </c>
      <c r="P236">
        <v>29</v>
      </c>
      <c r="Q236">
        <v>29</v>
      </c>
      <c r="R236">
        <v>3</v>
      </c>
      <c r="S236" t="s">
        <v>31</v>
      </c>
      <c r="T236">
        <v>6</v>
      </c>
      <c r="U236" t="s">
        <v>31</v>
      </c>
      <c r="V236" s="1">
        <v>41505</v>
      </c>
      <c r="X236" s="1" t="str">
        <f t="shared" si="9"/>
        <v>Active</v>
      </c>
      <c r="Y236" t="str">
        <f t="shared" si="10"/>
        <v>46-55</v>
      </c>
      <c r="Z236" t="str">
        <f t="shared" si="11"/>
        <v>10+ Years</v>
      </c>
    </row>
    <row r="237" spans="1:26" x14ac:dyDescent="0.35">
      <c r="A237" t="s">
        <v>293</v>
      </c>
      <c r="B237">
        <v>55</v>
      </c>
      <c r="C237" t="s">
        <v>44</v>
      </c>
      <c r="D237" t="s">
        <v>35</v>
      </c>
      <c r="E237" t="s">
        <v>36</v>
      </c>
      <c r="F237" t="s">
        <v>61</v>
      </c>
      <c r="G237">
        <v>81591</v>
      </c>
      <c r="H237">
        <v>4</v>
      </c>
      <c r="I237">
        <v>34</v>
      </c>
      <c r="J237">
        <v>3</v>
      </c>
      <c r="K237">
        <v>4</v>
      </c>
      <c r="L237">
        <v>3</v>
      </c>
      <c r="M237">
        <v>1</v>
      </c>
      <c r="N237" t="s">
        <v>31</v>
      </c>
      <c r="O237" t="s">
        <v>42</v>
      </c>
      <c r="P237">
        <v>2</v>
      </c>
      <c r="Q237">
        <v>18</v>
      </c>
      <c r="R237">
        <v>3</v>
      </c>
      <c r="S237" t="s">
        <v>31</v>
      </c>
      <c r="T237">
        <v>8</v>
      </c>
      <c r="U237" t="s">
        <v>31</v>
      </c>
      <c r="V237" s="1">
        <v>44240</v>
      </c>
      <c r="X237" s="1" t="str">
        <f t="shared" si="9"/>
        <v>Active</v>
      </c>
      <c r="Y237" t="str">
        <f t="shared" si="10"/>
        <v>46-55</v>
      </c>
      <c r="Z237" t="str">
        <f t="shared" si="11"/>
        <v>4-5 Years</v>
      </c>
    </row>
    <row r="238" spans="1:26" x14ac:dyDescent="0.35">
      <c r="A238" t="s">
        <v>294</v>
      </c>
      <c r="B238">
        <v>39</v>
      </c>
      <c r="C238" t="s">
        <v>27</v>
      </c>
      <c r="D238" t="s">
        <v>49</v>
      </c>
      <c r="E238" t="s">
        <v>68</v>
      </c>
      <c r="F238" t="s">
        <v>61</v>
      </c>
      <c r="G238">
        <v>103510</v>
      </c>
      <c r="H238">
        <v>9</v>
      </c>
      <c r="I238">
        <v>15</v>
      </c>
      <c r="J238">
        <v>4</v>
      </c>
      <c r="K238">
        <v>4</v>
      </c>
      <c r="L238">
        <v>4</v>
      </c>
      <c r="M238">
        <v>2</v>
      </c>
      <c r="N238" t="s">
        <v>33</v>
      </c>
      <c r="O238" t="s">
        <v>42</v>
      </c>
      <c r="P238">
        <v>24</v>
      </c>
      <c r="Q238">
        <v>58</v>
      </c>
      <c r="R238">
        <v>2</v>
      </c>
      <c r="S238" t="s">
        <v>31</v>
      </c>
      <c r="T238">
        <v>7</v>
      </c>
      <c r="U238" t="s">
        <v>31</v>
      </c>
      <c r="V238" s="1">
        <v>41734</v>
      </c>
      <c r="X238" s="1" t="str">
        <f t="shared" si="9"/>
        <v>Active</v>
      </c>
      <c r="Y238" t="str">
        <f t="shared" si="10"/>
        <v>36-45</v>
      </c>
      <c r="Z238" t="str">
        <f t="shared" si="11"/>
        <v>6-10 Years</v>
      </c>
    </row>
    <row r="239" spans="1:26" x14ac:dyDescent="0.35">
      <c r="A239" t="s">
        <v>295</v>
      </c>
      <c r="B239">
        <v>25</v>
      </c>
      <c r="C239" t="s">
        <v>44</v>
      </c>
      <c r="D239" t="s">
        <v>39</v>
      </c>
      <c r="E239" t="s">
        <v>59</v>
      </c>
      <c r="F239" t="s">
        <v>56</v>
      </c>
      <c r="G239">
        <v>44187</v>
      </c>
      <c r="H239">
        <v>1</v>
      </c>
      <c r="I239">
        <v>3</v>
      </c>
      <c r="J239">
        <v>1</v>
      </c>
      <c r="K239">
        <v>2</v>
      </c>
      <c r="L239">
        <v>1</v>
      </c>
      <c r="M239">
        <v>4</v>
      </c>
      <c r="N239" t="s">
        <v>33</v>
      </c>
      <c r="O239" t="s">
        <v>32</v>
      </c>
      <c r="P239">
        <v>9</v>
      </c>
      <c r="Q239">
        <v>56</v>
      </c>
      <c r="R239">
        <v>4</v>
      </c>
      <c r="S239" t="s">
        <v>31</v>
      </c>
      <c r="T239">
        <v>5</v>
      </c>
      <c r="U239" t="s">
        <v>31</v>
      </c>
      <c r="V239" s="1">
        <v>41149</v>
      </c>
      <c r="X239" s="1" t="str">
        <f t="shared" si="9"/>
        <v>Active</v>
      </c>
      <c r="Y239" t="str">
        <f t="shared" si="10"/>
        <v>18-25</v>
      </c>
      <c r="Z239" t="str">
        <f t="shared" si="11"/>
        <v>0-1 Year</v>
      </c>
    </row>
    <row r="240" spans="1:26" x14ac:dyDescent="0.35">
      <c r="A240" t="s">
        <v>296</v>
      </c>
      <c r="B240">
        <v>45</v>
      </c>
      <c r="C240" t="s">
        <v>27</v>
      </c>
      <c r="D240" t="s">
        <v>49</v>
      </c>
      <c r="E240" t="s">
        <v>68</v>
      </c>
      <c r="F240" t="s">
        <v>61</v>
      </c>
      <c r="G240">
        <v>62429</v>
      </c>
      <c r="H240">
        <v>2</v>
      </c>
      <c r="I240">
        <v>22</v>
      </c>
      <c r="J240">
        <v>2</v>
      </c>
      <c r="K240">
        <v>1</v>
      </c>
      <c r="L240">
        <v>2</v>
      </c>
      <c r="M240">
        <v>3</v>
      </c>
      <c r="N240" t="s">
        <v>31</v>
      </c>
      <c r="O240" t="s">
        <v>32</v>
      </c>
      <c r="P240">
        <v>2</v>
      </c>
      <c r="Q240">
        <v>10</v>
      </c>
      <c r="R240">
        <v>4</v>
      </c>
      <c r="S240" t="s">
        <v>31</v>
      </c>
      <c r="T240">
        <v>3</v>
      </c>
      <c r="U240" t="s">
        <v>31</v>
      </c>
      <c r="V240" s="1">
        <v>42139</v>
      </c>
      <c r="X240" s="1" t="str">
        <f t="shared" si="9"/>
        <v>Active</v>
      </c>
      <c r="Y240" t="str">
        <f t="shared" si="10"/>
        <v>36-45</v>
      </c>
      <c r="Z240" t="str">
        <f t="shared" si="11"/>
        <v>2-3 Years</v>
      </c>
    </row>
    <row r="241" spans="1:26" x14ac:dyDescent="0.35">
      <c r="A241" t="s">
        <v>297</v>
      </c>
      <c r="B241">
        <v>43</v>
      </c>
      <c r="C241" t="s">
        <v>44</v>
      </c>
      <c r="D241" t="s">
        <v>49</v>
      </c>
      <c r="E241" t="s">
        <v>50</v>
      </c>
      <c r="F241" t="s">
        <v>41</v>
      </c>
      <c r="G241">
        <v>57916</v>
      </c>
      <c r="H241">
        <v>2</v>
      </c>
      <c r="I241">
        <v>21</v>
      </c>
      <c r="J241">
        <v>2</v>
      </c>
      <c r="K241">
        <v>1</v>
      </c>
      <c r="L241">
        <v>4</v>
      </c>
      <c r="M241">
        <v>1</v>
      </c>
      <c r="N241" t="s">
        <v>33</v>
      </c>
      <c r="O241" t="s">
        <v>47</v>
      </c>
      <c r="P241">
        <v>27</v>
      </c>
      <c r="Q241">
        <v>30</v>
      </c>
      <c r="R241">
        <v>3</v>
      </c>
      <c r="S241" t="s">
        <v>31</v>
      </c>
      <c r="T241">
        <v>3</v>
      </c>
      <c r="U241" t="s">
        <v>31</v>
      </c>
      <c r="V241" s="1">
        <v>45069</v>
      </c>
      <c r="X241" s="1" t="str">
        <f t="shared" si="9"/>
        <v>Active</v>
      </c>
      <c r="Y241" t="str">
        <f t="shared" si="10"/>
        <v>36-45</v>
      </c>
      <c r="Z241" t="str">
        <f t="shared" si="11"/>
        <v>2-3 Years</v>
      </c>
    </row>
    <row r="242" spans="1:26" x14ac:dyDescent="0.35">
      <c r="A242" t="s">
        <v>298</v>
      </c>
      <c r="B242">
        <v>57</v>
      </c>
      <c r="C242" t="s">
        <v>44</v>
      </c>
      <c r="D242" t="s">
        <v>49</v>
      </c>
      <c r="E242" t="s">
        <v>50</v>
      </c>
      <c r="F242" t="s">
        <v>61</v>
      </c>
      <c r="G242">
        <v>145011</v>
      </c>
      <c r="H242">
        <v>22</v>
      </c>
      <c r="I242">
        <v>34</v>
      </c>
      <c r="J242">
        <v>5</v>
      </c>
      <c r="K242">
        <v>1</v>
      </c>
      <c r="L242">
        <v>3</v>
      </c>
      <c r="M242">
        <v>4</v>
      </c>
      <c r="N242" t="s">
        <v>31</v>
      </c>
      <c r="O242" t="s">
        <v>32</v>
      </c>
      <c r="P242">
        <v>14</v>
      </c>
      <c r="Q242">
        <v>25</v>
      </c>
      <c r="R242">
        <v>3</v>
      </c>
      <c r="S242" t="s">
        <v>31</v>
      </c>
      <c r="T242">
        <v>7</v>
      </c>
      <c r="U242" t="s">
        <v>31</v>
      </c>
      <c r="V242" s="1">
        <v>42130</v>
      </c>
      <c r="X242" s="1" t="str">
        <f t="shared" si="9"/>
        <v>Active</v>
      </c>
      <c r="Y242" t="str">
        <f t="shared" si="10"/>
        <v>56+</v>
      </c>
      <c r="Z242" t="str">
        <f t="shared" si="11"/>
        <v>10+ Years</v>
      </c>
    </row>
    <row r="243" spans="1:26" x14ac:dyDescent="0.35">
      <c r="A243" t="s">
        <v>299</v>
      </c>
      <c r="B243">
        <v>40</v>
      </c>
      <c r="C243" t="s">
        <v>27</v>
      </c>
      <c r="D243" t="s">
        <v>28</v>
      </c>
      <c r="E243" t="s">
        <v>29</v>
      </c>
      <c r="F243" t="s">
        <v>30</v>
      </c>
      <c r="G243">
        <v>80067</v>
      </c>
      <c r="H243">
        <v>6</v>
      </c>
      <c r="I243">
        <v>19</v>
      </c>
      <c r="J243">
        <v>3</v>
      </c>
      <c r="K243">
        <v>3</v>
      </c>
      <c r="L243">
        <v>2</v>
      </c>
      <c r="M243">
        <v>1</v>
      </c>
      <c r="N243" t="s">
        <v>33</v>
      </c>
      <c r="O243" t="s">
        <v>32</v>
      </c>
      <c r="P243">
        <v>25</v>
      </c>
      <c r="Q243">
        <v>14</v>
      </c>
      <c r="R243">
        <v>2</v>
      </c>
      <c r="S243" t="s">
        <v>31</v>
      </c>
      <c r="T243">
        <v>6</v>
      </c>
      <c r="U243" t="s">
        <v>31</v>
      </c>
      <c r="V243" s="1">
        <v>41454</v>
      </c>
      <c r="X243" s="1" t="str">
        <f t="shared" si="9"/>
        <v>Active</v>
      </c>
      <c r="Y243" t="str">
        <f t="shared" si="10"/>
        <v>36-45</v>
      </c>
      <c r="Z243" t="str">
        <f t="shared" si="11"/>
        <v>6-10 Years</v>
      </c>
    </row>
    <row r="244" spans="1:26" x14ac:dyDescent="0.35">
      <c r="A244" t="s">
        <v>300</v>
      </c>
      <c r="B244">
        <v>54</v>
      </c>
      <c r="C244" t="s">
        <v>44</v>
      </c>
      <c r="D244" t="s">
        <v>49</v>
      </c>
      <c r="E244" t="s">
        <v>68</v>
      </c>
      <c r="F244" t="s">
        <v>30</v>
      </c>
      <c r="G244">
        <v>86168</v>
      </c>
      <c r="H244">
        <v>6</v>
      </c>
      <c r="I244">
        <v>31</v>
      </c>
      <c r="J244">
        <v>3</v>
      </c>
      <c r="K244">
        <v>1</v>
      </c>
      <c r="L244">
        <v>2</v>
      </c>
      <c r="M244">
        <v>4</v>
      </c>
      <c r="N244" t="s">
        <v>31</v>
      </c>
      <c r="O244" t="s">
        <v>32</v>
      </c>
      <c r="P244">
        <v>2</v>
      </c>
      <c r="Q244">
        <v>39</v>
      </c>
      <c r="R244">
        <v>3</v>
      </c>
      <c r="S244" t="s">
        <v>33</v>
      </c>
      <c r="T244">
        <v>3</v>
      </c>
      <c r="U244" t="s">
        <v>31</v>
      </c>
      <c r="V244" s="1">
        <v>45060</v>
      </c>
      <c r="X244" s="1" t="str">
        <f t="shared" si="9"/>
        <v>Active</v>
      </c>
      <c r="Y244" t="str">
        <f t="shared" si="10"/>
        <v>46-55</v>
      </c>
      <c r="Z244" t="str">
        <f t="shared" si="11"/>
        <v>6-10 Years</v>
      </c>
    </row>
    <row r="245" spans="1:26" x14ac:dyDescent="0.35">
      <c r="A245" t="s">
        <v>301</v>
      </c>
      <c r="B245">
        <v>37</v>
      </c>
      <c r="C245" t="s">
        <v>44</v>
      </c>
      <c r="D245" t="s">
        <v>45</v>
      </c>
      <c r="E245" t="s">
        <v>46</v>
      </c>
      <c r="F245" t="s">
        <v>41</v>
      </c>
      <c r="G245">
        <v>127593</v>
      </c>
      <c r="H245">
        <v>13</v>
      </c>
      <c r="I245">
        <v>16</v>
      </c>
      <c r="J245">
        <v>5</v>
      </c>
      <c r="K245">
        <v>2</v>
      </c>
      <c r="L245">
        <v>2</v>
      </c>
      <c r="M245">
        <v>3</v>
      </c>
      <c r="N245" t="s">
        <v>31</v>
      </c>
      <c r="O245" t="s">
        <v>32</v>
      </c>
      <c r="P245">
        <v>23</v>
      </c>
      <c r="Q245">
        <v>31</v>
      </c>
      <c r="R245">
        <v>2</v>
      </c>
      <c r="S245" t="s">
        <v>31</v>
      </c>
      <c r="T245">
        <v>5</v>
      </c>
      <c r="U245" t="s">
        <v>31</v>
      </c>
      <c r="V245" s="1">
        <v>43185</v>
      </c>
      <c r="X245" s="1" t="str">
        <f t="shared" si="9"/>
        <v>Active</v>
      </c>
      <c r="Y245" t="str">
        <f t="shared" si="10"/>
        <v>36-45</v>
      </c>
      <c r="Z245" t="str">
        <f t="shared" si="11"/>
        <v>10+ Years</v>
      </c>
    </row>
    <row r="246" spans="1:26" x14ac:dyDescent="0.35">
      <c r="A246" t="s">
        <v>302</v>
      </c>
      <c r="B246">
        <v>23</v>
      </c>
      <c r="C246" t="s">
        <v>27</v>
      </c>
      <c r="D246" t="s">
        <v>52</v>
      </c>
      <c r="E246" t="s">
        <v>55</v>
      </c>
      <c r="F246" t="s">
        <v>61</v>
      </c>
      <c r="G246">
        <v>41212</v>
      </c>
      <c r="H246">
        <v>0</v>
      </c>
      <c r="I246">
        <v>1</v>
      </c>
      <c r="J246">
        <v>1</v>
      </c>
      <c r="K246">
        <v>2</v>
      </c>
      <c r="L246">
        <v>4</v>
      </c>
      <c r="M246">
        <v>2</v>
      </c>
      <c r="N246" t="s">
        <v>31</v>
      </c>
      <c r="O246" t="s">
        <v>32</v>
      </c>
      <c r="P246">
        <v>23</v>
      </c>
      <c r="Q246">
        <v>38</v>
      </c>
      <c r="R246">
        <v>3</v>
      </c>
      <c r="S246" t="s">
        <v>31</v>
      </c>
      <c r="T246">
        <v>5</v>
      </c>
      <c r="U246" t="s">
        <v>31</v>
      </c>
      <c r="V246" s="1">
        <v>44413</v>
      </c>
      <c r="X246" s="1" t="str">
        <f t="shared" si="9"/>
        <v>Active</v>
      </c>
      <c r="Y246" t="str">
        <f t="shared" si="10"/>
        <v>18-25</v>
      </c>
      <c r="Z246" t="str">
        <f t="shared" si="11"/>
        <v>0-1 Year</v>
      </c>
    </row>
    <row r="247" spans="1:26" x14ac:dyDescent="0.35">
      <c r="A247" t="s">
        <v>303</v>
      </c>
      <c r="B247">
        <v>50</v>
      </c>
      <c r="C247" t="s">
        <v>27</v>
      </c>
      <c r="D247" t="s">
        <v>39</v>
      </c>
      <c r="E247" t="s">
        <v>40</v>
      </c>
      <c r="F247" t="s">
        <v>41</v>
      </c>
      <c r="G247">
        <v>149250</v>
      </c>
      <c r="H247">
        <v>23</v>
      </c>
      <c r="I247">
        <v>26</v>
      </c>
      <c r="J247">
        <v>5</v>
      </c>
      <c r="K247">
        <v>4</v>
      </c>
      <c r="L247">
        <v>1</v>
      </c>
      <c r="M247">
        <v>1</v>
      </c>
      <c r="N247" t="s">
        <v>31</v>
      </c>
      <c r="O247" t="s">
        <v>32</v>
      </c>
      <c r="P247">
        <v>19</v>
      </c>
      <c r="Q247">
        <v>35</v>
      </c>
      <c r="R247">
        <v>3</v>
      </c>
      <c r="S247" t="s">
        <v>33</v>
      </c>
      <c r="T247">
        <v>7</v>
      </c>
      <c r="U247" t="s">
        <v>31</v>
      </c>
      <c r="V247" s="1">
        <v>45181</v>
      </c>
      <c r="X247" s="1" t="str">
        <f t="shared" si="9"/>
        <v>Active</v>
      </c>
      <c r="Y247" t="str">
        <f t="shared" si="10"/>
        <v>46-55</v>
      </c>
      <c r="Z247" t="str">
        <f t="shared" si="11"/>
        <v>10+ Years</v>
      </c>
    </row>
    <row r="248" spans="1:26" x14ac:dyDescent="0.35">
      <c r="A248" t="s">
        <v>304</v>
      </c>
      <c r="B248">
        <v>24</v>
      </c>
      <c r="C248" t="s">
        <v>27</v>
      </c>
      <c r="D248" t="s">
        <v>39</v>
      </c>
      <c r="E248" t="s">
        <v>40</v>
      </c>
      <c r="F248" t="s">
        <v>41</v>
      </c>
      <c r="G248">
        <v>57894</v>
      </c>
      <c r="H248">
        <v>0</v>
      </c>
      <c r="I248">
        <v>1</v>
      </c>
      <c r="J248">
        <v>2</v>
      </c>
      <c r="K248">
        <v>2</v>
      </c>
      <c r="L248">
        <v>2</v>
      </c>
      <c r="M248">
        <v>4</v>
      </c>
      <c r="N248" t="s">
        <v>31</v>
      </c>
      <c r="O248" t="s">
        <v>32</v>
      </c>
      <c r="P248">
        <v>17</v>
      </c>
      <c r="Q248">
        <v>34</v>
      </c>
      <c r="R248">
        <v>3</v>
      </c>
      <c r="S248" t="s">
        <v>31</v>
      </c>
      <c r="T248">
        <v>6</v>
      </c>
      <c r="U248" t="s">
        <v>31</v>
      </c>
      <c r="V248" s="1">
        <v>43622</v>
      </c>
      <c r="X248" s="1" t="str">
        <f t="shared" si="9"/>
        <v>Active</v>
      </c>
      <c r="Y248" t="str">
        <f t="shared" si="10"/>
        <v>18-25</v>
      </c>
      <c r="Z248" t="str">
        <f t="shared" si="11"/>
        <v>0-1 Year</v>
      </c>
    </row>
    <row r="249" spans="1:26" x14ac:dyDescent="0.35">
      <c r="A249" t="s">
        <v>305</v>
      </c>
      <c r="B249">
        <v>47</v>
      </c>
      <c r="C249" t="s">
        <v>44</v>
      </c>
      <c r="D249" t="s">
        <v>35</v>
      </c>
      <c r="E249" t="s">
        <v>85</v>
      </c>
      <c r="F249" t="s">
        <v>61</v>
      </c>
      <c r="G249">
        <v>138010</v>
      </c>
      <c r="H249">
        <v>19</v>
      </c>
      <c r="I249">
        <v>26</v>
      </c>
      <c r="J249">
        <v>5</v>
      </c>
      <c r="K249">
        <v>4</v>
      </c>
      <c r="L249">
        <v>4</v>
      </c>
      <c r="M249">
        <v>1</v>
      </c>
      <c r="N249" t="s">
        <v>31</v>
      </c>
      <c r="O249" t="s">
        <v>42</v>
      </c>
      <c r="P249">
        <v>17</v>
      </c>
      <c r="Q249">
        <v>21</v>
      </c>
      <c r="R249">
        <v>3</v>
      </c>
      <c r="S249" t="s">
        <v>33</v>
      </c>
      <c r="T249">
        <v>6</v>
      </c>
      <c r="U249" t="s">
        <v>31</v>
      </c>
      <c r="V249" s="1">
        <v>42011</v>
      </c>
      <c r="X249" s="1" t="str">
        <f t="shared" si="9"/>
        <v>Active</v>
      </c>
      <c r="Y249" t="str">
        <f t="shared" si="10"/>
        <v>46-55</v>
      </c>
      <c r="Z249" t="str">
        <f t="shared" si="11"/>
        <v>10+ Years</v>
      </c>
    </row>
    <row r="250" spans="1:26" x14ac:dyDescent="0.35">
      <c r="A250" t="s">
        <v>306</v>
      </c>
      <c r="B250">
        <v>34</v>
      </c>
      <c r="C250" t="s">
        <v>44</v>
      </c>
      <c r="D250" t="s">
        <v>45</v>
      </c>
      <c r="E250" t="s">
        <v>63</v>
      </c>
      <c r="F250" t="s">
        <v>41</v>
      </c>
      <c r="G250">
        <v>78818</v>
      </c>
      <c r="H250">
        <v>3</v>
      </c>
      <c r="I250">
        <v>12</v>
      </c>
      <c r="J250">
        <v>3</v>
      </c>
      <c r="K250">
        <v>2</v>
      </c>
      <c r="L250">
        <v>3</v>
      </c>
      <c r="M250">
        <v>3</v>
      </c>
      <c r="N250" t="s">
        <v>31</v>
      </c>
      <c r="O250" t="s">
        <v>47</v>
      </c>
      <c r="P250">
        <v>16</v>
      </c>
      <c r="Q250">
        <v>28</v>
      </c>
      <c r="R250">
        <v>3</v>
      </c>
      <c r="S250" t="s">
        <v>31</v>
      </c>
      <c r="T250">
        <v>4</v>
      </c>
      <c r="U250" t="s">
        <v>31</v>
      </c>
      <c r="V250" s="1">
        <v>45127</v>
      </c>
      <c r="X250" s="1" t="str">
        <f t="shared" si="9"/>
        <v>Active</v>
      </c>
      <c r="Y250" t="str">
        <f t="shared" si="10"/>
        <v>26-35</v>
      </c>
      <c r="Z250" t="str">
        <f t="shared" si="11"/>
        <v>2-3 Years</v>
      </c>
    </row>
    <row r="251" spans="1:26" x14ac:dyDescent="0.35">
      <c r="A251" t="s">
        <v>307</v>
      </c>
      <c r="B251">
        <v>51</v>
      </c>
      <c r="C251" t="s">
        <v>27</v>
      </c>
      <c r="D251" t="s">
        <v>49</v>
      </c>
      <c r="E251" t="s">
        <v>68</v>
      </c>
      <c r="F251" t="s">
        <v>41</v>
      </c>
      <c r="G251">
        <v>143500</v>
      </c>
      <c r="H251">
        <v>20</v>
      </c>
      <c r="I251">
        <v>28</v>
      </c>
      <c r="J251">
        <v>5</v>
      </c>
      <c r="K251">
        <v>4</v>
      </c>
      <c r="L251">
        <v>3</v>
      </c>
      <c r="M251">
        <v>3</v>
      </c>
      <c r="N251" t="s">
        <v>33</v>
      </c>
      <c r="O251" t="s">
        <v>42</v>
      </c>
      <c r="P251">
        <v>5</v>
      </c>
      <c r="Q251">
        <v>32</v>
      </c>
      <c r="R251">
        <v>3</v>
      </c>
      <c r="S251" t="s">
        <v>33</v>
      </c>
      <c r="T251">
        <v>2</v>
      </c>
      <c r="U251" t="s">
        <v>31</v>
      </c>
      <c r="V251" s="1">
        <v>42081</v>
      </c>
      <c r="X251" s="1" t="str">
        <f t="shared" si="9"/>
        <v>Active</v>
      </c>
      <c r="Y251" t="str">
        <f t="shared" si="10"/>
        <v>46-55</v>
      </c>
      <c r="Z251" t="str">
        <f t="shared" si="11"/>
        <v>10+ Years</v>
      </c>
    </row>
    <row r="252" spans="1:26" x14ac:dyDescent="0.35">
      <c r="A252" t="s">
        <v>308</v>
      </c>
      <c r="B252">
        <v>32</v>
      </c>
      <c r="C252" t="s">
        <v>44</v>
      </c>
      <c r="D252" t="s">
        <v>39</v>
      </c>
      <c r="E252" t="s">
        <v>74</v>
      </c>
      <c r="F252" t="s">
        <v>37</v>
      </c>
      <c r="G252">
        <v>96825</v>
      </c>
      <c r="H252">
        <v>6</v>
      </c>
      <c r="I252">
        <v>9</v>
      </c>
      <c r="J252">
        <v>4</v>
      </c>
      <c r="K252">
        <v>4</v>
      </c>
      <c r="L252">
        <v>2</v>
      </c>
      <c r="M252">
        <v>4</v>
      </c>
      <c r="N252" t="s">
        <v>31</v>
      </c>
      <c r="O252" t="s">
        <v>42</v>
      </c>
      <c r="P252">
        <v>17</v>
      </c>
      <c r="Q252">
        <v>26</v>
      </c>
      <c r="R252">
        <v>2</v>
      </c>
      <c r="S252" t="s">
        <v>33</v>
      </c>
      <c r="T252">
        <v>3</v>
      </c>
      <c r="U252" t="s">
        <v>31</v>
      </c>
      <c r="V252" s="1">
        <v>45218</v>
      </c>
      <c r="X252" s="1" t="str">
        <f t="shared" si="9"/>
        <v>Active</v>
      </c>
      <c r="Y252" t="str">
        <f t="shared" si="10"/>
        <v>26-35</v>
      </c>
      <c r="Z252" t="str">
        <f t="shared" si="11"/>
        <v>6-10 Years</v>
      </c>
    </row>
    <row r="253" spans="1:26" x14ac:dyDescent="0.35">
      <c r="A253" t="s">
        <v>309</v>
      </c>
      <c r="B253">
        <v>25</v>
      </c>
      <c r="C253" t="s">
        <v>44</v>
      </c>
      <c r="D253" t="s">
        <v>49</v>
      </c>
      <c r="E253" t="s">
        <v>68</v>
      </c>
      <c r="F253" t="s">
        <v>41</v>
      </c>
      <c r="G253">
        <v>54773</v>
      </c>
      <c r="H253">
        <v>1</v>
      </c>
      <c r="I253">
        <v>4</v>
      </c>
      <c r="J253">
        <v>2</v>
      </c>
      <c r="K253">
        <v>4</v>
      </c>
      <c r="L253">
        <v>1</v>
      </c>
      <c r="M253">
        <v>3</v>
      </c>
      <c r="N253" t="s">
        <v>33</v>
      </c>
      <c r="O253" t="s">
        <v>32</v>
      </c>
      <c r="P253">
        <v>2</v>
      </c>
      <c r="Q253">
        <v>17</v>
      </c>
      <c r="R253">
        <v>3</v>
      </c>
      <c r="S253" t="s">
        <v>31</v>
      </c>
      <c r="T253">
        <v>4</v>
      </c>
      <c r="U253" t="s">
        <v>31</v>
      </c>
      <c r="V253" s="1">
        <v>41782</v>
      </c>
      <c r="X253" s="1" t="str">
        <f t="shared" si="9"/>
        <v>Active</v>
      </c>
      <c r="Y253" t="str">
        <f t="shared" si="10"/>
        <v>18-25</v>
      </c>
      <c r="Z253" t="str">
        <f t="shared" si="11"/>
        <v>0-1 Year</v>
      </c>
    </row>
    <row r="254" spans="1:26" x14ac:dyDescent="0.35">
      <c r="A254" t="s">
        <v>310</v>
      </c>
      <c r="B254">
        <v>33</v>
      </c>
      <c r="C254" t="s">
        <v>27</v>
      </c>
      <c r="D254" t="s">
        <v>45</v>
      </c>
      <c r="E254" t="s">
        <v>63</v>
      </c>
      <c r="F254" t="s">
        <v>78</v>
      </c>
      <c r="G254">
        <v>76329</v>
      </c>
      <c r="H254">
        <v>4</v>
      </c>
      <c r="I254">
        <v>11</v>
      </c>
      <c r="J254">
        <v>3</v>
      </c>
      <c r="K254">
        <v>2</v>
      </c>
      <c r="L254">
        <v>3</v>
      </c>
      <c r="M254">
        <v>4</v>
      </c>
      <c r="N254" t="s">
        <v>31</v>
      </c>
      <c r="O254" t="s">
        <v>32</v>
      </c>
      <c r="P254">
        <v>6</v>
      </c>
      <c r="Q254">
        <v>47</v>
      </c>
      <c r="R254">
        <v>4</v>
      </c>
      <c r="S254" t="s">
        <v>31</v>
      </c>
      <c r="T254">
        <v>2</v>
      </c>
      <c r="U254" t="s">
        <v>33</v>
      </c>
      <c r="V254" s="1">
        <v>41286</v>
      </c>
      <c r="W254" s="1">
        <v>41775</v>
      </c>
      <c r="X254" s="1" t="str">
        <f t="shared" si="9"/>
        <v>2014-05-16</v>
      </c>
      <c r="Y254" t="str">
        <f t="shared" si="10"/>
        <v>26-35</v>
      </c>
      <c r="Z254" t="str">
        <f t="shared" si="11"/>
        <v>4-5 Years</v>
      </c>
    </row>
    <row r="255" spans="1:26" x14ac:dyDescent="0.35">
      <c r="A255" t="s">
        <v>311</v>
      </c>
      <c r="B255">
        <v>38</v>
      </c>
      <c r="C255" t="s">
        <v>44</v>
      </c>
      <c r="D255" t="s">
        <v>45</v>
      </c>
      <c r="E255" t="s">
        <v>63</v>
      </c>
      <c r="F255" t="s">
        <v>37</v>
      </c>
      <c r="G255">
        <v>86367</v>
      </c>
      <c r="H255">
        <v>7</v>
      </c>
      <c r="I255">
        <v>16</v>
      </c>
      <c r="J255">
        <v>3</v>
      </c>
      <c r="K255">
        <v>2</v>
      </c>
      <c r="L255">
        <v>1</v>
      </c>
      <c r="M255">
        <v>1</v>
      </c>
      <c r="N255" t="s">
        <v>31</v>
      </c>
      <c r="O255" t="s">
        <v>32</v>
      </c>
      <c r="P255">
        <v>24</v>
      </c>
      <c r="Q255">
        <v>37</v>
      </c>
      <c r="R255">
        <v>3</v>
      </c>
      <c r="S255" t="s">
        <v>31</v>
      </c>
      <c r="T255">
        <v>5</v>
      </c>
      <c r="U255" t="s">
        <v>31</v>
      </c>
      <c r="V255" s="1">
        <v>43747</v>
      </c>
      <c r="X255" s="1" t="str">
        <f t="shared" si="9"/>
        <v>Active</v>
      </c>
      <c r="Y255" t="str">
        <f t="shared" si="10"/>
        <v>36-45</v>
      </c>
      <c r="Z255" t="str">
        <f t="shared" si="11"/>
        <v>6-10 Years</v>
      </c>
    </row>
    <row r="256" spans="1:26" x14ac:dyDescent="0.35">
      <c r="A256" t="s">
        <v>312</v>
      </c>
      <c r="B256">
        <v>55</v>
      </c>
      <c r="C256" t="s">
        <v>27</v>
      </c>
      <c r="D256" t="s">
        <v>45</v>
      </c>
      <c r="E256" t="s">
        <v>46</v>
      </c>
      <c r="F256" t="s">
        <v>78</v>
      </c>
      <c r="G256">
        <v>98384</v>
      </c>
      <c r="H256">
        <v>6</v>
      </c>
      <c r="I256">
        <v>32</v>
      </c>
      <c r="J256">
        <v>4</v>
      </c>
      <c r="K256">
        <v>1</v>
      </c>
      <c r="L256">
        <v>2</v>
      </c>
      <c r="M256">
        <v>2</v>
      </c>
      <c r="N256" t="s">
        <v>31</v>
      </c>
      <c r="O256" t="s">
        <v>32</v>
      </c>
      <c r="P256">
        <v>19</v>
      </c>
      <c r="Q256">
        <v>59</v>
      </c>
      <c r="R256">
        <v>2</v>
      </c>
      <c r="S256" t="s">
        <v>31</v>
      </c>
      <c r="T256">
        <v>8</v>
      </c>
      <c r="U256" t="s">
        <v>31</v>
      </c>
      <c r="V256" s="1">
        <v>44788</v>
      </c>
      <c r="X256" s="1" t="str">
        <f t="shared" si="9"/>
        <v>Active</v>
      </c>
      <c r="Y256" t="str">
        <f t="shared" si="10"/>
        <v>46-55</v>
      </c>
      <c r="Z256" t="str">
        <f t="shared" si="11"/>
        <v>6-10 Years</v>
      </c>
    </row>
    <row r="257" spans="1:26" x14ac:dyDescent="0.35">
      <c r="A257" t="s">
        <v>313</v>
      </c>
      <c r="B257">
        <v>46</v>
      </c>
      <c r="C257" t="s">
        <v>27</v>
      </c>
      <c r="D257" t="s">
        <v>49</v>
      </c>
      <c r="E257" t="s">
        <v>68</v>
      </c>
      <c r="F257" t="s">
        <v>78</v>
      </c>
      <c r="G257">
        <v>134302</v>
      </c>
      <c r="H257">
        <v>18</v>
      </c>
      <c r="I257">
        <v>24</v>
      </c>
      <c r="J257">
        <v>5</v>
      </c>
      <c r="K257">
        <v>3</v>
      </c>
      <c r="L257">
        <v>2</v>
      </c>
      <c r="M257">
        <v>4</v>
      </c>
      <c r="N257" t="s">
        <v>31</v>
      </c>
      <c r="O257" t="s">
        <v>32</v>
      </c>
      <c r="P257">
        <v>8</v>
      </c>
      <c r="Q257">
        <v>27</v>
      </c>
      <c r="R257">
        <v>3</v>
      </c>
      <c r="S257" t="s">
        <v>33</v>
      </c>
      <c r="T257">
        <v>7</v>
      </c>
      <c r="U257" t="s">
        <v>31</v>
      </c>
      <c r="V257" s="1">
        <v>43545</v>
      </c>
      <c r="X257" s="1" t="str">
        <f t="shared" si="9"/>
        <v>Active</v>
      </c>
      <c r="Y257" t="str">
        <f t="shared" si="10"/>
        <v>46-55</v>
      </c>
      <c r="Z257" t="str">
        <f t="shared" si="11"/>
        <v>10+ Years</v>
      </c>
    </row>
    <row r="258" spans="1:26" x14ac:dyDescent="0.35">
      <c r="A258" t="s">
        <v>314</v>
      </c>
      <c r="B258">
        <v>58</v>
      </c>
      <c r="C258" t="s">
        <v>44</v>
      </c>
      <c r="D258" t="s">
        <v>39</v>
      </c>
      <c r="E258" t="s">
        <v>40</v>
      </c>
      <c r="F258" t="s">
        <v>78</v>
      </c>
      <c r="G258">
        <v>150159</v>
      </c>
      <c r="H258">
        <v>25</v>
      </c>
      <c r="I258">
        <v>35</v>
      </c>
      <c r="J258">
        <v>5</v>
      </c>
      <c r="K258">
        <v>4</v>
      </c>
      <c r="L258">
        <v>4</v>
      </c>
      <c r="M258">
        <v>3</v>
      </c>
      <c r="N258" t="s">
        <v>31</v>
      </c>
      <c r="O258" t="s">
        <v>32</v>
      </c>
      <c r="P258">
        <v>5</v>
      </c>
      <c r="Q258">
        <v>22</v>
      </c>
      <c r="R258">
        <v>3</v>
      </c>
      <c r="S258" t="s">
        <v>33</v>
      </c>
      <c r="T258">
        <v>4</v>
      </c>
      <c r="U258" t="s">
        <v>33</v>
      </c>
      <c r="V258" s="1">
        <v>43880</v>
      </c>
      <c r="W258" s="1">
        <v>44395</v>
      </c>
      <c r="X258" s="1" t="str">
        <f t="shared" si="9"/>
        <v>2021-07-18</v>
      </c>
      <c r="Y258" t="str">
        <f t="shared" si="10"/>
        <v>56+</v>
      </c>
      <c r="Z258" t="str">
        <f t="shared" si="11"/>
        <v>10+ Years</v>
      </c>
    </row>
    <row r="259" spans="1:26" x14ac:dyDescent="0.35">
      <c r="A259" t="s">
        <v>315</v>
      </c>
      <c r="B259">
        <v>56</v>
      </c>
      <c r="C259" t="s">
        <v>27</v>
      </c>
      <c r="D259" t="s">
        <v>52</v>
      </c>
      <c r="E259" t="s">
        <v>53</v>
      </c>
      <c r="F259" t="s">
        <v>56</v>
      </c>
      <c r="G259">
        <v>65787</v>
      </c>
      <c r="H259">
        <v>3</v>
      </c>
      <c r="I259">
        <v>35</v>
      </c>
      <c r="J259">
        <v>2</v>
      </c>
      <c r="K259">
        <v>2</v>
      </c>
      <c r="L259">
        <v>1</v>
      </c>
      <c r="M259">
        <v>1</v>
      </c>
      <c r="N259" t="s">
        <v>31</v>
      </c>
      <c r="O259" t="s">
        <v>32</v>
      </c>
      <c r="P259">
        <v>17</v>
      </c>
      <c r="Q259">
        <v>36</v>
      </c>
      <c r="R259">
        <v>4</v>
      </c>
      <c r="S259" t="s">
        <v>31</v>
      </c>
      <c r="T259">
        <v>8</v>
      </c>
      <c r="U259" t="s">
        <v>31</v>
      </c>
      <c r="V259" s="1">
        <v>41164</v>
      </c>
      <c r="X259" s="1" t="str">
        <f t="shared" ref="X259:X322" si="12">IF(ISBLANK(W259), "Active", TEXT(W259, "yyyy-mm-dd"))</f>
        <v>Active</v>
      </c>
      <c r="Y259" t="str">
        <f t="shared" ref="Y259:Y322" si="13">_xlfn.IFS(B259&lt;=25, "18-25", B259&lt;=35, "26-35", B259&lt;=45, "36-45", B259&lt;=55, "46-55", B259&gt;55, "56+")</f>
        <v>56+</v>
      </c>
      <c r="Z259" t="str">
        <f t="shared" ref="Z259:Z322" si="14">_xlfn.IFS(H259&lt;=1, "0-1 Year", H259&lt;=3, "2-3 Years", H259&lt;=5, "4-5 Years", H259&lt;=10, "6-10 Years", H259&gt;10, "10+ Years")</f>
        <v>2-3 Years</v>
      </c>
    </row>
    <row r="260" spans="1:26" x14ac:dyDescent="0.35">
      <c r="A260" t="s">
        <v>316</v>
      </c>
      <c r="B260">
        <v>54</v>
      </c>
      <c r="C260" t="s">
        <v>27</v>
      </c>
      <c r="D260" t="s">
        <v>52</v>
      </c>
      <c r="E260" t="s">
        <v>53</v>
      </c>
      <c r="F260" t="s">
        <v>56</v>
      </c>
      <c r="G260">
        <v>142383</v>
      </c>
      <c r="H260">
        <v>21</v>
      </c>
      <c r="I260">
        <v>30</v>
      </c>
      <c r="J260">
        <v>5</v>
      </c>
      <c r="K260">
        <v>3</v>
      </c>
      <c r="L260">
        <v>1</v>
      </c>
      <c r="M260">
        <v>2</v>
      </c>
      <c r="N260" t="s">
        <v>31</v>
      </c>
      <c r="O260" t="s">
        <v>47</v>
      </c>
      <c r="P260">
        <v>16</v>
      </c>
      <c r="Q260">
        <v>23</v>
      </c>
      <c r="R260">
        <v>4</v>
      </c>
      <c r="S260" t="s">
        <v>31</v>
      </c>
      <c r="T260">
        <v>6</v>
      </c>
      <c r="U260" t="s">
        <v>31</v>
      </c>
      <c r="V260" s="1">
        <v>43355</v>
      </c>
      <c r="X260" s="1" t="str">
        <f t="shared" si="12"/>
        <v>Active</v>
      </c>
      <c r="Y260" t="str">
        <f t="shared" si="13"/>
        <v>46-55</v>
      </c>
      <c r="Z260" t="str">
        <f t="shared" si="14"/>
        <v>10+ Years</v>
      </c>
    </row>
    <row r="261" spans="1:26" x14ac:dyDescent="0.35">
      <c r="A261" t="s">
        <v>317</v>
      </c>
      <c r="B261">
        <v>26</v>
      </c>
      <c r="C261" t="s">
        <v>27</v>
      </c>
      <c r="D261" t="s">
        <v>45</v>
      </c>
      <c r="E261" t="s">
        <v>46</v>
      </c>
      <c r="F261" t="s">
        <v>30</v>
      </c>
      <c r="G261">
        <v>61006</v>
      </c>
      <c r="H261">
        <v>1</v>
      </c>
      <c r="I261">
        <v>2</v>
      </c>
      <c r="J261">
        <v>2</v>
      </c>
      <c r="K261">
        <v>2</v>
      </c>
      <c r="L261">
        <v>4</v>
      </c>
      <c r="M261">
        <v>4</v>
      </c>
      <c r="N261" t="s">
        <v>31</v>
      </c>
      <c r="O261" t="s">
        <v>32</v>
      </c>
      <c r="P261">
        <v>5</v>
      </c>
      <c r="Q261">
        <v>12</v>
      </c>
      <c r="R261">
        <v>3</v>
      </c>
      <c r="S261" t="s">
        <v>31</v>
      </c>
      <c r="T261">
        <v>8</v>
      </c>
      <c r="U261" t="s">
        <v>31</v>
      </c>
      <c r="V261" s="1">
        <v>44008</v>
      </c>
      <c r="X261" s="1" t="str">
        <f t="shared" si="12"/>
        <v>Active</v>
      </c>
      <c r="Y261" t="str">
        <f t="shared" si="13"/>
        <v>26-35</v>
      </c>
      <c r="Z261" t="str">
        <f t="shared" si="14"/>
        <v>0-1 Year</v>
      </c>
    </row>
    <row r="262" spans="1:26" x14ac:dyDescent="0.35">
      <c r="A262" t="s">
        <v>318</v>
      </c>
      <c r="B262">
        <v>37</v>
      </c>
      <c r="C262" t="s">
        <v>27</v>
      </c>
      <c r="D262" t="s">
        <v>28</v>
      </c>
      <c r="E262" t="s">
        <v>66</v>
      </c>
      <c r="F262" t="s">
        <v>30</v>
      </c>
      <c r="G262">
        <v>101897</v>
      </c>
      <c r="H262">
        <v>6</v>
      </c>
      <c r="I262">
        <v>16</v>
      </c>
      <c r="J262">
        <v>4</v>
      </c>
      <c r="K262">
        <v>1</v>
      </c>
      <c r="L262">
        <v>4</v>
      </c>
      <c r="M262">
        <v>3</v>
      </c>
      <c r="N262" t="s">
        <v>31</v>
      </c>
      <c r="O262" t="s">
        <v>42</v>
      </c>
      <c r="P262">
        <v>7</v>
      </c>
      <c r="Q262">
        <v>35</v>
      </c>
      <c r="R262">
        <v>2</v>
      </c>
      <c r="S262" t="s">
        <v>31</v>
      </c>
      <c r="T262">
        <v>5</v>
      </c>
      <c r="U262" t="s">
        <v>31</v>
      </c>
      <c r="V262" s="1">
        <v>41155</v>
      </c>
      <c r="X262" s="1" t="str">
        <f t="shared" si="12"/>
        <v>Active</v>
      </c>
      <c r="Y262" t="str">
        <f t="shared" si="13"/>
        <v>36-45</v>
      </c>
      <c r="Z262" t="str">
        <f t="shared" si="14"/>
        <v>6-10 Years</v>
      </c>
    </row>
    <row r="263" spans="1:26" x14ac:dyDescent="0.35">
      <c r="A263" t="s">
        <v>319</v>
      </c>
      <c r="B263">
        <v>52</v>
      </c>
      <c r="C263" t="s">
        <v>27</v>
      </c>
      <c r="D263" t="s">
        <v>49</v>
      </c>
      <c r="E263" t="s">
        <v>50</v>
      </c>
      <c r="F263" t="s">
        <v>30</v>
      </c>
      <c r="G263">
        <v>149523</v>
      </c>
      <c r="H263">
        <v>23</v>
      </c>
      <c r="I263">
        <v>29</v>
      </c>
      <c r="J263">
        <v>5</v>
      </c>
      <c r="K263">
        <v>2</v>
      </c>
      <c r="L263">
        <v>4</v>
      </c>
      <c r="M263">
        <v>1</v>
      </c>
      <c r="N263" t="s">
        <v>31</v>
      </c>
      <c r="O263" t="s">
        <v>32</v>
      </c>
      <c r="P263">
        <v>12</v>
      </c>
      <c r="Q263">
        <v>39</v>
      </c>
      <c r="R263">
        <v>3</v>
      </c>
      <c r="S263" t="s">
        <v>33</v>
      </c>
      <c r="T263">
        <v>4</v>
      </c>
      <c r="U263" t="s">
        <v>31</v>
      </c>
      <c r="V263" s="1">
        <v>42756</v>
      </c>
      <c r="X263" s="1" t="str">
        <f t="shared" si="12"/>
        <v>Active</v>
      </c>
      <c r="Y263" t="str">
        <f t="shared" si="13"/>
        <v>46-55</v>
      </c>
      <c r="Z263" t="str">
        <f t="shared" si="14"/>
        <v>10+ Years</v>
      </c>
    </row>
    <row r="264" spans="1:26" x14ac:dyDescent="0.35">
      <c r="A264" t="s">
        <v>320</v>
      </c>
      <c r="B264">
        <v>25</v>
      </c>
      <c r="C264" t="s">
        <v>44</v>
      </c>
      <c r="D264" t="s">
        <v>39</v>
      </c>
      <c r="E264" t="s">
        <v>40</v>
      </c>
      <c r="F264" t="s">
        <v>56</v>
      </c>
      <c r="G264">
        <v>60198</v>
      </c>
      <c r="H264">
        <v>3</v>
      </c>
      <c r="I264">
        <v>4</v>
      </c>
      <c r="J264">
        <v>2</v>
      </c>
      <c r="K264">
        <v>4</v>
      </c>
      <c r="L264">
        <v>4</v>
      </c>
      <c r="M264">
        <v>1</v>
      </c>
      <c r="N264" t="s">
        <v>31</v>
      </c>
      <c r="O264" t="s">
        <v>42</v>
      </c>
      <c r="P264">
        <v>19</v>
      </c>
      <c r="Q264">
        <v>39</v>
      </c>
      <c r="R264">
        <v>3</v>
      </c>
      <c r="S264" t="s">
        <v>31</v>
      </c>
      <c r="T264">
        <v>6</v>
      </c>
      <c r="U264" t="s">
        <v>31</v>
      </c>
      <c r="V264" s="1">
        <v>41454</v>
      </c>
      <c r="X264" s="1" t="str">
        <f t="shared" si="12"/>
        <v>Active</v>
      </c>
      <c r="Y264" t="str">
        <f t="shared" si="13"/>
        <v>18-25</v>
      </c>
      <c r="Z264" t="str">
        <f t="shared" si="14"/>
        <v>2-3 Years</v>
      </c>
    </row>
    <row r="265" spans="1:26" x14ac:dyDescent="0.35">
      <c r="A265" t="s">
        <v>321</v>
      </c>
      <c r="B265">
        <v>23</v>
      </c>
      <c r="C265" t="s">
        <v>27</v>
      </c>
      <c r="D265" t="s">
        <v>39</v>
      </c>
      <c r="E265" t="s">
        <v>59</v>
      </c>
      <c r="F265" t="s">
        <v>61</v>
      </c>
      <c r="G265">
        <v>44961</v>
      </c>
      <c r="H265">
        <v>2</v>
      </c>
      <c r="I265">
        <v>2</v>
      </c>
      <c r="J265">
        <v>1</v>
      </c>
      <c r="K265">
        <v>2</v>
      </c>
      <c r="L265">
        <v>2</v>
      </c>
      <c r="M265">
        <v>2</v>
      </c>
      <c r="N265" t="s">
        <v>31</v>
      </c>
      <c r="O265" t="s">
        <v>32</v>
      </c>
      <c r="P265">
        <v>1</v>
      </c>
      <c r="Q265">
        <v>37</v>
      </c>
      <c r="R265">
        <v>3</v>
      </c>
      <c r="S265" t="s">
        <v>31</v>
      </c>
      <c r="T265">
        <v>4</v>
      </c>
      <c r="U265" t="s">
        <v>31</v>
      </c>
      <c r="V265" s="1">
        <v>44554</v>
      </c>
      <c r="X265" s="1" t="str">
        <f t="shared" si="12"/>
        <v>Active</v>
      </c>
      <c r="Y265" t="str">
        <f t="shared" si="13"/>
        <v>18-25</v>
      </c>
      <c r="Z265" t="str">
        <f t="shared" si="14"/>
        <v>2-3 Years</v>
      </c>
    </row>
    <row r="266" spans="1:26" x14ac:dyDescent="0.35">
      <c r="A266" t="s">
        <v>322</v>
      </c>
      <c r="B266">
        <v>52</v>
      </c>
      <c r="C266" t="s">
        <v>27</v>
      </c>
      <c r="D266" t="s">
        <v>45</v>
      </c>
      <c r="E266" t="s">
        <v>46</v>
      </c>
      <c r="F266" t="s">
        <v>37</v>
      </c>
      <c r="G266">
        <v>138820</v>
      </c>
      <c r="H266">
        <v>17</v>
      </c>
      <c r="I266">
        <v>28</v>
      </c>
      <c r="J266">
        <v>5</v>
      </c>
      <c r="K266">
        <v>2</v>
      </c>
      <c r="L266">
        <v>4</v>
      </c>
      <c r="M266">
        <v>1</v>
      </c>
      <c r="N266" t="s">
        <v>31</v>
      </c>
      <c r="O266" t="s">
        <v>47</v>
      </c>
      <c r="P266">
        <v>12</v>
      </c>
      <c r="Q266">
        <v>19</v>
      </c>
      <c r="R266">
        <v>3</v>
      </c>
      <c r="S266" t="s">
        <v>31</v>
      </c>
      <c r="T266">
        <v>6</v>
      </c>
      <c r="U266" t="s">
        <v>31</v>
      </c>
      <c r="V266" s="1">
        <v>45029</v>
      </c>
      <c r="X266" s="1" t="str">
        <f t="shared" si="12"/>
        <v>Active</v>
      </c>
      <c r="Y266" t="str">
        <f t="shared" si="13"/>
        <v>46-55</v>
      </c>
      <c r="Z266" t="str">
        <f t="shared" si="14"/>
        <v>10+ Years</v>
      </c>
    </row>
    <row r="267" spans="1:26" x14ac:dyDescent="0.35">
      <c r="A267" t="s">
        <v>323</v>
      </c>
      <c r="B267">
        <v>49</v>
      </c>
      <c r="C267" t="s">
        <v>27</v>
      </c>
      <c r="D267" t="s">
        <v>28</v>
      </c>
      <c r="E267" t="s">
        <v>66</v>
      </c>
      <c r="F267" t="s">
        <v>56</v>
      </c>
      <c r="G267">
        <v>154407</v>
      </c>
      <c r="H267">
        <v>28</v>
      </c>
      <c r="I267">
        <v>28</v>
      </c>
      <c r="J267">
        <v>5</v>
      </c>
      <c r="K267">
        <v>1</v>
      </c>
      <c r="L267">
        <v>1</v>
      </c>
      <c r="M267">
        <v>1</v>
      </c>
      <c r="N267" t="s">
        <v>31</v>
      </c>
      <c r="O267" t="s">
        <v>32</v>
      </c>
      <c r="P267">
        <v>3</v>
      </c>
      <c r="Q267">
        <v>34</v>
      </c>
      <c r="R267">
        <v>2</v>
      </c>
      <c r="S267" t="s">
        <v>31</v>
      </c>
      <c r="T267">
        <v>3</v>
      </c>
      <c r="U267" t="s">
        <v>31</v>
      </c>
      <c r="V267" s="1">
        <v>41281</v>
      </c>
      <c r="X267" s="1" t="str">
        <f t="shared" si="12"/>
        <v>Active</v>
      </c>
      <c r="Y267" t="str">
        <f t="shared" si="13"/>
        <v>46-55</v>
      </c>
      <c r="Z267" t="str">
        <f t="shared" si="14"/>
        <v>10+ Years</v>
      </c>
    </row>
    <row r="268" spans="1:26" x14ac:dyDescent="0.35">
      <c r="A268" t="s">
        <v>324</v>
      </c>
      <c r="B268">
        <v>34</v>
      </c>
      <c r="C268" t="s">
        <v>27</v>
      </c>
      <c r="D268" t="s">
        <v>35</v>
      </c>
      <c r="E268" t="s">
        <v>36</v>
      </c>
      <c r="F268" t="s">
        <v>78</v>
      </c>
      <c r="G268">
        <v>41503</v>
      </c>
      <c r="H268">
        <v>2</v>
      </c>
      <c r="I268">
        <v>12</v>
      </c>
      <c r="J268">
        <v>1</v>
      </c>
      <c r="K268">
        <v>3</v>
      </c>
      <c r="L268">
        <v>2</v>
      </c>
      <c r="M268">
        <v>3</v>
      </c>
      <c r="N268" t="s">
        <v>31</v>
      </c>
      <c r="O268" t="s">
        <v>42</v>
      </c>
      <c r="P268">
        <v>27</v>
      </c>
      <c r="Q268">
        <v>56</v>
      </c>
      <c r="R268">
        <v>3</v>
      </c>
      <c r="S268" t="s">
        <v>31</v>
      </c>
      <c r="T268">
        <v>8</v>
      </c>
      <c r="U268" t="s">
        <v>31</v>
      </c>
      <c r="V268" s="1">
        <v>44901</v>
      </c>
      <c r="X268" s="1" t="str">
        <f t="shared" si="12"/>
        <v>Active</v>
      </c>
      <c r="Y268" t="str">
        <f t="shared" si="13"/>
        <v>26-35</v>
      </c>
      <c r="Z268" t="str">
        <f t="shared" si="14"/>
        <v>2-3 Years</v>
      </c>
    </row>
    <row r="269" spans="1:26" x14ac:dyDescent="0.35">
      <c r="A269" t="s">
        <v>325</v>
      </c>
      <c r="B269">
        <v>26</v>
      </c>
      <c r="C269" t="s">
        <v>27</v>
      </c>
      <c r="D269" t="s">
        <v>52</v>
      </c>
      <c r="E269" t="s">
        <v>55</v>
      </c>
      <c r="F269" t="s">
        <v>78</v>
      </c>
      <c r="G269">
        <v>59687</v>
      </c>
      <c r="H269">
        <v>3</v>
      </c>
      <c r="I269">
        <v>5</v>
      </c>
      <c r="J269">
        <v>2</v>
      </c>
      <c r="K269">
        <v>2</v>
      </c>
      <c r="L269">
        <v>1</v>
      </c>
      <c r="M269">
        <v>2</v>
      </c>
      <c r="N269" t="s">
        <v>31</v>
      </c>
      <c r="O269" t="s">
        <v>32</v>
      </c>
      <c r="P269">
        <v>24</v>
      </c>
      <c r="Q269">
        <v>20</v>
      </c>
      <c r="R269">
        <v>2</v>
      </c>
      <c r="S269" t="s">
        <v>31</v>
      </c>
      <c r="T269">
        <v>5</v>
      </c>
      <c r="U269" t="s">
        <v>31</v>
      </c>
      <c r="V269" s="1">
        <v>42658</v>
      </c>
      <c r="X269" s="1" t="str">
        <f t="shared" si="12"/>
        <v>Active</v>
      </c>
      <c r="Y269" t="str">
        <f t="shared" si="13"/>
        <v>26-35</v>
      </c>
      <c r="Z269" t="str">
        <f t="shared" si="14"/>
        <v>2-3 Years</v>
      </c>
    </row>
    <row r="270" spans="1:26" x14ac:dyDescent="0.35">
      <c r="A270" t="s">
        <v>326</v>
      </c>
      <c r="B270">
        <v>48</v>
      </c>
      <c r="C270" t="s">
        <v>27</v>
      </c>
      <c r="D270" t="s">
        <v>52</v>
      </c>
      <c r="E270" t="s">
        <v>55</v>
      </c>
      <c r="F270" t="s">
        <v>61</v>
      </c>
      <c r="G270">
        <v>135784</v>
      </c>
      <c r="H270">
        <v>16</v>
      </c>
      <c r="I270">
        <v>27</v>
      </c>
      <c r="J270">
        <v>5</v>
      </c>
      <c r="K270">
        <v>2</v>
      </c>
      <c r="L270">
        <v>3</v>
      </c>
      <c r="M270">
        <v>3</v>
      </c>
      <c r="N270" t="s">
        <v>31</v>
      </c>
      <c r="O270" t="s">
        <v>32</v>
      </c>
      <c r="P270">
        <v>18</v>
      </c>
      <c r="Q270">
        <v>57</v>
      </c>
      <c r="R270">
        <v>2</v>
      </c>
      <c r="S270" t="s">
        <v>33</v>
      </c>
      <c r="T270">
        <v>7</v>
      </c>
      <c r="U270" t="s">
        <v>31</v>
      </c>
      <c r="V270" s="1">
        <v>43349</v>
      </c>
      <c r="X270" s="1" t="str">
        <f t="shared" si="12"/>
        <v>Active</v>
      </c>
      <c r="Y270" t="str">
        <f t="shared" si="13"/>
        <v>46-55</v>
      </c>
      <c r="Z270" t="str">
        <f t="shared" si="14"/>
        <v>10+ Years</v>
      </c>
    </row>
    <row r="271" spans="1:26" x14ac:dyDescent="0.35">
      <c r="A271" t="s">
        <v>327</v>
      </c>
      <c r="B271">
        <v>30</v>
      </c>
      <c r="C271" t="s">
        <v>27</v>
      </c>
      <c r="D271" t="s">
        <v>49</v>
      </c>
      <c r="E271" t="s">
        <v>50</v>
      </c>
      <c r="F271" t="s">
        <v>30</v>
      </c>
      <c r="G271">
        <v>61539</v>
      </c>
      <c r="H271">
        <v>3</v>
      </c>
      <c r="I271">
        <v>9</v>
      </c>
      <c r="J271">
        <v>2</v>
      </c>
      <c r="K271">
        <v>4</v>
      </c>
      <c r="L271">
        <v>1</v>
      </c>
      <c r="M271">
        <v>4</v>
      </c>
      <c r="N271" t="s">
        <v>31</v>
      </c>
      <c r="O271" t="s">
        <v>32</v>
      </c>
      <c r="P271">
        <v>23</v>
      </c>
      <c r="Q271">
        <v>57</v>
      </c>
      <c r="R271">
        <v>3</v>
      </c>
      <c r="S271" t="s">
        <v>31</v>
      </c>
      <c r="T271">
        <v>2</v>
      </c>
      <c r="U271" t="s">
        <v>31</v>
      </c>
      <c r="V271" s="1">
        <v>42067</v>
      </c>
      <c r="X271" s="1" t="str">
        <f t="shared" si="12"/>
        <v>Active</v>
      </c>
      <c r="Y271" t="str">
        <f t="shared" si="13"/>
        <v>26-35</v>
      </c>
      <c r="Z271" t="str">
        <f t="shared" si="14"/>
        <v>2-3 Years</v>
      </c>
    </row>
    <row r="272" spans="1:26" x14ac:dyDescent="0.35">
      <c r="A272" t="s">
        <v>328</v>
      </c>
      <c r="B272">
        <v>52</v>
      </c>
      <c r="C272" t="s">
        <v>27</v>
      </c>
      <c r="D272" t="s">
        <v>28</v>
      </c>
      <c r="E272" t="s">
        <v>66</v>
      </c>
      <c r="F272" t="s">
        <v>30</v>
      </c>
      <c r="G272">
        <v>82003</v>
      </c>
      <c r="H272">
        <v>5</v>
      </c>
      <c r="I272">
        <v>30</v>
      </c>
      <c r="J272">
        <v>3</v>
      </c>
      <c r="K272">
        <v>3</v>
      </c>
      <c r="L272">
        <v>2</v>
      </c>
      <c r="M272">
        <v>2</v>
      </c>
      <c r="N272" t="s">
        <v>31</v>
      </c>
      <c r="O272" t="s">
        <v>47</v>
      </c>
      <c r="P272">
        <v>4</v>
      </c>
      <c r="Q272">
        <v>16</v>
      </c>
      <c r="R272">
        <v>3</v>
      </c>
      <c r="S272" t="s">
        <v>33</v>
      </c>
      <c r="T272">
        <v>4</v>
      </c>
      <c r="U272" t="s">
        <v>31</v>
      </c>
      <c r="V272" s="1">
        <v>44159</v>
      </c>
      <c r="X272" s="1" t="str">
        <f t="shared" si="12"/>
        <v>Active</v>
      </c>
      <c r="Y272" t="str">
        <f t="shared" si="13"/>
        <v>46-55</v>
      </c>
      <c r="Z272" t="str">
        <f t="shared" si="14"/>
        <v>4-5 Years</v>
      </c>
    </row>
    <row r="273" spans="1:26" x14ac:dyDescent="0.35">
      <c r="A273" t="s">
        <v>329</v>
      </c>
      <c r="B273">
        <v>55</v>
      </c>
      <c r="C273" t="s">
        <v>44</v>
      </c>
      <c r="D273" t="s">
        <v>45</v>
      </c>
      <c r="E273" t="s">
        <v>63</v>
      </c>
      <c r="F273" t="s">
        <v>30</v>
      </c>
      <c r="G273">
        <v>165658</v>
      </c>
      <c r="H273">
        <v>31</v>
      </c>
      <c r="I273">
        <v>34</v>
      </c>
      <c r="J273">
        <v>5</v>
      </c>
      <c r="K273">
        <v>2</v>
      </c>
      <c r="L273">
        <v>2</v>
      </c>
      <c r="M273">
        <v>2</v>
      </c>
      <c r="N273" t="s">
        <v>33</v>
      </c>
      <c r="O273" t="s">
        <v>32</v>
      </c>
      <c r="P273">
        <v>17</v>
      </c>
      <c r="Q273">
        <v>16</v>
      </c>
      <c r="R273">
        <v>2</v>
      </c>
      <c r="S273" t="s">
        <v>31</v>
      </c>
      <c r="T273">
        <v>6</v>
      </c>
      <c r="U273" t="s">
        <v>31</v>
      </c>
      <c r="V273" s="1">
        <v>45281</v>
      </c>
      <c r="X273" s="1" t="str">
        <f t="shared" si="12"/>
        <v>Active</v>
      </c>
      <c r="Y273" t="str">
        <f t="shared" si="13"/>
        <v>46-55</v>
      </c>
      <c r="Z273" t="str">
        <f t="shared" si="14"/>
        <v>10+ Years</v>
      </c>
    </row>
    <row r="274" spans="1:26" x14ac:dyDescent="0.35">
      <c r="A274" t="s">
        <v>330</v>
      </c>
      <c r="B274">
        <v>45</v>
      </c>
      <c r="C274" t="s">
        <v>44</v>
      </c>
      <c r="D274" t="s">
        <v>49</v>
      </c>
      <c r="E274" t="s">
        <v>50</v>
      </c>
      <c r="F274" t="s">
        <v>37</v>
      </c>
      <c r="G274">
        <v>75687</v>
      </c>
      <c r="H274">
        <v>4</v>
      </c>
      <c r="I274">
        <v>21</v>
      </c>
      <c r="J274">
        <v>3</v>
      </c>
      <c r="K274">
        <v>2</v>
      </c>
      <c r="L274">
        <v>3</v>
      </c>
      <c r="M274">
        <v>3</v>
      </c>
      <c r="N274" t="s">
        <v>31</v>
      </c>
      <c r="O274" t="s">
        <v>32</v>
      </c>
      <c r="P274">
        <v>14</v>
      </c>
      <c r="Q274">
        <v>23</v>
      </c>
      <c r="R274">
        <v>3</v>
      </c>
      <c r="S274" t="s">
        <v>31</v>
      </c>
      <c r="T274">
        <v>2</v>
      </c>
      <c r="U274" t="s">
        <v>31</v>
      </c>
      <c r="V274" s="1">
        <v>42781</v>
      </c>
      <c r="X274" s="1" t="str">
        <f t="shared" si="12"/>
        <v>Active</v>
      </c>
      <c r="Y274" t="str">
        <f t="shared" si="13"/>
        <v>36-45</v>
      </c>
      <c r="Z274" t="str">
        <f t="shared" si="14"/>
        <v>4-5 Years</v>
      </c>
    </row>
    <row r="275" spans="1:26" x14ac:dyDescent="0.35">
      <c r="A275" t="s">
        <v>331</v>
      </c>
      <c r="B275">
        <v>23</v>
      </c>
      <c r="C275" t="s">
        <v>27</v>
      </c>
      <c r="D275" t="s">
        <v>52</v>
      </c>
      <c r="E275" t="s">
        <v>55</v>
      </c>
      <c r="F275" t="s">
        <v>41</v>
      </c>
      <c r="G275">
        <v>39521</v>
      </c>
      <c r="H275">
        <v>0</v>
      </c>
      <c r="I275">
        <v>1</v>
      </c>
      <c r="J275">
        <v>1</v>
      </c>
      <c r="K275">
        <v>2</v>
      </c>
      <c r="L275">
        <v>3</v>
      </c>
      <c r="M275">
        <v>3</v>
      </c>
      <c r="N275" t="s">
        <v>33</v>
      </c>
      <c r="O275" t="s">
        <v>32</v>
      </c>
      <c r="P275">
        <v>24</v>
      </c>
      <c r="Q275">
        <v>14</v>
      </c>
      <c r="R275">
        <v>3</v>
      </c>
      <c r="S275" t="s">
        <v>31</v>
      </c>
      <c r="T275">
        <v>7</v>
      </c>
      <c r="U275" t="s">
        <v>31</v>
      </c>
      <c r="V275" s="1">
        <v>41081</v>
      </c>
      <c r="X275" s="1" t="str">
        <f t="shared" si="12"/>
        <v>Active</v>
      </c>
      <c r="Y275" t="str">
        <f t="shared" si="13"/>
        <v>18-25</v>
      </c>
      <c r="Z275" t="str">
        <f t="shared" si="14"/>
        <v>0-1 Year</v>
      </c>
    </row>
    <row r="276" spans="1:26" x14ac:dyDescent="0.35">
      <c r="A276" t="s">
        <v>332</v>
      </c>
      <c r="B276">
        <v>56</v>
      </c>
      <c r="C276" t="s">
        <v>27</v>
      </c>
      <c r="D276" t="s">
        <v>28</v>
      </c>
      <c r="E276" t="s">
        <v>66</v>
      </c>
      <c r="F276" t="s">
        <v>37</v>
      </c>
      <c r="G276">
        <v>85327</v>
      </c>
      <c r="H276">
        <v>6</v>
      </c>
      <c r="I276">
        <v>34</v>
      </c>
      <c r="J276">
        <v>3</v>
      </c>
      <c r="K276">
        <v>2</v>
      </c>
      <c r="L276">
        <v>2</v>
      </c>
      <c r="M276">
        <v>4</v>
      </c>
      <c r="N276" t="s">
        <v>33</v>
      </c>
      <c r="O276" t="s">
        <v>32</v>
      </c>
      <c r="P276">
        <v>7</v>
      </c>
      <c r="Q276">
        <v>54</v>
      </c>
      <c r="R276">
        <v>3</v>
      </c>
      <c r="S276" t="s">
        <v>31</v>
      </c>
      <c r="T276">
        <v>4</v>
      </c>
      <c r="U276" t="s">
        <v>31</v>
      </c>
      <c r="V276" s="1">
        <v>43282</v>
      </c>
      <c r="X276" s="1" t="str">
        <f t="shared" si="12"/>
        <v>Active</v>
      </c>
      <c r="Y276" t="str">
        <f t="shared" si="13"/>
        <v>56+</v>
      </c>
      <c r="Z276" t="str">
        <f t="shared" si="14"/>
        <v>6-10 Years</v>
      </c>
    </row>
    <row r="277" spans="1:26" x14ac:dyDescent="0.35">
      <c r="A277" t="s">
        <v>333</v>
      </c>
      <c r="B277">
        <v>44</v>
      </c>
      <c r="C277" t="s">
        <v>27</v>
      </c>
      <c r="D277" t="s">
        <v>45</v>
      </c>
      <c r="E277" t="s">
        <v>63</v>
      </c>
      <c r="F277" t="s">
        <v>30</v>
      </c>
      <c r="G277">
        <v>138406</v>
      </c>
      <c r="H277">
        <v>19</v>
      </c>
      <c r="I277">
        <v>20</v>
      </c>
      <c r="J277">
        <v>5</v>
      </c>
      <c r="K277">
        <v>4</v>
      </c>
      <c r="L277">
        <v>1</v>
      </c>
      <c r="M277">
        <v>1</v>
      </c>
      <c r="N277" t="s">
        <v>31</v>
      </c>
      <c r="O277" t="s">
        <v>32</v>
      </c>
      <c r="P277">
        <v>18</v>
      </c>
      <c r="Q277">
        <v>56</v>
      </c>
      <c r="R277">
        <v>3</v>
      </c>
      <c r="S277" t="s">
        <v>31</v>
      </c>
      <c r="T277">
        <v>5</v>
      </c>
      <c r="U277" t="s">
        <v>31</v>
      </c>
      <c r="V277" s="1">
        <v>40990</v>
      </c>
      <c r="X277" s="1" t="str">
        <f t="shared" si="12"/>
        <v>Active</v>
      </c>
      <c r="Y277" t="str">
        <f t="shared" si="13"/>
        <v>36-45</v>
      </c>
      <c r="Z277" t="str">
        <f t="shared" si="14"/>
        <v>10+ Years</v>
      </c>
    </row>
    <row r="278" spans="1:26" x14ac:dyDescent="0.35">
      <c r="A278" t="s">
        <v>334</v>
      </c>
      <c r="B278">
        <v>44</v>
      </c>
      <c r="C278" t="s">
        <v>27</v>
      </c>
      <c r="D278" t="s">
        <v>45</v>
      </c>
      <c r="E278" t="s">
        <v>63</v>
      </c>
      <c r="F278" t="s">
        <v>37</v>
      </c>
      <c r="G278">
        <v>55932</v>
      </c>
      <c r="H278">
        <v>1</v>
      </c>
      <c r="I278">
        <v>22</v>
      </c>
      <c r="J278">
        <v>2</v>
      </c>
      <c r="K278">
        <v>1</v>
      </c>
      <c r="L278">
        <v>4</v>
      </c>
      <c r="M278">
        <v>3</v>
      </c>
      <c r="N278" t="s">
        <v>31</v>
      </c>
      <c r="O278" t="s">
        <v>32</v>
      </c>
      <c r="P278">
        <v>20</v>
      </c>
      <c r="Q278">
        <v>33</v>
      </c>
      <c r="R278">
        <v>4</v>
      </c>
      <c r="S278" t="s">
        <v>31</v>
      </c>
      <c r="T278">
        <v>6</v>
      </c>
      <c r="U278" t="s">
        <v>31</v>
      </c>
      <c r="V278" s="1">
        <v>41896</v>
      </c>
      <c r="X278" s="1" t="str">
        <f t="shared" si="12"/>
        <v>Active</v>
      </c>
      <c r="Y278" t="str">
        <f t="shared" si="13"/>
        <v>36-45</v>
      </c>
      <c r="Z278" t="str">
        <f t="shared" si="14"/>
        <v>0-1 Year</v>
      </c>
    </row>
    <row r="279" spans="1:26" x14ac:dyDescent="0.35">
      <c r="A279" t="s">
        <v>335</v>
      </c>
      <c r="B279">
        <v>55</v>
      </c>
      <c r="C279" t="s">
        <v>44</v>
      </c>
      <c r="D279" t="s">
        <v>39</v>
      </c>
      <c r="E279" t="s">
        <v>40</v>
      </c>
      <c r="F279" t="s">
        <v>37</v>
      </c>
      <c r="G279">
        <v>157732</v>
      </c>
      <c r="H279">
        <v>28</v>
      </c>
      <c r="I279">
        <v>34</v>
      </c>
      <c r="J279">
        <v>5</v>
      </c>
      <c r="K279">
        <v>2</v>
      </c>
      <c r="L279">
        <v>3</v>
      </c>
      <c r="M279">
        <v>3</v>
      </c>
      <c r="N279" t="s">
        <v>33</v>
      </c>
      <c r="O279" t="s">
        <v>32</v>
      </c>
      <c r="P279">
        <v>20</v>
      </c>
      <c r="Q279">
        <v>20</v>
      </c>
      <c r="R279">
        <v>4</v>
      </c>
      <c r="S279" t="s">
        <v>31</v>
      </c>
      <c r="T279">
        <v>9</v>
      </c>
      <c r="U279" t="s">
        <v>31</v>
      </c>
      <c r="V279" s="1">
        <v>43853</v>
      </c>
      <c r="X279" s="1" t="str">
        <f t="shared" si="12"/>
        <v>Active</v>
      </c>
      <c r="Y279" t="str">
        <f t="shared" si="13"/>
        <v>46-55</v>
      </c>
      <c r="Z279" t="str">
        <f t="shared" si="14"/>
        <v>10+ Years</v>
      </c>
    </row>
    <row r="280" spans="1:26" x14ac:dyDescent="0.35">
      <c r="A280" t="s">
        <v>336</v>
      </c>
      <c r="B280">
        <v>46</v>
      </c>
      <c r="C280" t="s">
        <v>44</v>
      </c>
      <c r="D280" t="s">
        <v>52</v>
      </c>
      <c r="E280" t="s">
        <v>53</v>
      </c>
      <c r="F280" t="s">
        <v>37</v>
      </c>
      <c r="G280">
        <v>135587</v>
      </c>
      <c r="H280">
        <v>17</v>
      </c>
      <c r="I280">
        <v>24</v>
      </c>
      <c r="J280">
        <v>5</v>
      </c>
      <c r="K280">
        <v>1</v>
      </c>
      <c r="L280">
        <v>4</v>
      </c>
      <c r="M280">
        <v>2</v>
      </c>
      <c r="N280" t="s">
        <v>31</v>
      </c>
      <c r="O280" t="s">
        <v>32</v>
      </c>
      <c r="P280">
        <v>29</v>
      </c>
      <c r="Q280">
        <v>40</v>
      </c>
      <c r="R280">
        <v>2</v>
      </c>
      <c r="S280" t="s">
        <v>33</v>
      </c>
      <c r="T280">
        <v>4</v>
      </c>
      <c r="U280" t="s">
        <v>31</v>
      </c>
      <c r="V280" s="1">
        <v>41914</v>
      </c>
      <c r="X280" s="1" t="str">
        <f t="shared" si="12"/>
        <v>Active</v>
      </c>
      <c r="Y280" t="str">
        <f t="shared" si="13"/>
        <v>46-55</v>
      </c>
      <c r="Z280" t="str">
        <f t="shared" si="14"/>
        <v>10+ Years</v>
      </c>
    </row>
    <row r="281" spans="1:26" x14ac:dyDescent="0.35">
      <c r="A281" t="s">
        <v>337</v>
      </c>
      <c r="B281">
        <v>47</v>
      </c>
      <c r="C281" t="s">
        <v>44</v>
      </c>
      <c r="D281" t="s">
        <v>28</v>
      </c>
      <c r="E281" t="s">
        <v>66</v>
      </c>
      <c r="F281" t="s">
        <v>56</v>
      </c>
      <c r="G281">
        <v>120607</v>
      </c>
      <c r="H281">
        <v>11</v>
      </c>
      <c r="I281">
        <v>24</v>
      </c>
      <c r="J281">
        <v>5</v>
      </c>
      <c r="K281">
        <v>1</v>
      </c>
      <c r="L281">
        <v>2</v>
      </c>
      <c r="M281">
        <v>3</v>
      </c>
      <c r="N281" t="s">
        <v>33</v>
      </c>
      <c r="O281" t="s">
        <v>32</v>
      </c>
      <c r="P281">
        <v>20</v>
      </c>
      <c r="Q281">
        <v>56</v>
      </c>
      <c r="R281">
        <v>3</v>
      </c>
      <c r="S281" t="s">
        <v>33</v>
      </c>
      <c r="T281">
        <v>5</v>
      </c>
      <c r="U281" t="s">
        <v>31</v>
      </c>
      <c r="V281" s="1">
        <v>44154</v>
      </c>
      <c r="X281" s="1" t="str">
        <f t="shared" si="12"/>
        <v>Active</v>
      </c>
      <c r="Y281" t="str">
        <f t="shared" si="13"/>
        <v>46-55</v>
      </c>
      <c r="Z281" t="str">
        <f t="shared" si="14"/>
        <v>10+ Years</v>
      </c>
    </row>
    <row r="282" spans="1:26" x14ac:dyDescent="0.35">
      <c r="A282" t="s">
        <v>338</v>
      </c>
      <c r="B282">
        <v>46</v>
      </c>
      <c r="C282" t="s">
        <v>44</v>
      </c>
      <c r="D282" t="s">
        <v>35</v>
      </c>
      <c r="E282" t="s">
        <v>36</v>
      </c>
      <c r="F282" t="s">
        <v>56</v>
      </c>
      <c r="G282">
        <v>86109</v>
      </c>
      <c r="H282">
        <v>7</v>
      </c>
      <c r="I282">
        <v>25</v>
      </c>
      <c r="J282">
        <v>3</v>
      </c>
      <c r="K282">
        <v>3</v>
      </c>
      <c r="L282">
        <v>1</v>
      </c>
      <c r="M282">
        <v>4</v>
      </c>
      <c r="N282" t="s">
        <v>31</v>
      </c>
      <c r="O282" t="s">
        <v>32</v>
      </c>
      <c r="P282">
        <v>18</v>
      </c>
      <c r="Q282">
        <v>38</v>
      </c>
      <c r="R282">
        <v>3</v>
      </c>
      <c r="S282" t="s">
        <v>31</v>
      </c>
      <c r="T282">
        <v>4</v>
      </c>
      <c r="U282" t="s">
        <v>31</v>
      </c>
      <c r="V282" s="1">
        <v>41747</v>
      </c>
      <c r="X282" s="1" t="str">
        <f t="shared" si="12"/>
        <v>Active</v>
      </c>
      <c r="Y282" t="str">
        <f t="shared" si="13"/>
        <v>46-55</v>
      </c>
      <c r="Z282" t="str">
        <f t="shared" si="14"/>
        <v>6-10 Years</v>
      </c>
    </row>
    <row r="283" spans="1:26" x14ac:dyDescent="0.35">
      <c r="A283" t="s">
        <v>339</v>
      </c>
      <c r="B283">
        <v>44</v>
      </c>
      <c r="C283" t="s">
        <v>27</v>
      </c>
      <c r="D283" t="s">
        <v>28</v>
      </c>
      <c r="E283" t="s">
        <v>66</v>
      </c>
      <c r="F283" t="s">
        <v>56</v>
      </c>
      <c r="G283">
        <v>131254</v>
      </c>
      <c r="H283">
        <v>15</v>
      </c>
      <c r="I283">
        <v>20</v>
      </c>
      <c r="J283">
        <v>5</v>
      </c>
      <c r="K283">
        <v>2</v>
      </c>
      <c r="L283">
        <v>1</v>
      </c>
      <c r="M283">
        <v>1</v>
      </c>
      <c r="N283" t="s">
        <v>33</v>
      </c>
      <c r="O283" t="s">
        <v>47</v>
      </c>
      <c r="P283">
        <v>13</v>
      </c>
      <c r="Q283">
        <v>35</v>
      </c>
      <c r="R283">
        <v>3</v>
      </c>
      <c r="S283" t="s">
        <v>31</v>
      </c>
      <c r="T283">
        <v>8</v>
      </c>
      <c r="U283" t="s">
        <v>31</v>
      </c>
      <c r="V283" s="1">
        <v>43879</v>
      </c>
      <c r="X283" s="1" t="str">
        <f t="shared" si="12"/>
        <v>Active</v>
      </c>
      <c r="Y283" t="str">
        <f t="shared" si="13"/>
        <v>36-45</v>
      </c>
      <c r="Z283" t="str">
        <f t="shared" si="14"/>
        <v>10+ Years</v>
      </c>
    </row>
    <row r="284" spans="1:26" x14ac:dyDescent="0.35">
      <c r="A284" t="s">
        <v>340</v>
      </c>
      <c r="B284">
        <v>22</v>
      </c>
      <c r="C284" t="s">
        <v>27</v>
      </c>
      <c r="D284" t="s">
        <v>39</v>
      </c>
      <c r="E284" t="s">
        <v>74</v>
      </c>
      <c r="F284" t="s">
        <v>56</v>
      </c>
      <c r="G284">
        <v>52636</v>
      </c>
      <c r="H284">
        <v>0</v>
      </c>
      <c r="I284">
        <v>1</v>
      </c>
      <c r="J284">
        <v>2</v>
      </c>
      <c r="K284">
        <v>2</v>
      </c>
      <c r="L284">
        <v>2</v>
      </c>
      <c r="M284">
        <v>1</v>
      </c>
      <c r="N284" t="s">
        <v>31</v>
      </c>
      <c r="O284" t="s">
        <v>42</v>
      </c>
      <c r="P284">
        <v>12</v>
      </c>
      <c r="Q284">
        <v>31</v>
      </c>
      <c r="R284">
        <v>3</v>
      </c>
      <c r="S284" t="s">
        <v>31</v>
      </c>
      <c r="T284">
        <v>6</v>
      </c>
      <c r="U284" t="s">
        <v>31</v>
      </c>
      <c r="V284" s="1">
        <v>45050</v>
      </c>
      <c r="X284" s="1" t="str">
        <f t="shared" si="12"/>
        <v>Active</v>
      </c>
      <c r="Y284" t="str">
        <f t="shared" si="13"/>
        <v>18-25</v>
      </c>
      <c r="Z284" t="str">
        <f t="shared" si="14"/>
        <v>0-1 Year</v>
      </c>
    </row>
    <row r="285" spans="1:26" x14ac:dyDescent="0.35">
      <c r="A285" t="s">
        <v>341</v>
      </c>
      <c r="B285">
        <v>32</v>
      </c>
      <c r="C285" t="s">
        <v>27</v>
      </c>
      <c r="D285" t="s">
        <v>52</v>
      </c>
      <c r="E285" t="s">
        <v>53</v>
      </c>
      <c r="F285" t="s">
        <v>30</v>
      </c>
      <c r="G285">
        <v>54558</v>
      </c>
      <c r="H285">
        <v>0</v>
      </c>
      <c r="I285">
        <v>11</v>
      </c>
      <c r="J285">
        <v>2</v>
      </c>
      <c r="K285">
        <v>2</v>
      </c>
      <c r="L285">
        <v>3</v>
      </c>
      <c r="M285">
        <v>4</v>
      </c>
      <c r="N285" t="s">
        <v>31</v>
      </c>
      <c r="O285" t="s">
        <v>32</v>
      </c>
      <c r="P285">
        <v>17</v>
      </c>
      <c r="Q285">
        <v>24</v>
      </c>
      <c r="R285">
        <v>3</v>
      </c>
      <c r="S285" t="s">
        <v>31</v>
      </c>
      <c r="T285">
        <v>5</v>
      </c>
      <c r="U285" t="s">
        <v>31</v>
      </c>
      <c r="V285" s="1">
        <v>43350</v>
      </c>
      <c r="X285" s="1" t="str">
        <f t="shared" si="12"/>
        <v>Active</v>
      </c>
      <c r="Y285" t="str">
        <f t="shared" si="13"/>
        <v>26-35</v>
      </c>
      <c r="Z285" t="str">
        <f t="shared" si="14"/>
        <v>0-1 Year</v>
      </c>
    </row>
    <row r="286" spans="1:26" x14ac:dyDescent="0.35">
      <c r="A286" t="s">
        <v>342</v>
      </c>
      <c r="B286">
        <v>32</v>
      </c>
      <c r="C286" t="s">
        <v>27</v>
      </c>
      <c r="D286" t="s">
        <v>35</v>
      </c>
      <c r="E286" t="s">
        <v>85</v>
      </c>
      <c r="F286" t="s">
        <v>30</v>
      </c>
      <c r="G286">
        <v>84158</v>
      </c>
      <c r="H286">
        <v>6</v>
      </c>
      <c r="I286">
        <v>9</v>
      </c>
      <c r="J286">
        <v>3</v>
      </c>
      <c r="K286">
        <v>3</v>
      </c>
      <c r="L286">
        <v>4</v>
      </c>
      <c r="M286">
        <v>3</v>
      </c>
      <c r="N286" t="s">
        <v>33</v>
      </c>
      <c r="O286" t="s">
        <v>47</v>
      </c>
      <c r="P286">
        <v>2</v>
      </c>
      <c r="Q286">
        <v>50</v>
      </c>
      <c r="R286">
        <v>4</v>
      </c>
      <c r="S286" t="s">
        <v>33</v>
      </c>
      <c r="T286">
        <v>5</v>
      </c>
      <c r="U286" t="s">
        <v>31</v>
      </c>
      <c r="V286" s="1">
        <v>42992</v>
      </c>
      <c r="X286" s="1" t="str">
        <f t="shared" si="12"/>
        <v>Active</v>
      </c>
      <c r="Y286" t="str">
        <f t="shared" si="13"/>
        <v>26-35</v>
      </c>
      <c r="Z286" t="str">
        <f t="shared" si="14"/>
        <v>6-10 Years</v>
      </c>
    </row>
    <row r="287" spans="1:26" x14ac:dyDescent="0.35">
      <c r="A287" t="s">
        <v>343</v>
      </c>
      <c r="B287">
        <v>46</v>
      </c>
      <c r="C287" t="s">
        <v>27</v>
      </c>
      <c r="D287" t="s">
        <v>49</v>
      </c>
      <c r="E287" t="s">
        <v>50</v>
      </c>
      <c r="F287" t="s">
        <v>78</v>
      </c>
      <c r="G287">
        <v>136799</v>
      </c>
      <c r="H287">
        <v>18</v>
      </c>
      <c r="I287">
        <v>22</v>
      </c>
      <c r="J287">
        <v>5</v>
      </c>
      <c r="K287">
        <v>3</v>
      </c>
      <c r="L287">
        <v>1</v>
      </c>
      <c r="M287">
        <v>4</v>
      </c>
      <c r="N287" t="s">
        <v>31</v>
      </c>
      <c r="O287" t="s">
        <v>32</v>
      </c>
      <c r="P287">
        <v>20</v>
      </c>
      <c r="Q287">
        <v>27</v>
      </c>
      <c r="R287">
        <v>3</v>
      </c>
      <c r="S287" t="s">
        <v>31</v>
      </c>
      <c r="T287">
        <v>6</v>
      </c>
      <c r="U287" t="s">
        <v>31</v>
      </c>
      <c r="V287" s="1">
        <v>41009</v>
      </c>
      <c r="X287" s="1" t="str">
        <f t="shared" si="12"/>
        <v>Active</v>
      </c>
      <c r="Y287" t="str">
        <f t="shared" si="13"/>
        <v>46-55</v>
      </c>
      <c r="Z287" t="str">
        <f t="shared" si="14"/>
        <v>10+ Years</v>
      </c>
    </row>
    <row r="288" spans="1:26" x14ac:dyDescent="0.35">
      <c r="A288" t="s">
        <v>344</v>
      </c>
      <c r="B288">
        <v>23</v>
      </c>
      <c r="C288" t="s">
        <v>44</v>
      </c>
      <c r="D288" t="s">
        <v>45</v>
      </c>
      <c r="E288" t="s">
        <v>63</v>
      </c>
      <c r="F288" t="s">
        <v>37</v>
      </c>
      <c r="G288">
        <v>58918</v>
      </c>
      <c r="H288">
        <v>2</v>
      </c>
      <c r="I288">
        <v>2</v>
      </c>
      <c r="J288">
        <v>2</v>
      </c>
      <c r="K288">
        <v>2</v>
      </c>
      <c r="L288">
        <v>3</v>
      </c>
      <c r="M288">
        <v>3</v>
      </c>
      <c r="N288" t="s">
        <v>33</v>
      </c>
      <c r="O288" t="s">
        <v>42</v>
      </c>
      <c r="P288">
        <v>5</v>
      </c>
      <c r="Q288">
        <v>27</v>
      </c>
      <c r="R288">
        <v>3</v>
      </c>
      <c r="S288" t="s">
        <v>31</v>
      </c>
      <c r="T288">
        <v>8</v>
      </c>
      <c r="U288" t="s">
        <v>33</v>
      </c>
      <c r="V288" s="1">
        <v>44629</v>
      </c>
      <c r="W288" s="1">
        <v>45161</v>
      </c>
      <c r="X288" s="1" t="str">
        <f t="shared" si="12"/>
        <v>2023-08-23</v>
      </c>
      <c r="Y288" t="str">
        <f t="shared" si="13"/>
        <v>18-25</v>
      </c>
      <c r="Z288" t="str">
        <f t="shared" si="14"/>
        <v>2-3 Years</v>
      </c>
    </row>
    <row r="289" spans="1:26" x14ac:dyDescent="0.35">
      <c r="A289" t="s">
        <v>345</v>
      </c>
      <c r="B289">
        <v>54</v>
      </c>
      <c r="C289" t="s">
        <v>27</v>
      </c>
      <c r="D289" t="s">
        <v>39</v>
      </c>
      <c r="E289" t="s">
        <v>74</v>
      </c>
      <c r="F289" t="s">
        <v>56</v>
      </c>
      <c r="G289">
        <v>160281</v>
      </c>
      <c r="H289">
        <v>28</v>
      </c>
      <c r="I289">
        <v>33</v>
      </c>
      <c r="J289">
        <v>5</v>
      </c>
      <c r="K289">
        <v>2</v>
      </c>
      <c r="L289">
        <v>1</v>
      </c>
      <c r="M289">
        <v>3</v>
      </c>
      <c r="N289" t="s">
        <v>31</v>
      </c>
      <c r="O289" t="s">
        <v>32</v>
      </c>
      <c r="P289">
        <v>4</v>
      </c>
      <c r="Q289">
        <v>27</v>
      </c>
      <c r="R289">
        <v>3</v>
      </c>
      <c r="S289" t="s">
        <v>31</v>
      </c>
      <c r="T289">
        <v>6</v>
      </c>
      <c r="U289" t="s">
        <v>31</v>
      </c>
      <c r="V289" s="1">
        <v>42464</v>
      </c>
      <c r="X289" s="1" t="str">
        <f t="shared" si="12"/>
        <v>Active</v>
      </c>
      <c r="Y289" t="str">
        <f t="shared" si="13"/>
        <v>46-55</v>
      </c>
      <c r="Z289" t="str">
        <f t="shared" si="14"/>
        <v>10+ Years</v>
      </c>
    </row>
    <row r="290" spans="1:26" x14ac:dyDescent="0.35">
      <c r="A290" t="s">
        <v>346</v>
      </c>
      <c r="B290">
        <v>46</v>
      </c>
      <c r="C290" t="s">
        <v>44</v>
      </c>
      <c r="D290" t="s">
        <v>28</v>
      </c>
      <c r="E290" t="s">
        <v>66</v>
      </c>
      <c r="F290" t="s">
        <v>56</v>
      </c>
      <c r="G290">
        <v>139615</v>
      </c>
      <c r="H290">
        <v>19</v>
      </c>
      <c r="I290">
        <v>25</v>
      </c>
      <c r="J290">
        <v>5</v>
      </c>
      <c r="K290">
        <v>4</v>
      </c>
      <c r="L290">
        <v>2</v>
      </c>
      <c r="M290">
        <v>4</v>
      </c>
      <c r="N290" t="s">
        <v>31</v>
      </c>
      <c r="O290" t="s">
        <v>32</v>
      </c>
      <c r="P290">
        <v>10</v>
      </c>
      <c r="Q290">
        <v>41</v>
      </c>
      <c r="R290">
        <v>3</v>
      </c>
      <c r="S290" t="s">
        <v>33</v>
      </c>
      <c r="T290">
        <v>4</v>
      </c>
      <c r="U290" t="s">
        <v>31</v>
      </c>
      <c r="V290" s="1">
        <v>45066</v>
      </c>
      <c r="X290" s="1" t="str">
        <f t="shared" si="12"/>
        <v>Active</v>
      </c>
      <c r="Y290" t="str">
        <f t="shared" si="13"/>
        <v>46-55</v>
      </c>
      <c r="Z290" t="str">
        <f t="shared" si="14"/>
        <v>10+ Years</v>
      </c>
    </row>
    <row r="291" spans="1:26" x14ac:dyDescent="0.35">
      <c r="A291" t="s">
        <v>347</v>
      </c>
      <c r="B291">
        <v>24</v>
      </c>
      <c r="C291" t="s">
        <v>44</v>
      </c>
      <c r="D291" t="s">
        <v>35</v>
      </c>
      <c r="E291" t="s">
        <v>36</v>
      </c>
      <c r="F291" t="s">
        <v>78</v>
      </c>
      <c r="G291">
        <v>41358</v>
      </c>
      <c r="H291">
        <v>1</v>
      </c>
      <c r="I291">
        <v>1</v>
      </c>
      <c r="J291">
        <v>1</v>
      </c>
      <c r="K291">
        <v>3</v>
      </c>
      <c r="L291">
        <v>1</v>
      </c>
      <c r="M291">
        <v>2</v>
      </c>
      <c r="N291" t="s">
        <v>33</v>
      </c>
      <c r="O291" t="s">
        <v>32</v>
      </c>
      <c r="P291">
        <v>12</v>
      </c>
      <c r="Q291">
        <v>56</v>
      </c>
      <c r="R291">
        <v>2</v>
      </c>
      <c r="S291" t="s">
        <v>31</v>
      </c>
      <c r="T291">
        <v>7</v>
      </c>
      <c r="U291" t="s">
        <v>31</v>
      </c>
      <c r="V291" s="1">
        <v>44051</v>
      </c>
      <c r="X291" s="1" t="str">
        <f t="shared" si="12"/>
        <v>Active</v>
      </c>
      <c r="Y291" t="str">
        <f t="shared" si="13"/>
        <v>18-25</v>
      </c>
      <c r="Z291" t="str">
        <f t="shared" si="14"/>
        <v>0-1 Year</v>
      </c>
    </row>
    <row r="292" spans="1:26" x14ac:dyDescent="0.35">
      <c r="A292" t="s">
        <v>348</v>
      </c>
      <c r="B292">
        <v>27</v>
      </c>
      <c r="C292" t="s">
        <v>44</v>
      </c>
      <c r="D292" t="s">
        <v>49</v>
      </c>
      <c r="E292" t="s">
        <v>50</v>
      </c>
      <c r="F292" t="s">
        <v>37</v>
      </c>
      <c r="G292">
        <v>59575</v>
      </c>
      <c r="H292">
        <v>0</v>
      </c>
      <c r="I292">
        <v>5</v>
      </c>
      <c r="J292">
        <v>2</v>
      </c>
      <c r="K292">
        <v>1</v>
      </c>
      <c r="L292">
        <v>2</v>
      </c>
      <c r="M292">
        <v>3</v>
      </c>
      <c r="N292" t="s">
        <v>31</v>
      </c>
      <c r="O292" t="s">
        <v>42</v>
      </c>
      <c r="P292">
        <v>4</v>
      </c>
      <c r="Q292">
        <v>11</v>
      </c>
      <c r="R292">
        <v>3</v>
      </c>
      <c r="S292" t="s">
        <v>31</v>
      </c>
      <c r="T292">
        <v>4</v>
      </c>
      <c r="U292" t="s">
        <v>31</v>
      </c>
      <c r="V292" s="1">
        <v>44673</v>
      </c>
      <c r="X292" s="1" t="str">
        <f t="shared" si="12"/>
        <v>Active</v>
      </c>
      <c r="Y292" t="str">
        <f t="shared" si="13"/>
        <v>26-35</v>
      </c>
      <c r="Z292" t="str">
        <f t="shared" si="14"/>
        <v>0-1 Year</v>
      </c>
    </row>
    <row r="293" spans="1:26" x14ac:dyDescent="0.35">
      <c r="A293" t="s">
        <v>349</v>
      </c>
      <c r="B293">
        <v>51</v>
      </c>
      <c r="C293" t="s">
        <v>27</v>
      </c>
      <c r="D293" t="s">
        <v>28</v>
      </c>
      <c r="E293" t="s">
        <v>66</v>
      </c>
      <c r="F293" t="s">
        <v>56</v>
      </c>
      <c r="G293">
        <v>41926</v>
      </c>
      <c r="H293">
        <v>1</v>
      </c>
      <c r="I293">
        <v>27</v>
      </c>
      <c r="J293">
        <v>1</v>
      </c>
      <c r="K293">
        <v>1</v>
      </c>
      <c r="L293">
        <v>3</v>
      </c>
      <c r="M293">
        <v>4</v>
      </c>
      <c r="N293" t="s">
        <v>31</v>
      </c>
      <c r="O293" t="s">
        <v>32</v>
      </c>
      <c r="P293">
        <v>8</v>
      </c>
      <c r="Q293">
        <v>28</v>
      </c>
      <c r="R293">
        <v>3</v>
      </c>
      <c r="S293" t="s">
        <v>31</v>
      </c>
      <c r="T293">
        <v>1</v>
      </c>
      <c r="U293" t="s">
        <v>31</v>
      </c>
      <c r="V293" s="1">
        <v>41610</v>
      </c>
      <c r="X293" s="1" t="str">
        <f t="shared" si="12"/>
        <v>Active</v>
      </c>
      <c r="Y293" t="str">
        <f t="shared" si="13"/>
        <v>46-55</v>
      </c>
      <c r="Z293" t="str">
        <f t="shared" si="14"/>
        <v>0-1 Year</v>
      </c>
    </row>
    <row r="294" spans="1:26" x14ac:dyDescent="0.35">
      <c r="A294" t="s">
        <v>350</v>
      </c>
      <c r="B294">
        <v>40</v>
      </c>
      <c r="C294" t="s">
        <v>27</v>
      </c>
      <c r="D294" t="s">
        <v>39</v>
      </c>
      <c r="E294" t="s">
        <v>74</v>
      </c>
      <c r="F294" t="s">
        <v>41</v>
      </c>
      <c r="G294">
        <v>41324</v>
      </c>
      <c r="H294">
        <v>0</v>
      </c>
      <c r="I294">
        <v>19</v>
      </c>
      <c r="J294">
        <v>1</v>
      </c>
      <c r="K294">
        <v>3</v>
      </c>
      <c r="L294">
        <v>1</v>
      </c>
      <c r="M294">
        <v>3</v>
      </c>
      <c r="N294" t="s">
        <v>31</v>
      </c>
      <c r="O294" t="s">
        <v>32</v>
      </c>
      <c r="P294">
        <v>8</v>
      </c>
      <c r="Q294">
        <v>14</v>
      </c>
      <c r="R294">
        <v>4</v>
      </c>
      <c r="S294" t="s">
        <v>31</v>
      </c>
      <c r="T294">
        <v>5</v>
      </c>
      <c r="U294" t="s">
        <v>31</v>
      </c>
      <c r="V294" s="1">
        <v>42679</v>
      </c>
      <c r="X294" s="1" t="str">
        <f t="shared" si="12"/>
        <v>Active</v>
      </c>
      <c r="Y294" t="str">
        <f t="shared" si="13"/>
        <v>36-45</v>
      </c>
      <c r="Z294" t="str">
        <f t="shared" si="14"/>
        <v>0-1 Year</v>
      </c>
    </row>
    <row r="295" spans="1:26" x14ac:dyDescent="0.35">
      <c r="A295" t="s">
        <v>351</v>
      </c>
      <c r="B295">
        <v>39</v>
      </c>
      <c r="C295" t="s">
        <v>27</v>
      </c>
      <c r="D295" t="s">
        <v>45</v>
      </c>
      <c r="E295" t="s">
        <v>63</v>
      </c>
      <c r="F295" t="s">
        <v>78</v>
      </c>
      <c r="G295">
        <v>53711</v>
      </c>
      <c r="H295">
        <v>0</v>
      </c>
      <c r="I295">
        <v>16</v>
      </c>
      <c r="J295">
        <v>2</v>
      </c>
      <c r="K295">
        <v>1</v>
      </c>
      <c r="L295">
        <v>1</v>
      </c>
      <c r="M295">
        <v>2</v>
      </c>
      <c r="N295" t="s">
        <v>31</v>
      </c>
      <c r="O295" t="s">
        <v>47</v>
      </c>
      <c r="P295">
        <v>10</v>
      </c>
      <c r="Q295">
        <v>33</v>
      </c>
      <c r="R295">
        <v>3</v>
      </c>
      <c r="S295" t="s">
        <v>31</v>
      </c>
      <c r="T295">
        <v>4</v>
      </c>
      <c r="U295" t="s">
        <v>31</v>
      </c>
      <c r="V295" s="1">
        <v>42906</v>
      </c>
      <c r="X295" s="1" t="str">
        <f t="shared" si="12"/>
        <v>Active</v>
      </c>
      <c r="Y295" t="str">
        <f t="shared" si="13"/>
        <v>36-45</v>
      </c>
      <c r="Z295" t="str">
        <f t="shared" si="14"/>
        <v>0-1 Year</v>
      </c>
    </row>
    <row r="296" spans="1:26" x14ac:dyDescent="0.35">
      <c r="A296" t="s">
        <v>352</v>
      </c>
      <c r="B296">
        <v>43</v>
      </c>
      <c r="C296" t="s">
        <v>27</v>
      </c>
      <c r="D296" t="s">
        <v>39</v>
      </c>
      <c r="E296" t="s">
        <v>40</v>
      </c>
      <c r="F296" t="s">
        <v>41</v>
      </c>
      <c r="G296">
        <v>128682</v>
      </c>
      <c r="H296">
        <v>13</v>
      </c>
      <c r="I296">
        <v>20</v>
      </c>
      <c r="J296">
        <v>5</v>
      </c>
      <c r="K296">
        <v>3</v>
      </c>
      <c r="L296">
        <v>4</v>
      </c>
      <c r="M296">
        <v>3</v>
      </c>
      <c r="N296" t="s">
        <v>31</v>
      </c>
      <c r="O296" t="s">
        <v>32</v>
      </c>
      <c r="P296">
        <v>10</v>
      </c>
      <c r="Q296">
        <v>18</v>
      </c>
      <c r="R296">
        <v>2</v>
      </c>
      <c r="S296" t="s">
        <v>31</v>
      </c>
      <c r="T296">
        <v>5</v>
      </c>
      <c r="U296" t="s">
        <v>33</v>
      </c>
      <c r="V296" s="1">
        <v>43794</v>
      </c>
      <c r="W296" s="1">
        <v>44652</v>
      </c>
      <c r="X296" s="1" t="str">
        <f t="shared" si="12"/>
        <v>2022-04-01</v>
      </c>
      <c r="Y296" t="str">
        <f t="shared" si="13"/>
        <v>36-45</v>
      </c>
      <c r="Z296" t="str">
        <f t="shared" si="14"/>
        <v>10+ Years</v>
      </c>
    </row>
    <row r="297" spans="1:26" x14ac:dyDescent="0.35">
      <c r="A297" t="s">
        <v>353</v>
      </c>
      <c r="B297">
        <v>40</v>
      </c>
      <c r="C297" t="s">
        <v>27</v>
      </c>
      <c r="D297" t="s">
        <v>35</v>
      </c>
      <c r="E297" t="s">
        <v>85</v>
      </c>
      <c r="F297" t="s">
        <v>41</v>
      </c>
      <c r="G297">
        <v>41120</v>
      </c>
      <c r="H297">
        <v>2</v>
      </c>
      <c r="I297">
        <v>19</v>
      </c>
      <c r="J297">
        <v>1</v>
      </c>
      <c r="K297">
        <v>2</v>
      </c>
      <c r="L297">
        <v>4</v>
      </c>
      <c r="M297">
        <v>1</v>
      </c>
      <c r="N297" t="s">
        <v>33</v>
      </c>
      <c r="O297" t="s">
        <v>32</v>
      </c>
      <c r="P297">
        <v>12</v>
      </c>
      <c r="Q297">
        <v>22</v>
      </c>
      <c r="R297">
        <v>4</v>
      </c>
      <c r="S297" t="s">
        <v>31</v>
      </c>
      <c r="T297">
        <v>2</v>
      </c>
      <c r="U297" t="s">
        <v>31</v>
      </c>
      <c r="V297" s="1">
        <v>42338</v>
      </c>
      <c r="X297" s="1" t="str">
        <f t="shared" si="12"/>
        <v>Active</v>
      </c>
      <c r="Y297" t="str">
        <f t="shared" si="13"/>
        <v>36-45</v>
      </c>
      <c r="Z297" t="str">
        <f t="shared" si="14"/>
        <v>2-3 Years</v>
      </c>
    </row>
    <row r="298" spans="1:26" x14ac:dyDescent="0.35">
      <c r="A298" t="s">
        <v>354</v>
      </c>
      <c r="B298">
        <v>57</v>
      </c>
      <c r="C298" t="s">
        <v>44</v>
      </c>
      <c r="D298" t="s">
        <v>39</v>
      </c>
      <c r="E298" t="s">
        <v>59</v>
      </c>
      <c r="F298" t="s">
        <v>78</v>
      </c>
      <c r="G298">
        <v>129446</v>
      </c>
      <c r="H298">
        <v>14</v>
      </c>
      <c r="I298">
        <v>34</v>
      </c>
      <c r="J298">
        <v>5</v>
      </c>
      <c r="K298">
        <v>2</v>
      </c>
      <c r="L298">
        <v>1</v>
      </c>
      <c r="M298">
        <v>3</v>
      </c>
      <c r="N298" t="s">
        <v>33</v>
      </c>
      <c r="O298" t="s">
        <v>42</v>
      </c>
      <c r="P298">
        <v>19</v>
      </c>
      <c r="Q298">
        <v>11</v>
      </c>
      <c r="R298">
        <v>3</v>
      </c>
      <c r="S298" t="s">
        <v>31</v>
      </c>
      <c r="T298">
        <v>6</v>
      </c>
      <c r="U298" t="s">
        <v>31</v>
      </c>
      <c r="V298" s="1">
        <v>44894</v>
      </c>
      <c r="X298" s="1" t="str">
        <f t="shared" si="12"/>
        <v>Active</v>
      </c>
      <c r="Y298" t="str">
        <f t="shared" si="13"/>
        <v>56+</v>
      </c>
      <c r="Z298" t="str">
        <f t="shared" si="14"/>
        <v>10+ Years</v>
      </c>
    </row>
    <row r="299" spans="1:26" x14ac:dyDescent="0.35">
      <c r="A299" t="s">
        <v>355</v>
      </c>
      <c r="B299">
        <v>30</v>
      </c>
      <c r="C299" t="s">
        <v>44</v>
      </c>
      <c r="D299" t="s">
        <v>28</v>
      </c>
      <c r="E299" t="s">
        <v>29</v>
      </c>
      <c r="F299" t="s">
        <v>61</v>
      </c>
      <c r="G299">
        <v>104293</v>
      </c>
      <c r="H299">
        <v>9</v>
      </c>
      <c r="I299">
        <v>9</v>
      </c>
      <c r="J299">
        <v>4</v>
      </c>
      <c r="K299">
        <v>3</v>
      </c>
      <c r="L299">
        <v>4</v>
      </c>
      <c r="M299">
        <v>4</v>
      </c>
      <c r="N299" t="s">
        <v>31</v>
      </c>
      <c r="O299" t="s">
        <v>47</v>
      </c>
      <c r="P299">
        <v>8</v>
      </c>
      <c r="Q299">
        <v>12</v>
      </c>
      <c r="R299">
        <v>3</v>
      </c>
      <c r="S299" t="s">
        <v>33</v>
      </c>
      <c r="T299">
        <v>6</v>
      </c>
      <c r="U299" t="s">
        <v>31</v>
      </c>
      <c r="V299" s="1">
        <v>43684</v>
      </c>
      <c r="X299" s="1" t="str">
        <f t="shared" si="12"/>
        <v>Active</v>
      </c>
      <c r="Y299" t="str">
        <f t="shared" si="13"/>
        <v>26-35</v>
      </c>
      <c r="Z299" t="str">
        <f t="shared" si="14"/>
        <v>6-10 Years</v>
      </c>
    </row>
    <row r="300" spans="1:26" x14ac:dyDescent="0.35">
      <c r="A300" t="s">
        <v>356</v>
      </c>
      <c r="B300">
        <v>52</v>
      </c>
      <c r="C300" t="s">
        <v>44</v>
      </c>
      <c r="D300" t="s">
        <v>45</v>
      </c>
      <c r="E300" t="s">
        <v>63</v>
      </c>
      <c r="F300" t="s">
        <v>78</v>
      </c>
      <c r="G300">
        <v>151030</v>
      </c>
      <c r="H300">
        <v>27</v>
      </c>
      <c r="I300">
        <v>29</v>
      </c>
      <c r="J300">
        <v>5</v>
      </c>
      <c r="K300">
        <v>3</v>
      </c>
      <c r="L300">
        <v>3</v>
      </c>
      <c r="M300">
        <v>1</v>
      </c>
      <c r="N300" t="s">
        <v>31</v>
      </c>
      <c r="O300" t="s">
        <v>47</v>
      </c>
      <c r="P300">
        <v>7</v>
      </c>
      <c r="Q300">
        <v>46</v>
      </c>
      <c r="R300">
        <v>2</v>
      </c>
      <c r="S300" t="s">
        <v>33</v>
      </c>
      <c r="T300">
        <v>2</v>
      </c>
      <c r="U300" t="s">
        <v>31</v>
      </c>
      <c r="V300" s="1">
        <v>45042</v>
      </c>
      <c r="X300" s="1" t="str">
        <f t="shared" si="12"/>
        <v>Active</v>
      </c>
      <c r="Y300" t="str">
        <f t="shared" si="13"/>
        <v>46-55</v>
      </c>
      <c r="Z300" t="str">
        <f t="shared" si="14"/>
        <v>10+ Years</v>
      </c>
    </row>
    <row r="301" spans="1:26" x14ac:dyDescent="0.35">
      <c r="A301" t="s">
        <v>357</v>
      </c>
      <c r="B301">
        <v>41</v>
      </c>
      <c r="C301" t="s">
        <v>44</v>
      </c>
      <c r="D301" t="s">
        <v>39</v>
      </c>
      <c r="E301" t="s">
        <v>74</v>
      </c>
      <c r="F301" t="s">
        <v>30</v>
      </c>
      <c r="G301">
        <v>88442</v>
      </c>
      <c r="H301">
        <v>8</v>
      </c>
      <c r="I301">
        <v>19</v>
      </c>
      <c r="J301">
        <v>3</v>
      </c>
      <c r="K301">
        <v>1</v>
      </c>
      <c r="L301">
        <v>1</v>
      </c>
      <c r="M301">
        <v>3</v>
      </c>
      <c r="N301" t="s">
        <v>33</v>
      </c>
      <c r="O301" t="s">
        <v>32</v>
      </c>
      <c r="P301">
        <v>25</v>
      </c>
      <c r="Q301">
        <v>44</v>
      </c>
      <c r="R301">
        <v>4</v>
      </c>
      <c r="S301" t="s">
        <v>31</v>
      </c>
      <c r="T301">
        <v>6</v>
      </c>
      <c r="U301" t="s">
        <v>31</v>
      </c>
      <c r="V301" s="1">
        <v>42690</v>
      </c>
      <c r="X301" s="1" t="str">
        <f t="shared" si="12"/>
        <v>Active</v>
      </c>
      <c r="Y301" t="str">
        <f t="shared" si="13"/>
        <v>36-45</v>
      </c>
      <c r="Z301" t="str">
        <f t="shared" si="14"/>
        <v>6-10 Years</v>
      </c>
    </row>
    <row r="302" spans="1:26" x14ac:dyDescent="0.35">
      <c r="A302" t="s">
        <v>358</v>
      </c>
      <c r="B302">
        <v>54</v>
      </c>
      <c r="C302" t="s">
        <v>27</v>
      </c>
      <c r="D302" t="s">
        <v>39</v>
      </c>
      <c r="E302" t="s">
        <v>59</v>
      </c>
      <c r="F302" t="s">
        <v>41</v>
      </c>
      <c r="G302">
        <v>121550</v>
      </c>
      <c r="H302">
        <v>12</v>
      </c>
      <c r="I302">
        <v>30</v>
      </c>
      <c r="J302">
        <v>5</v>
      </c>
      <c r="K302">
        <v>1</v>
      </c>
      <c r="L302">
        <v>2</v>
      </c>
      <c r="M302">
        <v>4</v>
      </c>
      <c r="N302" t="s">
        <v>33</v>
      </c>
      <c r="O302" t="s">
        <v>42</v>
      </c>
      <c r="P302">
        <v>9</v>
      </c>
      <c r="Q302">
        <v>49</v>
      </c>
      <c r="R302">
        <v>2</v>
      </c>
      <c r="S302" t="s">
        <v>33</v>
      </c>
      <c r="T302">
        <v>4</v>
      </c>
      <c r="U302" t="s">
        <v>31</v>
      </c>
      <c r="V302" s="1">
        <v>45218</v>
      </c>
      <c r="X302" s="1" t="str">
        <f t="shared" si="12"/>
        <v>Active</v>
      </c>
      <c r="Y302" t="str">
        <f t="shared" si="13"/>
        <v>46-55</v>
      </c>
      <c r="Z302" t="str">
        <f t="shared" si="14"/>
        <v>10+ Years</v>
      </c>
    </row>
    <row r="303" spans="1:26" x14ac:dyDescent="0.35">
      <c r="A303" t="s">
        <v>359</v>
      </c>
      <c r="B303">
        <v>37</v>
      </c>
      <c r="C303" t="s">
        <v>44</v>
      </c>
      <c r="D303" t="s">
        <v>39</v>
      </c>
      <c r="E303" t="s">
        <v>74</v>
      </c>
      <c r="F303" t="s">
        <v>30</v>
      </c>
      <c r="G303">
        <v>77548</v>
      </c>
      <c r="H303">
        <v>3</v>
      </c>
      <c r="I303">
        <v>14</v>
      </c>
      <c r="J303">
        <v>3</v>
      </c>
      <c r="K303">
        <v>4</v>
      </c>
      <c r="L303">
        <v>3</v>
      </c>
      <c r="M303">
        <v>4</v>
      </c>
      <c r="N303" t="s">
        <v>33</v>
      </c>
      <c r="O303" t="s">
        <v>32</v>
      </c>
      <c r="P303">
        <v>21</v>
      </c>
      <c r="Q303">
        <v>23</v>
      </c>
      <c r="R303">
        <v>3</v>
      </c>
      <c r="S303" t="s">
        <v>31</v>
      </c>
      <c r="T303">
        <v>3</v>
      </c>
      <c r="U303" t="s">
        <v>31</v>
      </c>
      <c r="V303" s="1">
        <v>43142</v>
      </c>
      <c r="X303" s="1" t="str">
        <f t="shared" si="12"/>
        <v>Active</v>
      </c>
      <c r="Y303" t="str">
        <f t="shared" si="13"/>
        <v>36-45</v>
      </c>
      <c r="Z303" t="str">
        <f t="shared" si="14"/>
        <v>2-3 Years</v>
      </c>
    </row>
    <row r="304" spans="1:26" x14ac:dyDescent="0.35">
      <c r="A304" t="s">
        <v>360</v>
      </c>
      <c r="B304">
        <v>35</v>
      </c>
      <c r="C304" t="s">
        <v>27</v>
      </c>
      <c r="D304" t="s">
        <v>45</v>
      </c>
      <c r="E304" t="s">
        <v>46</v>
      </c>
      <c r="F304" t="s">
        <v>78</v>
      </c>
      <c r="G304">
        <v>83513</v>
      </c>
      <c r="H304">
        <v>7</v>
      </c>
      <c r="I304">
        <v>12</v>
      </c>
      <c r="J304">
        <v>3</v>
      </c>
      <c r="K304">
        <v>3</v>
      </c>
      <c r="L304">
        <v>2</v>
      </c>
      <c r="M304">
        <v>2</v>
      </c>
      <c r="N304" t="s">
        <v>31</v>
      </c>
      <c r="O304" t="s">
        <v>32</v>
      </c>
      <c r="P304">
        <v>29</v>
      </c>
      <c r="Q304">
        <v>26</v>
      </c>
      <c r="R304">
        <v>2</v>
      </c>
      <c r="S304" t="s">
        <v>33</v>
      </c>
      <c r="T304">
        <v>8</v>
      </c>
      <c r="U304" t="s">
        <v>31</v>
      </c>
      <c r="V304" s="1">
        <v>44861</v>
      </c>
      <c r="X304" s="1" t="str">
        <f t="shared" si="12"/>
        <v>Active</v>
      </c>
      <c r="Y304" t="str">
        <f t="shared" si="13"/>
        <v>26-35</v>
      </c>
      <c r="Z304" t="str">
        <f t="shared" si="14"/>
        <v>6-10 Years</v>
      </c>
    </row>
    <row r="305" spans="1:26" x14ac:dyDescent="0.35">
      <c r="A305" t="s">
        <v>361</v>
      </c>
      <c r="B305">
        <v>37</v>
      </c>
      <c r="C305" t="s">
        <v>44</v>
      </c>
      <c r="D305" t="s">
        <v>49</v>
      </c>
      <c r="E305" t="s">
        <v>68</v>
      </c>
      <c r="F305" t="s">
        <v>56</v>
      </c>
      <c r="G305">
        <v>43068</v>
      </c>
      <c r="H305">
        <v>2</v>
      </c>
      <c r="I305">
        <v>13</v>
      </c>
      <c r="J305">
        <v>1</v>
      </c>
      <c r="K305">
        <v>2</v>
      </c>
      <c r="L305">
        <v>3</v>
      </c>
      <c r="M305">
        <v>4</v>
      </c>
      <c r="N305" t="s">
        <v>33</v>
      </c>
      <c r="O305" t="s">
        <v>32</v>
      </c>
      <c r="P305">
        <v>27</v>
      </c>
      <c r="Q305">
        <v>29</v>
      </c>
      <c r="R305">
        <v>3</v>
      </c>
      <c r="S305" t="s">
        <v>31</v>
      </c>
      <c r="T305">
        <v>4</v>
      </c>
      <c r="U305" t="s">
        <v>31</v>
      </c>
      <c r="V305" s="1">
        <v>42033</v>
      </c>
      <c r="X305" s="1" t="str">
        <f t="shared" si="12"/>
        <v>Active</v>
      </c>
      <c r="Y305" t="str">
        <f t="shared" si="13"/>
        <v>36-45</v>
      </c>
      <c r="Z305" t="str">
        <f t="shared" si="14"/>
        <v>2-3 Years</v>
      </c>
    </row>
    <row r="306" spans="1:26" x14ac:dyDescent="0.35">
      <c r="A306" t="s">
        <v>362</v>
      </c>
      <c r="B306">
        <v>27</v>
      </c>
      <c r="C306" t="s">
        <v>44</v>
      </c>
      <c r="D306" t="s">
        <v>28</v>
      </c>
      <c r="E306" t="s">
        <v>66</v>
      </c>
      <c r="F306" t="s">
        <v>61</v>
      </c>
      <c r="G306">
        <v>57782</v>
      </c>
      <c r="H306">
        <v>1</v>
      </c>
      <c r="I306">
        <v>5</v>
      </c>
      <c r="J306">
        <v>2</v>
      </c>
      <c r="K306">
        <v>2</v>
      </c>
      <c r="L306">
        <v>3</v>
      </c>
      <c r="M306">
        <v>2</v>
      </c>
      <c r="N306" t="s">
        <v>33</v>
      </c>
      <c r="O306" t="s">
        <v>32</v>
      </c>
      <c r="P306">
        <v>17</v>
      </c>
      <c r="Q306">
        <v>23</v>
      </c>
      <c r="R306">
        <v>3</v>
      </c>
      <c r="S306" t="s">
        <v>31</v>
      </c>
      <c r="T306">
        <v>5</v>
      </c>
      <c r="U306" t="s">
        <v>33</v>
      </c>
      <c r="V306" s="1">
        <v>41246</v>
      </c>
      <c r="W306" s="1">
        <v>42223</v>
      </c>
      <c r="X306" s="1" t="str">
        <f t="shared" si="12"/>
        <v>2015-08-07</v>
      </c>
      <c r="Y306" t="str">
        <f t="shared" si="13"/>
        <v>26-35</v>
      </c>
      <c r="Z306" t="str">
        <f t="shared" si="14"/>
        <v>0-1 Year</v>
      </c>
    </row>
    <row r="307" spans="1:26" x14ac:dyDescent="0.35">
      <c r="A307" t="s">
        <v>363</v>
      </c>
      <c r="B307">
        <v>39</v>
      </c>
      <c r="C307" t="s">
        <v>44</v>
      </c>
      <c r="D307" t="s">
        <v>35</v>
      </c>
      <c r="E307" t="s">
        <v>85</v>
      </c>
      <c r="F307" t="s">
        <v>37</v>
      </c>
      <c r="G307">
        <v>101301</v>
      </c>
      <c r="H307">
        <v>7</v>
      </c>
      <c r="I307">
        <v>15</v>
      </c>
      <c r="J307">
        <v>4</v>
      </c>
      <c r="K307">
        <v>2</v>
      </c>
      <c r="L307">
        <v>2</v>
      </c>
      <c r="M307">
        <v>3</v>
      </c>
      <c r="N307" t="s">
        <v>33</v>
      </c>
      <c r="O307" t="s">
        <v>32</v>
      </c>
      <c r="P307">
        <v>11</v>
      </c>
      <c r="Q307">
        <v>40</v>
      </c>
      <c r="R307">
        <v>3</v>
      </c>
      <c r="S307" t="s">
        <v>33</v>
      </c>
      <c r="T307">
        <v>5</v>
      </c>
      <c r="U307" t="s">
        <v>33</v>
      </c>
      <c r="V307" s="1">
        <v>44599</v>
      </c>
      <c r="W307" s="1">
        <v>45062</v>
      </c>
      <c r="X307" s="1" t="str">
        <f t="shared" si="12"/>
        <v>2023-05-16</v>
      </c>
      <c r="Y307" t="str">
        <f t="shared" si="13"/>
        <v>36-45</v>
      </c>
      <c r="Z307" t="str">
        <f t="shared" si="14"/>
        <v>6-10 Years</v>
      </c>
    </row>
    <row r="308" spans="1:26" x14ac:dyDescent="0.35">
      <c r="A308" t="s">
        <v>364</v>
      </c>
      <c r="B308">
        <v>23</v>
      </c>
      <c r="C308" t="s">
        <v>44</v>
      </c>
      <c r="D308" t="s">
        <v>52</v>
      </c>
      <c r="E308" t="s">
        <v>55</v>
      </c>
      <c r="F308" t="s">
        <v>56</v>
      </c>
      <c r="G308">
        <v>39058</v>
      </c>
      <c r="H308">
        <v>1</v>
      </c>
      <c r="I308">
        <v>1</v>
      </c>
      <c r="J308">
        <v>1</v>
      </c>
      <c r="K308">
        <v>2</v>
      </c>
      <c r="L308">
        <v>3</v>
      </c>
      <c r="M308">
        <v>3</v>
      </c>
      <c r="N308" t="s">
        <v>31</v>
      </c>
      <c r="O308" t="s">
        <v>42</v>
      </c>
      <c r="P308">
        <v>11</v>
      </c>
      <c r="Q308">
        <v>46</v>
      </c>
      <c r="R308">
        <v>3</v>
      </c>
      <c r="S308" t="s">
        <v>31</v>
      </c>
      <c r="T308">
        <v>2</v>
      </c>
      <c r="U308" t="s">
        <v>31</v>
      </c>
      <c r="V308" s="1">
        <v>41813</v>
      </c>
      <c r="X308" s="1" t="str">
        <f t="shared" si="12"/>
        <v>Active</v>
      </c>
      <c r="Y308" t="str">
        <f t="shared" si="13"/>
        <v>18-25</v>
      </c>
      <c r="Z308" t="str">
        <f t="shared" si="14"/>
        <v>0-1 Year</v>
      </c>
    </row>
    <row r="309" spans="1:26" x14ac:dyDescent="0.35">
      <c r="A309" t="s">
        <v>365</v>
      </c>
      <c r="B309">
        <v>56</v>
      </c>
      <c r="C309" t="s">
        <v>27</v>
      </c>
      <c r="D309" t="s">
        <v>52</v>
      </c>
      <c r="E309" t="s">
        <v>55</v>
      </c>
      <c r="F309" t="s">
        <v>37</v>
      </c>
      <c r="G309">
        <v>128531</v>
      </c>
      <c r="H309">
        <v>13</v>
      </c>
      <c r="I309">
        <v>35</v>
      </c>
      <c r="J309">
        <v>5</v>
      </c>
      <c r="K309">
        <v>3</v>
      </c>
      <c r="L309">
        <v>3</v>
      </c>
      <c r="M309">
        <v>1</v>
      </c>
      <c r="N309" t="s">
        <v>31</v>
      </c>
      <c r="O309" t="s">
        <v>32</v>
      </c>
      <c r="P309">
        <v>22</v>
      </c>
      <c r="Q309">
        <v>30</v>
      </c>
      <c r="R309">
        <v>3</v>
      </c>
      <c r="S309" t="s">
        <v>31</v>
      </c>
      <c r="T309">
        <v>4</v>
      </c>
      <c r="U309" t="s">
        <v>31</v>
      </c>
      <c r="V309" s="1">
        <v>45105</v>
      </c>
      <c r="X309" s="1" t="str">
        <f t="shared" si="12"/>
        <v>Active</v>
      </c>
      <c r="Y309" t="str">
        <f t="shared" si="13"/>
        <v>56+</v>
      </c>
      <c r="Z309" t="str">
        <f t="shared" si="14"/>
        <v>10+ Years</v>
      </c>
    </row>
    <row r="310" spans="1:26" x14ac:dyDescent="0.35">
      <c r="A310" t="s">
        <v>366</v>
      </c>
      <c r="B310">
        <v>42</v>
      </c>
      <c r="C310" t="s">
        <v>27</v>
      </c>
      <c r="D310" t="s">
        <v>35</v>
      </c>
      <c r="E310" t="s">
        <v>85</v>
      </c>
      <c r="F310" t="s">
        <v>37</v>
      </c>
      <c r="G310">
        <v>136262</v>
      </c>
      <c r="H310">
        <v>16</v>
      </c>
      <c r="I310">
        <v>21</v>
      </c>
      <c r="J310">
        <v>5</v>
      </c>
      <c r="K310">
        <v>2</v>
      </c>
      <c r="L310">
        <v>2</v>
      </c>
      <c r="M310">
        <v>2</v>
      </c>
      <c r="N310" t="s">
        <v>31</v>
      </c>
      <c r="O310" t="s">
        <v>32</v>
      </c>
      <c r="P310">
        <v>2</v>
      </c>
      <c r="Q310">
        <v>11</v>
      </c>
      <c r="R310">
        <v>2</v>
      </c>
      <c r="S310" t="s">
        <v>33</v>
      </c>
      <c r="T310">
        <v>4</v>
      </c>
      <c r="U310" t="s">
        <v>31</v>
      </c>
      <c r="V310" s="1">
        <v>44242</v>
      </c>
      <c r="X310" s="1" t="str">
        <f t="shared" si="12"/>
        <v>Active</v>
      </c>
      <c r="Y310" t="str">
        <f t="shared" si="13"/>
        <v>36-45</v>
      </c>
      <c r="Z310" t="str">
        <f t="shared" si="14"/>
        <v>10+ Years</v>
      </c>
    </row>
    <row r="311" spans="1:26" x14ac:dyDescent="0.35">
      <c r="A311" t="s">
        <v>367</v>
      </c>
      <c r="B311">
        <v>48</v>
      </c>
      <c r="C311" t="s">
        <v>27</v>
      </c>
      <c r="D311" t="s">
        <v>28</v>
      </c>
      <c r="E311" t="s">
        <v>66</v>
      </c>
      <c r="F311" t="s">
        <v>56</v>
      </c>
      <c r="G311">
        <v>81974</v>
      </c>
      <c r="H311">
        <v>7</v>
      </c>
      <c r="I311">
        <v>26</v>
      </c>
      <c r="J311">
        <v>3</v>
      </c>
      <c r="K311">
        <v>3</v>
      </c>
      <c r="L311">
        <v>2</v>
      </c>
      <c r="M311">
        <v>2</v>
      </c>
      <c r="N311" t="s">
        <v>31</v>
      </c>
      <c r="O311" t="s">
        <v>32</v>
      </c>
      <c r="P311">
        <v>11</v>
      </c>
      <c r="Q311">
        <v>37</v>
      </c>
      <c r="R311">
        <v>2</v>
      </c>
      <c r="S311" t="s">
        <v>33</v>
      </c>
      <c r="T311">
        <v>0</v>
      </c>
      <c r="U311" t="s">
        <v>33</v>
      </c>
      <c r="V311" s="1">
        <v>42839</v>
      </c>
      <c r="W311" s="1">
        <v>43408</v>
      </c>
      <c r="X311" s="1" t="str">
        <f t="shared" si="12"/>
        <v>2018-11-04</v>
      </c>
      <c r="Y311" t="str">
        <f t="shared" si="13"/>
        <v>46-55</v>
      </c>
      <c r="Z311" t="str">
        <f t="shared" si="14"/>
        <v>6-10 Years</v>
      </c>
    </row>
    <row r="312" spans="1:26" x14ac:dyDescent="0.35">
      <c r="A312" t="s">
        <v>368</v>
      </c>
      <c r="B312">
        <v>56</v>
      </c>
      <c r="C312" t="s">
        <v>44</v>
      </c>
      <c r="D312" t="s">
        <v>39</v>
      </c>
      <c r="E312" t="s">
        <v>40</v>
      </c>
      <c r="F312" t="s">
        <v>30</v>
      </c>
      <c r="G312">
        <v>133327</v>
      </c>
      <c r="H312">
        <v>17</v>
      </c>
      <c r="I312">
        <v>34</v>
      </c>
      <c r="J312">
        <v>5</v>
      </c>
      <c r="K312">
        <v>4</v>
      </c>
      <c r="L312">
        <v>2</v>
      </c>
      <c r="M312">
        <v>2</v>
      </c>
      <c r="N312" t="s">
        <v>31</v>
      </c>
      <c r="O312" t="s">
        <v>32</v>
      </c>
      <c r="P312">
        <v>5</v>
      </c>
      <c r="Q312">
        <v>42</v>
      </c>
      <c r="R312">
        <v>2</v>
      </c>
      <c r="S312" t="s">
        <v>33</v>
      </c>
      <c r="T312">
        <v>3</v>
      </c>
      <c r="U312" t="s">
        <v>31</v>
      </c>
      <c r="V312" s="1">
        <v>43595</v>
      </c>
      <c r="X312" s="1" t="str">
        <f t="shared" si="12"/>
        <v>Active</v>
      </c>
      <c r="Y312" t="str">
        <f t="shared" si="13"/>
        <v>56+</v>
      </c>
      <c r="Z312" t="str">
        <f t="shared" si="14"/>
        <v>10+ Years</v>
      </c>
    </row>
    <row r="313" spans="1:26" x14ac:dyDescent="0.35">
      <c r="A313" t="s">
        <v>369</v>
      </c>
      <c r="B313">
        <v>49</v>
      </c>
      <c r="C313" t="s">
        <v>44</v>
      </c>
      <c r="D313" t="s">
        <v>52</v>
      </c>
      <c r="E313" t="s">
        <v>53</v>
      </c>
      <c r="F313" t="s">
        <v>56</v>
      </c>
      <c r="G313">
        <v>134715</v>
      </c>
      <c r="H313">
        <v>17</v>
      </c>
      <c r="I313">
        <v>28</v>
      </c>
      <c r="J313">
        <v>5</v>
      </c>
      <c r="K313">
        <v>2</v>
      </c>
      <c r="L313">
        <v>2</v>
      </c>
      <c r="M313">
        <v>4</v>
      </c>
      <c r="N313" t="s">
        <v>31</v>
      </c>
      <c r="O313" t="s">
        <v>47</v>
      </c>
      <c r="P313">
        <v>3</v>
      </c>
      <c r="Q313">
        <v>53</v>
      </c>
      <c r="R313">
        <v>3</v>
      </c>
      <c r="S313" t="s">
        <v>31</v>
      </c>
      <c r="T313">
        <v>8</v>
      </c>
      <c r="U313" t="s">
        <v>31</v>
      </c>
      <c r="V313" s="1">
        <v>42047</v>
      </c>
      <c r="X313" s="1" t="str">
        <f t="shared" si="12"/>
        <v>Active</v>
      </c>
      <c r="Y313" t="str">
        <f t="shared" si="13"/>
        <v>46-55</v>
      </c>
      <c r="Z313" t="str">
        <f t="shared" si="14"/>
        <v>10+ Years</v>
      </c>
    </row>
    <row r="314" spans="1:26" x14ac:dyDescent="0.35">
      <c r="A314" t="s">
        <v>370</v>
      </c>
      <c r="B314">
        <v>39</v>
      </c>
      <c r="C314" t="s">
        <v>27</v>
      </c>
      <c r="D314" t="s">
        <v>28</v>
      </c>
      <c r="E314" t="s">
        <v>66</v>
      </c>
      <c r="F314" t="s">
        <v>61</v>
      </c>
      <c r="G314">
        <v>129936</v>
      </c>
      <c r="H314">
        <v>13</v>
      </c>
      <c r="I314">
        <v>15</v>
      </c>
      <c r="J314">
        <v>5</v>
      </c>
      <c r="K314">
        <v>3</v>
      </c>
      <c r="L314">
        <v>3</v>
      </c>
      <c r="M314">
        <v>3</v>
      </c>
      <c r="N314" t="s">
        <v>31</v>
      </c>
      <c r="O314" t="s">
        <v>32</v>
      </c>
      <c r="P314">
        <v>4</v>
      </c>
      <c r="Q314">
        <v>28</v>
      </c>
      <c r="R314">
        <v>3</v>
      </c>
      <c r="S314" t="s">
        <v>33</v>
      </c>
      <c r="T314">
        <v>5</v>
      </c>
      <c r="U314" t="s">
        <v>33</v>
      </c>
      <c r="V314" s="1">
        <v>44802</v>
      </c>
      <c r="W314" s="1">
        <v>45675</v>
      </c>
      <c r="X314" s="1" t="str">
        <f t="shared" si="12"/>
        <v>2025-01-18</v>
      </c>
      <c r="Y314" t="str">
        <f t="shared" si="13"/>
        <v>36-45</v>
      </c>
      <c r="Z314" t="str">
        <f t="shared" si="14"/>
        <v>10+ Years</v>
      </c>
    </row>
    <row r="315" spans="1:26" x14ac:dyDescent="0.35">
      <c r="A315" t="s">
        <v>371</v>
      </c>
      <c r="B315">
        <v>50</v>
      </c>
      <c r="C315" t="s">
        <v>44</v>
      </c>
      <c r="D315" t="s">
        <v>39</v>
      </c>
      <c r="E315" t="s">
        <v>74</v>
      </c>
      <c r="F315" t="s">
        <v>30</v>
      </c>
      <c r="G315">
        <v>52737</v>
      </c>
      <c r="H315">
        <v>0</v>
      </c>
      <c r="I315">
        <v>29</v>
      </c>
      <c r="J315">
        <v>2</v>
      </c>
      <c r="K315">
        <v>4</v>
      </c>
      <c r="L315">
        <v>3</v>
      </c>
      <c r="M315">
        <v>4</v>
      </c>
      <c r="N315" t="s">
        <v>31</v>
      </c>
      <c r="O315" t="s">
        <v>42</v>
      </c>
      <c r="P315">
        <v>12</v>
      </c>
      <c r="Q315">
        <v>49</v>
      </c>
      <c r="R315">
        <v>3</v>
      </c>
      <c r="S315" t="s">
        <v>31</v>
      </c>
      <c r="T315">
        <v>4</v>
      </c>
      <c r="U315" t="s">
        <v>31</v>
      </c>
      <c r="V315" s="1">
        <v>43850</v>
      </c>
      <c r="X315" s="1" t="str">
        <f t="shared" si="12"/>
        <v>Active</v>
      </c>
      <c r="Y315" t="str">
        <f t="shared" si="13"/>
        <v>46-55</v>
      </c>
      <c r="Z315" t="str">
        <f t="shared" si="14"/>
        <v>0-1 Year</v>
      </c>
    </row>
    <row r="316" spans="1:26" x14ac:dyDescent="0.35">
      <c r="A316" t="s">
        <v>372</v>
      </c>
      <c r="B316">
        <v>29</v>
      </c>
      <c r="C316" t="s">
        <v>44</v>
      </c>
      <c r="D316" t="s">
        <v>39</v>
      </c>
      <c r="E316" t="s">
        <v>74</v>
      </c>
      <c r="F316" t="s">
        <v>37</v>
      </c>
      <c r="G316">
        <v>85580</v>
      </c>
      <c r="H316">
        <v>6</v>
      </c>
      <c r="I316">
        <v>7</v>
      </c>
      <c r="J316">
        <v>3</v>
      </c>
      <c r="K316">
        <v>2</v>
      </c>
      <c r="L316">
        <v>4</v>
      </c>
      <c r="M316">
        <v>2</v>
      </c>
      <c r="N316" t="s">
        <v>31</v>
      </c>
      <c r="O316" t="s">
        <v>32</v>
      </c>
      <c r="P316">
        <v>24</v>
      </c>
      <c r="Q316">
        <v>43</v>
      </c>
      <c r="R316">
        <v>4</v>
      </c>
      <c r="S316" t="s">
        <v>31</v>
      </c>
      <c r="T316">
        <v>7</v>
      </c>
      <c r="U316" t="s">
        <v>31</v>
      </c>
      <c r="V316" s="1">
        <v>42827</v>
      </c>
      <c r="X316" s="1" t="str">
        <f t="shared" si="12"/>
        <v>Active</v>
      </c>
      <c r="Y316" t="str">
        <f t="shared" si="13"/>
        <v>26-35</v>
      </c>
      <c r="Z316" t="str">
        <f t="shared" si="14"/>
        <v>6-10 Years</v>
      </c>
    </row>
    <row r="317" spans="1:26" x14ac:dyDescent="0.35">
      <c r="A317" t="s">
        <v>373</v>
      </c>
      <c r="B317">
        <v>38</v>
      </c>
      <c r="C317" t="s">
        <v>44</v>
      </c>
      <c r="D317" t="s">
        <v>45</v>
      </c>
      <c r="E317" t="s">
        <v>63</v>
      </c>
      <c r="F317" t="s">
        <v>56</v>
      </c>
      <c r="G317">
        <v>122824</v>
      </c>
      <c r="H317">
        <v>12</v>
      </c>
      <c r="I317">
        <v>14</v>
      </c>
      <c r="J317">
        <v>5</v>
      </c>
      <c r="K317">
        <v>4</v>
      </c>
      <c r="L317">
        <v>1</v>
      </c>
      <c r="M317">
        <v>1</v>
      </c>
      <c r="N317" t="s">
        <v>31</v>
      </c>
      <c r="O317" t="s">
        <v>32</v>
      </c>
      <c r="P317">
        <v>6</v>
      </c>
      <c r="Q317">
        <v>22</v>
      </c>
      <c r="R317">
        <v>3</v>
      </c>
      <c r="S317" t="s">
        <v>31</v>
      </c>
      <c r="T317">
        <v>2</v>
      </c>
      <c r="U317" t="s">
        <v>33</v>
      </c>
      <c r="V317" s="1">
        <v>43151</v>
      </c>
      <c r="W317" s="1">
        <v>43262</v>
      </c>
      <c r="X317" s="1" t="str">
        <f t="shared" si="12"/>
        <v>2018-06-11</v>
      </c>
      <c r="Y317" t="str">
        <f t="shared" si="13"/>
        <v>36-45</v>
      </c>
      <c r="Z317" t="str">
        <f t="shared" si="14"/>
        <v>10+ Years</v>
      </c>
    </row>
    <row r="318" spans="1:26" x14ac:dyDescent="0.35">
      <c r="A318" t="s">
        <v>374</v>
      </c>
      <c r="B318">
        <v>31</v>
      </c>
      <c r="C318" t="s">
        <v>27</v>
      </c>
      <c r="D318" t="s">
        <v>35</v>
      </c>
      <c r="E318" t="s">
        <v>36</v>
      </c>
      <c r="F318" t="s">
        <v>37</v>
      </c>
      <c r="G318">
        <v>80622</v>
      </c>
      <c r="H318">
        <v>5</v>
      </c>
      <c r="I318">
        <v>9</v>
      </c>
      <c r="J318">
        <v>3</v>
      </c>
      <c r="K318">
        <v>1</v>
      </c>
      <c r="L318">
        <v>2</v>
      </c>
      <c r="M318">
        <v>2</v>
      </c>
      <c r="N318" t="s">
        <v>33</v>
      </c>
      <c r="O318" t="s">
        <v>32</v>
      </c>
      <c r="P318">
        <v>4</v>
      </c>
      <c r="Q318">
        <v>39</v>
      </c>
      <c r="R318">
        <v>3</v>
      </c>
      <c r="S318" t="s">
        <v>33</v>
      </c>
      <c r="T318">
        <v>8</v>
      </c>
      <c r="U318" t="s">
        <v>33</v>
      </c>
      <c r="V318" s="1">
        <v>41304</v>
      </c>
      <c r="W318" s="1">
        <v>41410</v>
      </c>
      <c r="X318" s="1" t="str">
        <f t="shared" si="12"/>
        <v>2013-05-16</v>
      </c>
      <c r="Y318" t="str">
        <f t="shared" si="13"/>
        <v>26-35</v>
      </c>
      <c r="Z318" t="str">
        <f t="shared" si="14"/>
        <v>4-5 Years</v>
      </c>
    </row>
    <row r="319" spans="1:26" x14ac:dyDescent="0.35">
      <c r="A319" t="s">
        <v>375</v>
      </c>
      <c r="B319">
        <v>47</v>
      </c>
      <c r="C319" t="s">
        <v>27</v>
      </c>
      <c r="D319" t="s">
        <v>35</v>
      </c>
      <c r="E319" t="s">
        <v>85</v>
      </c>
      <c r="F319" t="s">
        <v>78</v>
      </c>
      <c r="G319">
        <v>148459</v>
      </c>
      <c r="H319">
        <v>22</v>
      </c>
      <c r="I319">
        <v>26</v>
      </c>
      <c r="J319">
        <v>5</v>
      </c>
      <c r="K319">
        <v>1</v>
      </c>
      <c r="L319">
        <v>4</v>
      </c>
      <c r="M319">
        <v>4</v>
      </c>
      <c r="N319" t="s">
        <v>31</v>
      </c>
      <c r="O319" t="s">
        <v>32</v>
      </c>
      <c r="P319">
        <v>28</v>
      </c>
      <c r="Q319">
        <v>36</v>
      </c>
      <c r="R319">
        <v>3</v>
      </c>
      <c r="S319" t="s">
        <v>33</v>
      </c>
      <c r="T319">
        <v>4</v>
      </c>
      <c r="U319" t="s">
        <v>31</v>
      </c>
      <c r="V319" s="1">
        <v>41573</v>
      </c>
      <c r="X319" s="1" t="str">
        <f t="shared" si="12"/>
        <v>Active</v>
      </c>
      <c r="Y319" t="str">
        <f t="shared" si="13"/>
        <v>46-55</v>
      </c>
      <c r="Z319" t="str">
        <f t="shared" si="14"/>
        <v>10+ Years</v>
      </c>
    </row>
    <row r="320" spans="1:26" x14ac:dyDescent="0.35">
      <c r="A320" t="s">
        <v>376</v>
      </c>
      <c r="B320">
        <v>34</v>
      </c>
      <c r="C320" t="s">
        <v>44</v>
      </c>
      <c r="D320" t="s">
        <v>28</v>
      </c>
      <c r="E320" t="s">
        <v>29</v>
      </c>
      <c r="F320" t="s">
        <v>78</v>
      </c>
      <c r="G320">
        <v>102869</v>
      </c>
      <c r="H320">
        <v>9</v>
      </c>
      <c r="I320">
        <v>10</v>
      </c>
      <c r="J320">
        <v>4</v>
      </c>
      <c r="K320">
        <v>1</v>
      </c>
      <c r="L320">
        <v>1</v>
      </c>
      <c r="M320">
        <v>4</v>
      </c>
      <c r="N320" t="s">
        <v>31</v>
      </c>
      <c r="O320" t="s">
        <v>42</v>
      </c>
      <c r="P320">
        <v>7</v>
      </c>
      <c r="Q320">
        <v>47</v>
      </c>
      <c r="R320">
        <v>3</v>
      </c>
      <c r="S320" t="s">
        <v>31</v>
      </c>
      <c r="T320">
        <v>7</v>
      </c>
      <c r="U320" t="s">
        <v>31</v>
      </c>
      <c r="V320" s="1">
        <v>44218</v>
      </c>
      <c r="X320" s="1" t="str">
        <f t="shared" si="12"/>
        <v>Active</v>
      </c>
      <c r="Y320" t="str">
        <f t="shared" si="13"/>
        <v>26-35</v>
      </c>
      <c r="Z320" t="str">
        <f t="shared" si="14"/>
        <v>6-10 Years</v>
      </c>
    </row>
    <row r="321" spans="1:26" x14ac:dyDescent="0.35">
      <c r="A321" t="s">
        <v>377</v>
      </c>
      <c r="B321">
        <v>48</v>
      </c>
      <c r="C321" t="s">
        <v>27</v>
      </c>
      <c r="D321" t="s">
        <v>52</v>
      </c>
      <c r="E321" t="s">
        <v>55</v>
      </c>
      <c r="F321" t="s">
        <v>78</v>
      </c>
      <c r="G321">
        <v>152548</v>
      </c>
      <c r="H321">
        <v>26</v>
      </c>
      <c r="I321">
        <v>27</v>
      </c>
      <c r="J321">
        <v>5</v>
      </c>
      <c r="K321">
        <v>2</v>
      </c>
      <c r="L321">
        <v>4</v>
      </c>
      <c r="M321">
        <v>4</v>
      </c>
      <c r="N321" t="s">
        <v>31</v>
      </c>
      <c r="O321" t="s">
        <v>32</v>
      </c>
      <c r="P321">
        <v>6</v>
      </c>
      <c r="Q321">
        <v>47</v>
      </c>
      <c r="R321">
        <v>2</v>
      </c>
      <c r="S321" t="s">
        <v>31</v>
      </c>
      <c r="T321">
        <v>4</v>
      </c>
      <c r="U321" t="s">
        <v>31</v>
      </c>
      <c r="V321" s="1">
        <v>44918</v>
      </c>
      <c r="X321" s="1" t="str">
        <f t="shared" si="12"/>
        <v>Active</v>
      </c>
      <c r="Y321" t="str">
        <f t="shared" si="13"/>
        <v>46-55</v>
      </c>
      <c r="Z321" t="str">
        <f t="shared" si="14"/>
        <v>10+ Years</v>
      </c>
    </row>
    <row r="322" spans="1:26" x14ac:dyDescent="0.35">
      <c r="A322" t="s">
        <v>378</v>
      </c>
      <c r="B322">
        <v>33</v>
      </c>
      <c r="C322" t="s">
        <v>44</v>
      </c>
      <c r="D322" t="s">
        <v>39</v>
      </c>
      <c r="E322" t="s">
        <v>40</v>
      </c>
      <c r="F322" t="s">
        <v>56</v>
      </c>
      <c r="G322">
        <v>108211</v>
      </c>
      <c r="H322">
        <v>11</v>
      </c>
      <c r="I322">
        <v>11</v>
      </c>
      <c r="J322">
        <v>4</v>
      </c>
      <c r="K322">
        <v>3</v>
      </c>
      <c r="L322">
        <v>2</v>
      </c>
      <c r="M322">
        <v>2</v>
      </c>
      <c r="N322" t="s">
        <v>33</v>
      </c>
      <c r="O322" t="s">
        <v>42</v>
      </c>
      <c r="P322">
        <v>16</v>
      </c>
      <c r="Q322">
        <v>17</v>
      </c>
      <c r="R322">
        <v>3</v>
      </c>
      <c r="S322" t="s">
        <v>33</v>
      </c>
      <c r="T322">
        <v>5</v>
      </c>
      <c r="U322" t="s">
        <v>31</v>
      </c>
      <c r="V322" s="1">
        <v>42848</v>
      </c>
      <c r="X322" s="1" t="str">
        <f t="shared" si="12"/>
        <v>Active</v>
      </c>
      <c r="Y322" t="str">
        <f t="shared" si="13"/>
        <v>26-35</v>
      </c>
      <c r="Z322" t="str">
        <f t="shared" si="14"/>
        <v>10+ Years</v>
      </c>
    </row>
    <row r="323" spans="1:26" x14ac:dyDescent="0.35">
      <c r="A323" t="s">
        <v>379</v>
      </c>
      <c r="B323">
        <v>26</v>
      </c>
      <c r="C323" t="s">
        <v>27</v>
      </c>
      <c r="D323" t="s">
        <v>39</v>
      </c>
      <c r="E323" t="s">
        <v>40</v>
      </c>
      <c r="F323" t="s">
        <v>78</v>
      </c>
      <c r="G323">
        <v>55813</v>
      </c>
      <c r="H323">
        <v>1</v>
      </c>
      <c r="I323">
        <v>2</v>
      </c>
      <c r="J323">
        <v>2</v>
      </c>
      <c r="K323">
        <v>4</v>
      </c>
      <c r="L323">
        <v>4</v>
      </c>
      <c r="M323">
        <v>3</v>
      </c>
      <c r="N323" t="s">
        <v>33</v>
      </c>
      <c r="O323" t="s">
        <v>32</v>
      </c>
      <c r="P323">
        <v>2</v>
      </c>
      <c r="Q323">
        <v>20</v>
      </c>
      <c r="R323">
        <v>3</v>
      </c>
      <c r="S323" t="s">
        <v>31</v>
      </c>
      <c r="T323">
        <v>4</v>
      </c>
      <c r="U323" t="s">
        <v>31</v>
      </c>
      <c r="V323" s="1">
        <v>43970</v>
      </c>
      <c r="X323" s="1" t="str">
        <f t="shared" ref="X323:X386" si="15">IF(ISBLANK(W323), "Active", TEXT(W323, "yyyy-mm-dd"))</f>
        <v>Active</v>
      </c>
      <c r="Y323" t="str">
        <f t="shared" ref="Y323:Y386" si="16">_xlfn.IFS(B323&lt;=25, "18-25", B323&lt;=35, "26-35", B323&lt;=45, "36-45", B323&lt;=55, "46-55", B323&gt;55, "56+")</f>
        <v>26-35</v>
      </c>
      <c r="Z323" t="str">
        <f t="shared" ref="Z323:Z386" si="17">_xlfn.IFS(H323&lt;=1, "0-1 Year", H323&lt;=3, "2-3 Years", H323&lt;=5, "4-5 Years", H323&lt;=10, "6-10 Years", H323&gt;10, "10+ Years")</f>
        <v>0-1 Year</v>
      </c>
    </row>
    <row r="324" spans="1:26" x14ac:dyDescent="0.35">
      <c r="A324" t="s">
        <v>380</v>
      </c>
      <c r="B324">
        <v>44</v>
      </c>
      <c r="C324" t="s">
        <v>44</v>
      </c>
      <c r="D324" t="s">
        <v>45</v>
      </c>
      <c r="E324" t="s">
        <v>46</v>
      </c>
      <c r="F324" t="s">
        <v>78</v>
      </c>
      <c r="G324">
        <v>78441</v>
      </c>
      <c r="H324">
        <v>5</v>
      </c>
      <c r="I324">
        <v>21</v>
      </c>
      <c r="J324">
        <v>3</v>
      </c>
      <c r="K324">
        <v>1</v>
      </c>
      <c r="L324">
        <v>4</v>
      </c>
      <c r="M324">
        <v>4</v>
      </c>
      <c r="N324" t="s">
        <v>31</v>
      </c>
      <c r="O324" t="s">
        <v>32</v>
      </c>
      <c r="P324">
        <v>20</v>
      </c>
      <c r="Q324">
        <v>27</v>
      </c>
      <c r="R324">
        <v>3</v>
      </c>
      <c r="S324" t="s">
        <v>33</v>
      </c>
      <c r="T324">
        <v>5</v>
      </c>
      <c r="U324" t="s">
        <v>31</v>
      </c>
      <c r="V324" s="1">
        <v>41595</v>
      </c>
      <c r="X324" s="1" t="str">
        <f t="shared" si="15"/>
        <v>Active</v>
      </c>
      <c r="Y324" t="str">
        <f t="shared" si="16"/>
        <v>36-45</v>
      </c>
      <c r="Z324" t="str">
        <f t="shared" si="17"/>
        <v>4-5 Years</v>
      </c>
    </row>
    <row r="325" spans="1:26" x14ac:dyDescent="0.35">
      <c r="A325" t="s">
        <v>381</v>
      </c>
      <c r="B325">
        <v>55</v>
      </c>
      <c r="C325" t="s">
        <v>44</v>
      </c>
      <c r="D325" t="s">
        <v>35</v>
      </c>
      <c r="E325" t="s">
        <v>85</v>
      </c>
      <c r="F325" t="s">
        <v>56</v>
      </c>
      <c r="G325">
        <v>138810</v>
      </c>
      <c r="H325">
        <v>20</v>
      </c>
      <c r="I325">
        <v>31</v>
      </c>
      <c r="J325">
        <v>5</v>
      </c>
      <c r="K325">
        <v>3</v>
      </c>
      <c r="L325">
        <v>2</v>
      </c>
      <c r="M325">
        <v>1</v>
      </c>
      <c r="N325" t="s">
        <v>33</v>
      </c>
      <c r="O325" t="s">
        <v>32</v>
      </c>
      <c r="P325">
        <v>8</v>
      </c>
      <c r="Q325">
        <v>57</v>
      </c>
      <c r="R325">
        <v>3</v>
      </c>
      <c r="S325" t="s">
        <v>33</v>
      </c>
      <c r="T325">
        <v>6</v>
      </c>
      <c r="U325" t="s">
        <v>33</v>
      </c>
      <c r="V325" s="1">
        <v>41201</v>
      </c>
      <c r="W325" s="1">
        <v>41928</v>
      </c>
      <c r="X325" s="1" t="str">
        <f t="shared" si="15"/>
        <v>2014-10-16</v>
      </c>
      <c r="Y325" t="str">
        <f t="shared" si="16"/>
        <v>46-55</v>
      </c>
      <c r="Z325" t="str">
        <f t="shared" si="17"/>
        <v>10+ Years</v>
      </c>
    </row>
    <row r="326" spans="1:26" x14ac:dyDescent="0.35">
      <c r="A326" t="s">
        <v>382</v>
      </c>
      <c r="B326">
        <v>45</v>
      </c>
      <c r="C326" t="s">
        <v>27</v>
      </c>
      <c r="D326" t="s">
        <v>39</v>
      </c>
      <c r="E326" t="s">
        <v>74</v>
      </c>
      <c r="F326" t="s">
        <v>78</v>
      </c>
      <c r="G326">
        <v>79966</v>
      </c>
      <c r="H326">
        <v>6</v>
      </c>
      <c r="I326">
        <v>23</v>
      </c>
      <c r="J326">
        <v>3</v>
      </c>
      <c r="K326">
        <v>2</v>
      </c>
      <c r="L326">
        <v>4</v>
      </c>
      <c r="M326">
        <v>3</v>
      </c>
      <c r="N326" t="s">
        <v>31</v>
      </c>
      <c r="O326" t="s">
        <v>32</v>
      </c>
      <c r="P326">
        <v>28</v>
      </c>
      <c r="Q326">
        <v>22</v>
      </c>
      <c r="R326">
        <v>2</v>
      </c>
      <c r="S326" t="s">
        <v>33</v>
      </c>
      <c r="T326">
        <v>6</v>
      </c>
      <c r="U326" t="s">
        <v>33</v>
      </c>
      <c r="V326" s="1">
        <v>42291</v>
      </c>
      <c r="W326" s="1">
        <v>42917</v>
      </c>
      <c r="X326" s="1" t="str">
        <f t="shared" si="15"/>
        <v>2017-07-01</v>
      </c>
      <c r="Y326" t="str">
        <f t="shared" si="16"/>
        <v>36-45</v>
      </c>
      <c r="Z326" t="str">
        <f t="shared" si="17"/>
        <v>6-10 Years</v>
      </c>
    </row>
    <row r="327" spans="1:26" x14ac:dyDescent="0.35">
      <c r="A327" t="s">
        <v>383</v>
      </c>
      <c r="B327">
        <v>32</v>
      </c>
      <c r="C327" t="s">
        <v>44</v>
      </c>
      <c r="D327" t="s">
        <v>52</v>
      </c>
      <c r="E327" t="s">
        <v>53</v>
      </c>
      <c r="F327" t="s">
        <v>78</v>
      </c>
      <c r="G327">
        <v>85948</v>
      </c>
      <c r="H327">
        <v>6</v>
      </c>
      <c r="I327">
        <v>10</v>
      </c>
      <c r="J327">
        <v>3</v>
      </c>
      <c r="K327">
        <v>1</v>
      </c>
      <c r="L327">
        <v>1</v>
      </c>
      <c r="M327">
        <v>4</v>
      </c>
      <c r="N327" t="s">
        <v>33</v>
      </c>
      <c r="O327" t="s">
        <v>32</v>
      </c>
      <c r="P327">
        <v>5</v>
      </c>
      <c r="Q327">
        <v>11</v>
      </c>
      <c r="R327">
        <v>3</v>
      </c>
      <c r="S327" t="s">
        <v>31</v>
      </c>
      <c r="T327">
        <v>4</v>
      </c>
      <c r="U327" t="s">
        <v>31</v>
      </c>
      <c r="V327" s="1">
        <v>41267</v>
      </c>
      <c r="X327" s="1" t="str">
        <f t="shared" si="15"/>
        <v>Active</v>
      </c>
      <c r="Y327" t="str">
        <f t="shared" si="16"/>
        <v>26-35</v>
      </c>
      <c r="Z327" t="str">
        <f t="shared" si="17"/>
        <v>6-10 Years</v>
      </c>
    </row>
    <row r="328" spans="1:26" x14ac:dyDescent="0.35">
      <c r="A328" t="s">
        <v>384</v>
      </c>
      <c r="B328">
        <v>23</v>
      </c>
      <c r="C328" t="s">
        <v>44</v>
      </c>
      <c r="D328" t="s">
        <v>39</v>
      </c>
      <c r="E328" t="s">
        <v>59</v>
      </c>
      <c r="F328" t="s">
        <v>61</v>
      </c>
      <c r="G328">
        <v>38627</v>
      </c>
      <c r="H328">
        <v>0</v>
      </c>
      <c r="I328">
        <v>2</v>
      </c>
      <c r="J328">
        <v>1</v>
      </c>
      <c r="K328">
        <v>2</v>
      </c>
      <c r="L328">
        <v>3</v>
      </c>
      <c r="M328">
        <v>1</v>
      </c>
      <c r="N328" t="s">
        <v>31</v>
      </c>
      <c r="O328" t="s">
        <v>32</v>
      </c>
      <c r="P328">
        <v>18</v>
      </c>
      <c r="Q328">
        <v>19</v>
      </c>
      <c r="R328">
        <v>2</v>
      </c>
      <c r="S328" t="s">
        <v>31</v>
      </c>
      <c r="T328">
        <v>4</v>
      </c>
      <c r="U328" t="s">
        <v>31</v>
      </c>
      <c r="V328" s="1">
        <v>41707</v>
      </c>
      <c r="X328" s="1" t="str">
        <f t="shared" si="15"/>
        <v>Active</v>
      </c>
      <c r="Y328" t="str">
        <f t="shared" si="16"/>
        <v>18-25</v>
      </c>
      <c r="Z328" t="str">
        <f t="shared" si="17"/>
        <v>0-1 Year</v>
      </c>
    </row>
    <row r="329" spans="1:26" x14ac:dyDescent="0.35">
      <c r="A329" t="s">
        <v>385</v>
      </c>
      <c r="B329">
        <v>48</v>
      </c>
      <c r="C329" t="s">
        <v>44</v>
      </c>
      <c r="D329" t="s">
        <v>45</v>
      </c>
      <c r="E329" t="s">
        <v>46</v>
      </c>
      <c r="F329" t="s">
        <v>41</v>
      </c>
      <c r="G329">
        <v>153800</v>
      </c>
      <c r="H329">
        <v>25</v>
      </c>
      <c r="I329">
        <v>27</v>
      </c>
      <c r="J329">
        <v>5</v>
      </c>
      <c r="K329">
        <v>2</v>
      </c>
      <c r="L329">
        <v>1</v>
      </c>
      <c r="M329">
        <v>1</v>
      </c>
      <c r="N329" t="s">
        <v>31</v>
      </c>
      <c r="O329" t="s">
        <v>32</v>
      </c>
      <c r="P329">
        <v>6</v>
      </c>
      <c r="Q329">
        <v>30</v>
      </c>
      <c r="R329">
        <v>3</v>
      </c>
      <c r="S329" t="s">
        <v>31</v>
      </c>
      <c r="T329">
        <v>3</v>
      </c>
      <c r="U329" t="s">
        <v>31</v>
      </c>
      <c r="V329" s="1">
        <v>41136</v>
      </c>
      <c r="X329" s="1" t="str">
        <f t="shared" si="15"/>
        <v>Active</v>
      </c>
      <c r="Y329" t="str">
        <f t="shared" si="16"/>
        <v>46-55</v>
      </c>
      <c r="Z329" t="str">
        <f t="shared" si="17"/>
        <v>10+ Years</v>
      </c>
    </row>
    <row r="330" spans="1:26" x14ac:dyDescent="0.35">
      <c r="A330" t="s">
        <v>386</v>
      </c>
      <c r="B330">
        <v>38</v>
      </c>
      <c r="C330" t="s">
        <v>27</v>
      </c>
      <c r="D330" t="s">
        <v>45</v>
      </c>
      <c r="E330" t="s">
        <v>63</v>
      </c>
      <c r="F330" t="s">
        <v>41</v>
      </c>
      <c r="G330">
        <v>102530</v>
      </c>
      <c r="H330">
        <v>7</v>
      </c>
      <c r="I330">
        <v>17</v>
      </c>
      <c r="J330">
        <v>4</v>
      </c>
      <c r="K330">
        <v>1</v>
      </c>
      <c r="L330">
        <v>3</v>
      </c>
      <c r="M330">
        <v>1</v>
      </c>
      <c r="N330" t="s">
        <v>31</v>
      </c>
      <c r="O330" t="s">
        <v>32</v>
      </c>
      <c r="P330">
        <v>22</v>
      </c>
      <c r="Q330">
        <v>55</v>
      </c>
      <c r="R330">
        <v>4</v>
      </c>
      <c r="S330" t="s">
        <v>31</v>
      </c>
      <c r="T330">
        <v>4</v>
      </c>
      <c r="U330" t="s">
        <v>31</v>
      </c>
      <c r="V330" s="1">
        <v>44299</v>
      </c>
      <c r="X330" s="1" t="str">
        <f t="shared" si="15"/>
        <v>Active</v>
      </c>
      <c r="Y330" t="str">
        <f t="shared" si="16"/>
        <v>36-45</v>
      </c>
      <c r="Z330" t="str">
        <f t="shared" si="17"/>
        <v>6-10 Years</v>
      </c>
    </row>
    <row r="331" spans="1:26" x14ac:dyDescent="0.35">
      <c r="A331" t="s">
        <v>387</v>
      </c>
      <c r="B331">
        <v>51</v>
      </c>
      <c r="C331" t="s">
        <v>27</v>
      </c>
      <c r="D331" t="s">
        <v>45</v>
      </c>
      <c r="E331" t="s">
        <v>63</v>
      </c>
      <c r="F331" t="s">
        <v>41</v>
      </c>
      <c r="G331">
        <v>104855</v>
      </c>
      <c r="H331">
        <v>10</v>
      </c>
      <c r="I331">
        <v>27</v>
      </c>
      <c r="J331">
        <v>4</v>
      </c>
      <c r="K331">
        <v>1</v>
      </c>
      <c r="L331">
        <v>1</v>
      </c>
      <c r="M331">
        <v>1</v>
      </c>
      <c r="N331" t="s">
        <v>33</v>
      </c>
      <c r="O331" t="s">
        <v>32</v>
      </c>
      <c r="P331">
        <v>2</v>
      </c>
      <c r="Q331">
        <v>19</v>
      </c>
      <c r="R331">
        <v>4</v>
      </c>
      <c r="S331" t="s">
        <v>31</v>
      </c>
      <c r="T331">
        <v>5</v>
      </c>
      <c r="U331" t="s">
        <v>31</v>
      </c>
      <c r="V331" s="1">
        <v>43346</v>
      </c>
      <c r="X331" s="1" t="str">
        <f t="shared" si="15"/>
        <v>Active</v>
      </c>
      <c r="Y331" t="str">
        <f t="shared" si="16"/>
        <v>46-55</v>
      </c>
      <c r="Z331" t="str">
        <f t="shared" si="17"/>
        <v>6-10 Years</v>
      </c>
    </row>
    <row r="332" spans="1:26" x14ac:dyDescent="0.35">
      <c r="A332" t="s">
        <v>388</v>
      </c>
      <c r="B332">
        <v>43</v>
      </c>
      <c r="C332" t="s">
        <v>44</v>
      </c>
      <c r="D332" t="s">
        <v>35</v>
      </c>
      <c r="E332" t="s">
        <v>36</v>
      </c>
      <c r="F332" t="s">
        <v>30</v>
      </c>
      <c r="G332">
        <v>139319</v>
      </c>
      <c r="H332">
        <v>18</v>
      </c>
      <c r="I332">
        <v>19</v>
      </c>
      <c r="J332">
        <v>5</v>
      </c>
      <c r="K332">
        <v>2</v>
      </c>
      <c r="L332">
        <v>1</v>
      </c>
      <c r="M332">
        <v>2</v>
      </c>
      <c r="N332" t="s">
        <v>31</v>
      </c>
      <c r="O332" t="s">
        <v>42</v>
      </c>
      <c r="P332">
        <v>4</v>
      </c>
      <c r="Q332">
        <v>21</v>
      </c>
      <c r="R332">
        <v>3</v>
      </c>
      <c r="S332" t="s">
        <v>31</v>
      </c>
      <c r="T332">
        <v>7</v>
      </c>
      <c r="U332" t="s">
        <v>31</v>
      </c>
      <c r="V332" s="1">
        <v>44981</v>
      </c>
      <c r="X332" s="1" t="str">
        <f t="shared" si="15"/>
        <v>Active</v>
      </c>
      <c r="Y332" t="str">
        <f t="shared" si="16"/>
        <v>36-45</v>
      </c>
      <c r="Z332" t="str">
        <f t="shared" si="17"/>
        <v>10+ Years</v>
      </c>
    </row>
    <row r="333" spans="1:26" x14ac:dyDescent="0.35">
      <c r="A333" t="s">
        <v>389</v>
      </c>
      <c r="B333">
        <v>31</v>
      </c>
      <c r="C333" t="s">
        <v>27</v>
      </c>
      <c r="D333" t="s">
        <v>45</v>
      </c>
      <c r="E333" t="s">
        <v>46</v>
      </c>
      <c r="F333" t="s">
        <v>37</v>
      </c>
      <c r="G333">
        <v>63079</v>
      </c>
      <c r="H333">
        <v>5</v>
      </c>
      <c r="I333">
        <v>8</v>
      </c>
      <c r="J333">
        <v>2</v>
      </c>
      <c r="K333">
        <v>3</v>
      </c>
      <c r="L333">
        <v>3</v>
      </c>
      <c r="M333">
        <v>3</v>
      </c>
      <c r="N333" t="s">
        <v>31</v>
      </c>
      <c r="O333" t="s">
        <v>32</v>
      </c>
      <c r="P333">
        <v>25</v>
      </c>
      <c r="Q333">
        <v>59</v>
      </c>
      <c r="R333">
        <v>3</v>
      </c>
      <c r="S333" t="s">
        <v>31</v>
      </c>
      <c r="T333">
        <v>5</v>
      </c>
      <c r="U333" t="s">
        <v>31</v>
      </c>
      <c r="V333" s="1">
        <v>43562</v>
      </c>
      <c r="X333" s="1" t="str">
        <f t="shared" si="15"/>
        <v>Active</v>
      </c>
      <c r="Y333" t="str">
        <f t="shared" si="16"/>
        <v>26-35</v>
      </c>
      <c r="Z333" t="str">
        <f t="shared" si="17"/>
        <v>4-5 Years</v>
      </c>
    </row>
    <row r="334" spans="1:26" x14ac:dyDescent="0.35">
      <c r="A334" t="s">
        <v>390</v>
      </c>
      <c r="B334">
        <v>26</v>
      </c>
      <c r="C334" t="s">
        <v>27</v>
      </c>
      <c r="D334" t="s">
        <v>39</v>
      </c>
      <c r="E334" t="s">
        <v>74</v>
      </c>
      <c r="F334" t="s">
        <v>37</v>
      </c>
      <c r="G334">
        <v>82740</v>
      </c>
      <c r="H334">
        <v>4</v>
      </c>
      <c r="I334">
        <v>4</v>
      </c>
      <c r="J334">
        <v>3</v>
      </c>
      <c r="K334">
        <v>3</v>
      </c>
      <c r="L334">
        <v>1</v>
      </c>
      <c r="M334">
        <v>4</v>
      </c>
      <c r="N334" t="s">
        <v>31</v>
      </c>
      <c r="O334" t="s">
        <v>32</v>
      </c>
      <c r="P334">
        <v>1</v>
      </c>
      <c r="Q334">
        <v>39</v>
      </c>
      <c r="R334">
        <v>2</v>
      </c>
      <c r="S334" t="s">
        <v>31</v>
      </c>
      <c r="T334">
        <v>3</v>
      </c>
      <c r="U334" t="s">
        <v>31</v>
      </c>
      <c r="V334" s="1">
        <v>41219</v>
      </c>
      <c r="X334" s="1" t="str">
        <f t="shared" si="15"/>
        <v>Active</v>
      </c>
      <c r="Y334" t="str">
        <f t="shared" si="16"/>
        <v>26-35</v>
      </c>
      <c r="Z334" t="str">
        <f t="shared" si="17"/>
        <v>4-5 Years</v>
      </c>
    </row>
    <row r="335" spans="1:26" x14ac:dyDescent="0.35">
      <c r="A335" t="s">
        <v>391</v>
      </c>
      <c r="B335">
        <v>34</v>
      </c>
      <c r="C335" t="s">
        <v>44</v>
      </c>
      <c r="D335" t="s">
        <v>28</v>
      </c>
      <c r="E335" t="s">
        <v>66</v>
      </c>
      <c r="F335" t="s">
        <v>56</v>
      </c>
      <c r="G335">
        <v>54421</v>
      </c>
      <c r="H335">
        <v>1</v>
      </c>
      <c r="I335">
        <v>12</v>
      </c>
      <c r="J335">
        <v>2</v>
      </c>
      <c r="K335">
        <v>2</v>
      </c>
      <c r="L335">
        <v>1</v>
      </c>
      <c r="M335">
        <v>1</v>
      </c>
      <c r="N335" t="s">
        <v>33</v>
      </c>
      <c r="O335" t="s">
        <v>32</v>
      </c>
      <c r="P335">
        <v>17</v>
      </c>
      <c r="Q335">
        <v>48</v>
      </c>
      <c r="R335">
        <v>3</v>
      </c>
      <c r="S335" t="s">
        <v>31</v>
      </c>
      <c r="T335">
        <v>6</v>
      </c>
      <c r="U335" t="s">
        <v>31</v>
      </c>
      <c r="V335" s="1">
        <v>42348</v>
      </c>
      <c r="X335" s="1" t="str">
        <f t="shared" si="15"/>
        <v>Active</v>
      </c>
      <c r="Y335" t="str">
        <f t="shared" si="16"/>
        <v>26-35</v>
      </c>
      <c r="Z335" t="str">
        <f t="shared" si="17"/>
        <v>0-1 Year</v>
      </c>
    </row>
    <row r="336" spans="1:26" x14ac:dyDescent="0.35">
      <c r="A336" t="s">
        <v>392</v>
      </c>
      <c r="B336">
        <v>47</v>
      </c>
      <c r="C336" t="s">
        <v>44</v>
      </c>
      <c r="D336" t="s">
        <v>28</v>
      </c>
      <c r="E336" t="s">
        <v>66</v>
      </c>
      <c r="F336" t="s">
        <v>30</v>
      </c>
      <c r="G336">
        <v>133471</v>
      </c>
      <c r="H336">
        <v>16</v>
      </c>
      <c r="I336">
        <v>25</v>
      </c>
      <c r="J336">
        <v>5</v>
      </c>
      <c r="K336">
        <v>3</v>
      </c>
      <c r="L336">
        <v>3</v>
      </c>
      <c r="M336">
        <v>4</v>
      </c>
      <c r="N336" t="s">
        <v>31</v>
      </c>
      <c r="O336" t="s">
        <v>42</v>
      </c>
      <c r="P336">
        <v>1</v>
      </c>
      <c r="Q336">
        <v>18</v>
      </c>
      <c r="R336">
        <v>3</v>
      </c>
      <c r="S336" t="s">
        <v>31</v>
      </c>
      <c r="T336">
        <v>4</v>
      </c>
      <c r="U336" t="s">
        <v>31</v>
      </c>
      <c r="V336" s="1">
        <v>41782</v>
      </c>
      <c r="X336" s="1" t="str">
        <f t="shared" si="15"/>
        <v>Active</v>
      </c>
      <c r="Y336" t="str">
        <f t="shared" si="16"/>
        <v>46-55</v>
      </c>
      <c r="Z336" t="str">
        <f t="shared" si="17"/>
        <v>10+ Years</v>
      </c>
    </row>
    <row r="337" spans="1:26" x14ac:dyDescent="0.35">
      <c r="A337" t="s">
        <v>393</v>
      </c>
      <c r="B337">
        <v>30</v>
      </c>
      <c r="C337" t="s">
        <v>27</v>
      </c>
      <c r="D337" t="s">
        <v>45</v>
      </c>
      <c r="E337" t="s">
        <v>46</v>
      </c>
      <c r="F337" t="s">
        <v>78</v>
      </c>
      <c r="G337">
        <v>44716</v>
      </c>
      <c r="H337">
        <v>0</v>
      </c>
      <c r="I337">
        <v>6</v>
      </c>
      <c r="J337">
        <v>1</v>
      </c>
      <c r="K337">
        <v>3</v>
      </c>
      <c r="L337">
        <v>3</v>
      </c>
      <c r="M337">
        <v>2</v>
      </c>
      <c r="N337" t="s">
        <v>31</v>
      </c>
      <c r="O337" t="s">
        <v>32</v>
      </c>
      <c r="P337">
        <v>8</v>
      </c>
      <c r="Q337">
        <v>42</v>
      </c>
      <c r="R337">
        <v>3</v>
      </c>
      <c r="S337" t="s">
        <v>31</v>
      </c>
      <c r="T337">
        <v>2</v>
      </c>
      <c r="U337" t="s">
        <v>31</v>
      </c>
      <c r="V337" s="1">
        <v>43158</v>
      </c>
      <c r="X337" s="1" t="str">
        <f t="shared" si="15"/>
        <v>Active</v>
      </c>
      <c r="Y337" t="str">
        <f t="shared" si="16"/>
        <v>26-35</v>
      </c>
      <c r="Z337" t="str">
        <f t="shared" si="17"/>
        <v>0-1 Year</v>
      </c>
    </row>
    <row r="338" spans="1:26" x14ac:dyDescent="0.35">
      <c r="A338" t="s">
        <v>394</v>
      </c>
      <c r="B338">
        <v>45</v>
      </c>
      <c r="C338" t="s">
        <v>27</v>
      </c>
      <c r="D338" t="s">
        <v>28</v>
      </c>
      <c r="E338" t="s">
        <v>66</v>
      </c>
      <c r="F338" t="s">
        <v>78</v>
      </c>
      <c r="G338">
        <v>123812</v>
      </c>
      <c r="H338">
        <v>12</v>
      </c>
      <c r="I338">
        <v>24</v>
      </c>
      <c r="J338">
        <v>5</v>
      </c>
      <c r="K338">
        <v>3</v>
      </c>
      <c r="L338">
        <v>4</v>
      </c>
      <c r="M338">
        <v>2</v>
      </c>
      <c r="N338" t="s">
        <v>31</v>
      </c>
      <c r="O338" t="s">
        <v>42</v>
      </c>
      <c r="P338">
        <v>3</v>
      </c>
      <c r="Q338">
        <v>48</v>
      </c>
      <c r="R338">
        <v>2</v>
      </c>
      <c r="S338" t="s">
        <v>31</v>
      </c>
      <c r="T338">
        <v>5</v>
      </c>
      <c r="U338" t="s">
        <v>31</v>
      </c>
      <c r="V338" s="1">
        <v>44195</v>
      </c>
      <c r="X338" s="1" t="str">
        <f t="shared" si="15"/>
        <v>Active</v>
      </c>
      <c r="Y338" t="str">
        <f t="shared" si="16"/>
        <v>36-45</v>
      </c>
      <c r="Z338" t="str">
        <f t="shared" si="17"/>
        <v>10+ Years</v>
      </c>
    </row>
    <row r="339" spans="1:26" x14ac:dyDescent="0.35">
      <c r="A339" t="s">
        <v>395</v>
      </c>
      <c r="B339">
        <v>28</v>
      </c>
      <c r="C339" t="s">
        <v>27</v>
      </c>
      <c r="D339" t="s">
        <v>52</v>
      </c>
      <c r="E339" t="s">
        <v>53</v>
      </c>
      <c r="F339" t="s">
        <v>37</v>
      </c>
      <c r="G339">
        <v>63185</v>
      </c>
      <c r="H339">
        <v>5</v>
      </c>
      <c r="I339">
        <v>7</v>
      </c>
      <c r="J339">
        <v>2</v>
      </c>
      <c r="K339">
        <v>3</v>
      </c>
      <c r="L339">
        <v>1</v>
      </c>
      <c r="M339">
        <v>4</v>
      </c>
      <c r="N339" t="s">
        <v>31</v>
      </c>
      <c r="O339" t="s">
        <v>32</v>
      </c>
      <c r="P339">
        <v>5</v>
      </c>
      <c r="Q339">
        <v>40</v>
      </c>
      <c r="R339">
        <v>2</v>
      </c>
      <c r="S339" t="s">
        <v>33</v>
      </c>
      <c r="T339">
        <v>6</v>
      </c>
      <c r="U339" t="s">
        <v>31</v>
      </c>
      <c r="V339" s="1">
        <v>44188</v>
      </c>
      <c r="X339" s="1" t="str">
        <f t="shared" si="15"/>
        <v>Active</v>
      </c>
      <c r="Y339" t="str">
        <f t="shared" si="16"/>
        <v>26-35</v>
      </c>
      <c r="Z339" t="str">
        <f t="shared" si="17"/>
        <v>4-5 Years</v>
      </c>
    </row>
    <row r="340" spans="1:26" x14ac:dyDescent="0.35">
      <c r="A340" t="s">
        <v>396</v>
      </c>
      <c r="B340">
        <v>43</v>
      </c>
      <c r="C340" t="s">
        <v>44</v>
      </c>
      <c r="D340" t="s">
        <v>49</v>
      </c>
      <c r="E340" t="s">
        <v>68</v>
      </c>
      <c r="F340" t="s">
        <v>56</v>
      </c>
      <c r="G340">
        <v>66782</v>
      </c>
      <c r="H340">
        <v>4</v>
      </c>
      <c r="I340">
        <v>21</v>
      </c>
      <c r="J340">
        <v>2</v>
      </c>
      <c r="K340">
        <v>2</v>
      </c>
      <c r="L340">
        <v>2</v>
      </c>
      <c r="M340">
        <v>2</v>
      </c>
      <c r="N340" t="s">
        <v>31</v>
      </c>
      <c r="O340" t="s">
        <v>32</v>
      </c>
      <c r="P340">
        <v>15</v>
      </c>
      <c r="Q340">
        <v>13</v>
      </c>
      <c r="R340">
        <v>2</v>
      </c>
      <c r="S340" t="s">
        <v>31</v>
      </c>
      <c r="T340">
        <v>7</v>
      </c>
      <c r="U340" t="s">
        <v>31</v>
      </c>
      <c r="V340" s="1">
        <v>41691</v>
      </c>
      <c r="X340" s="1" t="str">
        <f t="shared" si="15"/>
        <v>Active</v>
      </c>
      <c r="Y340" t="str">
        <f t="shared" si="16"/>
        <v>36-45</v>
      </c>
      <c r="Z340" t="str">
        <f t="shared" si="17"/>
        <v>4-5 Years</v>
      </c>
    </row>
    <row r="341" spans="1:26" x14ac:dyDescent="0.35">
      <c r="A341" t="s">
        <v>397</v>
      </c>
      <c r="B341">
        <v>49</v>
      </c>
      <c r="C341" t="s">
        <v>44</v>
      </c>
      <c r="D341" t="s">
        <v>28</v>
      </c>
      <c r="E341" t="s">
        <v>29</v>
      </c>
      <c r="F341" t="s">
        <v>61</v>
      </c>
      <c r="G341">
        <v>42722</v>
      </c>
      <c r="H341">
        <v>1</v>
      </c>
      <c r="I341">
        <v>28</v>
      </c>
      <c r="J341">
        <v>1</v>
      </c>
      <c r="K341">
        <v>4</v>
      </c>
      <c r="L341">
        <v>2</v>
      </c>
      <c r="M341">
        <v>4</v>
      </c>
      <c r="N341" t="s">
        <v>31</v>
      </c>
      <c r="O341" t="s">
        <v>42</v>
      </c>
      <c r="P341">
        <v>15</v>
      </c>
      <c r="Q341">
        <v>18</v>
      </c>
      <c r="R341">
        <v>3</v>
      </c>
      <c r="S341" t="s">
        <v>31</v>
      </c>
      <c r="T341">
        <v>4</v>
      </c>
      <c r="U341" t="s">
        <v>31</v>
      </c>
      <c r="V341" s="1">
        <v>44000</v>
      </c>
      <c r="X341" s="1" t="str">
        <f t="shared" si="15"/>
        <v>Active</v>
      </c>
      <c r="Y341" t="str">
        <f t="shared" si="16"/>
        <v>46-55</v>
      </c>
      <c r="Z341" t="str">
        <f t="shared" si="17"/>
        <v>0-1 Year</v>
      </c>
    </row>
    <row r="342" spans="1:26" x14ac:dyDescent="0.35">
      <c r="A342" t="s">
        <v>398</v>
      </c>
      <c r="B342">
        <v>30</v>
      </c>
      <c r="C342" t="s">
        <v>27</v>
      </c>
      <c r="D342" t="s">
        <v>35</v>
      </c>
      <c r="E342" t="s">
        <v>85</v>
      </c>
      <c r="F342" t="s">
        <v>41</v>
      </c>
      <c r="G342">
        <v>89408</v>
      </c>
      <c r="H342">
        <v>8</v>
      </c>
      <c r="I342">
        <v>8</v>
      </c>
      <c r="J342">
        <v>3</v>
      </c>
      <c r="K342">
        <v>2</v>
      </c>
      <c r="L342">
        <v>3</v>
      </c>
      <c r="M342">
        <v>4</v>
      </c>
      <c r="N342" t="s">
        <v>31</v>
      </c>
      <c r="O342" t="s">
        <v>47</v>
      </c>
      <c r="P342">
        <v>6</v>
      </c>
      <c r="Q342">
        <v>59</v>
      </c>
      <c r="R342">
        <v>3</v>
      </c>
      <c r="S342" t="s">
        <v>33</v>
      </c>
      <c r="T342">
        <v>5</v>
      </c>
      <c r="U342" t="s">
        <v>31</v>
      </c>
      <c r="V342" s="1">
        <v>44310</v>
      </c>
      <c r="X342" s="1" t="str">
        <f t="shared" si="15"/>
        <v>Active</v>
      </c>
      <c r="Y342" t="str">
        <f t="shared" si="16"/>
        <v>26-35</v>
      </c>
      <c r="Z342" t="str">
        <f t="shared" si="17"/>
        <v>6-10 Years</v>
      </c>
    </row>
    <row r="343" spans="1:26" x14ac:dyDescent="0.35">
      <c r="A343" t="s">
        <v>399</v>
      </c>
      <c r="B343">
        <v>26</v>
      </c>
      <c r="C343" t="s">
        <v>27</v>
      </c>
      <c r="D343" t="s">
        <v>45</v>
      </c>
      <c r="E343" t="s">
        <v>46</v>
      </c>
      <c r="F343" t="s">
        <v>37</v>
      </c>
      <c r="G343">
        <v>57939</v>
      </c>
      <c r="H343">
        <v>2</v>
      </c>
      <c r="I343">
        <v>5</v>
      </c>
      <c r="J343">
        <v>2</v>
      </c>
      <c r="K343">
        <v>1</v>
      </c>
      <c r="L343">
        <v>2</v>
      </c>
      <c r="M343">
        <v>1</v>
      </c>
      <c r="N343" t="s">
        <v>31</v>
      </c>
      <c r="O343" t="s">
        <v>32</v>
      </c>
      <c r="P343">
        <v>14</v>
      </c>
      <c r="Q343">
        <v>40</v>
      </c>
      <c r="R343">
        <v>3</v>
      </c>
      <c r="S343" t="s">
        <v>31</v>
      </c>
      <c r="T343">
        <v>4</v>
      </c>
      <c r="U343" t="s">
        <v>33</v>
      </c>
      <c r="V343" s="1">
        <v>45149</v>
      </c>
      <c r="W343" s="1">
        <v>45523</v>
      </c>
      <c r="X343" s="1" t="str">
        <f t="shared" si="15"/>
        <v>2024-08-19</v>
      </c>
      <c r="Y343" t="str">
        <f t="shared" si="16"/>
        <v>26-35</v>
      </c>
      <c r="Z343" t="str">
        <f t="shared" si="17"/>
        <v>2-3 Years</v>
      </c>
    </row>
    <row r="344" spans="1:26" x14ac:dyDescent="0.35">
      <c r="A344" t="s">
        <v>400</v>
      </c>
      <c r="B344">
        <v>27</v>
      </c>
      <c r="C344" t="s">
        <v>27</v>
      </c>
      <c r="D344" t="s">
        <v>49</v>
      </c>
      <c r="E344" t="s">
        <v>68</v>
      </c>
      <c r="F344" t="s">
        <v>56</v>
      </c>
      <c r="G344">
        <v>57734</v>
      </c>
      <c r="H344">
        <v>2</v>
      </c>
      <c r="I344">
        <v>6</v>
      </c>
      <c r="J344">
        <v>2</v>
      </c>
      <c r="K344">
        <v>2</v>
      </c>
      <c r="L344">
        <v>4</v>
      </c>
      <c r="M344">
        <v>2</v>
      </c>
      <c r="N344" t="s">
        <v>31</v>
      </c>
      <c r="O344" t="s">
        <v>32</v>
      </c>
      <c r="P344">
        <v>4</v>
      </c>
      <c r="Q344">
        <v>32</v>
      </c>
      <c r="R344">
        <v>4</v>
      </c>
      <c r="S344" t="s">
        <v>31</v>
      </c>
      <c r="T344">
        <v>4</v>
      </c>
      <c r="U344" t="s">
        <v>31</v>
      </c>
      <c r="V344" s="1">
        <v>43755</v>
      </c>
      <c r="X344" s="1" t="str">
        <f t="shared" si="15"/>
        <v>Active</v>
      </c>
      <c r="Y344" t="str">
        <f t="shared" si="16"/>
        <v>26-35</v>
      </c>
      <c r="Z344" t="str">
        <f t="shared" si="17"/>
        <v>2-3 Years</v>
      </c>
    </row>
    <row r="345" spans="1:26" x14ac:dyDescent="0.35">
      <c r="A345" t="s">
        <v>401</v>
      </c>
      <c r="B345">
        <v>42</v>
      </c>
      <c r="C345" t="s">
        <v>27</v>
      </c>
      <c r="D345" t="s">
        <v>39</v>
      </c>
      <c r="E345" t="s">
        <v>40</v>
      </c>
      <c r="F345" t="s">
        <v>61</v>
      </c>
      <c r="G345">
        <v>57167</v>
      </c>
      <c r="H345">
        <v>1</v>
      </c>
      <c r="I345">
        <v>18</v>
      </c>
      <c r="J345">
        <v>2</v>
      </c>
      <c r="K345">
        <v>2</v>
      </c>
      <c r="L345">
        <v>4</v>
      </c>
      <c r="M345">
        <v>2</v>
      </c>
      <c r="N345" t="s">
        <v>31</v>
      </c>
      <c r="O345" t="s">
        <v>32</v>
      </c>
      <c r="P345">
        <v>23</v>
      </c>
      <c r="Q345">
        <v>13</v>
      </c>
      <c r="R345">
        <v>3</v>
      </c>
      <c r="S345" t="s">
        <v>31</v>
      </c>
      <c r="T345">
        <v>5</v>
      </c>
      <c r="U345" t="s">
        <v>31</v>
      </c>
      <c r="V345" s="1">
        <v>42202</v>
      </c>
      <c r="X345" s="1" t="str">
        <f t="shared" si="15"/>
        <v>Active</v>
      </c>
      <c r="Y345" t="str">
        <f t="shared" si="16"/>
        <v>36-45</v>
      </c>
      <c r="Z345" t="str">
        <f t="shared" si="17"/>
        <v>0-1 Year</v>
      </c>
    </row>
    <row r="346" spans="1:26" x14ac:dyDescent="0.35">
      <c r="A346" t="s">
        <v>402</v>
      </c>
      <c r="B346">
        <v>55</v>
      </c>
      <c r="C346" t="s">
        <v>27</v>
      </c>
      <c r="D346" t="s">
        <v>39</v>
      </c>
      <c r="E346" t="s">
        <v>59</v>
      </c>
      <c r="F346" t="s">
        <v>30</v>
      </c>
      <c r="G346">
        <v>134352</v>
      </c>
      <c r="H346">
        <v>17</v>
      </c>
      <c r="I346">
        <v>31</v>
      </c>
      <c r="J346">
        <v>5</v>
      </c>
      <c r="K346">
        <v>3</v>
      </c>
      <c r="L346">
        <v>1</v>
      </c>
      <c r="M346">
        <v>3</v>
      </c>
      <c r="N346" t="s">
        <v>31</v>
      </c>
      <c r="O346" t="s">
        <v>42</v>
      </c>
      <c r="P346">
        <v>12</v>
      </c>
      <c r="Q346">
        <v>31</v>
      </c>
      <c r="R346">
        <v>4</v>
      </c>
      <c r="S346" t="s">
        <v>31</v>
      </c>
      <c r="T346">
        <v>6</v>
      </c>
      <c r="U346" t="s">
        <v>31</v>
      </c>
      <c r="V346" s="1">
        <v>41856</v>
      </c>
      <c r="X346" s="1" t="str">
        <f t="shared" si="15"/>
        <v>Active</v>
      </c>
      <c r="Y346" t="str">
        <f t="shared" si="16"/>
        <v>46-55</v>
      </c>
      <c r="Z346" t="str">
        <f t="shared" si="17"/>
        <v>10+ Years</v>
      </c>
    </row>
    <row r="347" spans="1:26" x14ac:dyDescent="0.35">
      <c r="A347" t="s">
        <v>403</v>
      </c>
      <c r="B347">
        <v>29</v>
      </c>
      <c r="C347" t="s">
        <v>44</v>
      </c>
      <c r="D347" t="s">
        <v>52</v>
      </c>
      <c r="E347" t="s">
        <v>55</v>
      </c>
      <c r="F347" t="s">
        <v>56</v>
      </c>
      <c r="G347">
        <v>81655</v>
      </c>
      <c r="H347">
        <v>5</v>
      </c>
      <c r="I347">
        <v>6</v>
      </c>
      <c r="J347">
        <v>3</v>
      </c>
      <c r="K347">
        <v>4</v>
      </c>
      <c r="L347">
        <v>3</v>
      </c>
      <c r="M347">
        <v>1</v>
      </c>
      <c r="N347" t="s">
        <v>31</v>
      </c>
      <c r="O347" t="s">
        <v>32</v>
      </c>
      <c r="P347">
        <v>29</v>
      </c>
      <c r="Q347">
        <v>18</v>
      </c>
      <c r="R347">
        <v>4</v>
      </c>
      <c r="S347" t="s">
        <v>31</v>
      </c>
      <c r="T347">
        <v>6</v>
      </c>
      <c r="U347" t="s">
        <v>31</v>
      </c>
      <c r="V347" s="1">
        <v>44057</v>
      </c>
      <c r="X347" s="1" t="str">
        <f t="shared" si="15"/>
        <v>Active</v>
      </c>
      <c r="Y347" t="str">
        <f t="shared" si="16"/>
        <v>26-35</v>
      </c>
      <c r="Z347" t="str">
        <f t="shared" si="17"/>
        <v>4-5 Years</v>
      </c>
    </row>
    <row r="348" spans="1:26" x14ac:dyDescent="0.35">
      <c r="A348" t="s">
        <v>404</v>
      </c>
      <c r="B348">
        <v>49</v>
      </c>
      <c r="C348" t="s">
        <v>44</v>
      </c>
      <c r="D348" t="s">
        <v>39</v>
      </c>
      <c r="E348" t="s">
        <v>59</v>
      </c>
      <c r="F348" t="s">
        <v>56</v>
      </c>
      <c r="G348">
        <v>150808</v>
      </c>
      <c r="H348">
        <v>25</v>
      </c>
      <c r="I348">
        <v>28</v>
      </c>
      <c r="J348">
        <v>5</v>
      </c>
      <c r="K348">
        <v>2</v>
      </c>
      <c r="L348">
        <v>1</v>
      </c>
      <c r="M348">
        <v>4</v>
      </c>
      <c r="N348" t="s">
        <v>31</v>
      </c>
      <c r="O348" t="s">
        <v>42</v>
      </c>
      <c r="P348">
        <v>13</v>
      </c>
      <c r="Q348">
        <v>56</v>
      </c>
      <c r="R348">
        <v>2</v>
      </c>
      <c r="S348" t="s">
        <v>31</v>
      </c>
      <c r="T348">
        <v>3</v>
      </c>
      <c r="U348" t="s">
        <v>31</v>
      </c>
      <c r="V348" s="1">
        <v>43133</v>
      </c>
      <c r="X348" s="1" t="str">
        <f t="shared" si="15"/>
        <v>Active</v>
      </c>
      <c r="Y348" t="str">
        <f t="shared" si="16"/>
        <v>46-55</v>
      </c>
      <c r="Z348" t="str">
        <f t="shared" si="17"/>
        <v>10+ Years</v>
      </c>
    </row>
    <row r="349" spans="1:26" x14ac:dyDescent="0.35">
      <c r="A349" t="s">
        <v>405</v>
      </c>
      <c r="B349">
        <v>54</v>
      </c>
      <c r="C349" t="s">
        <v>44</v>
      </c>
      <c r="D349" t="s">
        <v>52</v>
      </c>
      <c r="E349" t="s">
        <v>53</v>
      </c>
      <c r="F349" t="s">
        <v>30</v>
      </c>
      <c r="G349">
        <v>152814</v>
      </c>
      <c r="H349">
        <v>27</v>
      </c>
      <c r="I349">
        <v>31</v>
      </c>
      <c r="J349">
        <v>5</v>
      </c>
      <c r="K349">
        <v>2</v>
      </c>
      <c r="L349">
        <v>2</v>
      </c>
      <c r="M349">
        <v>1</v>
      </c>
      <c r="N349" t="s">
        <v>31</v>
      </c>
      <c r="O349" t="s">
        <v>32</v>
      </c>
      <c r="P349">
        <v>10</v>
      </c>
      <c r="Q349">
        <v>55</v>
      </c>
      <c r="R349">
        <v>4</v>
      </c>
      <c r="S349" t="s">
        <v>31</v>
      </c>
      <c r="T349">
        <v>5</v>
      </c>
      <c r="U349" t="s">
        <v>31</v>
      </c>
      <c r="V349" s="1">
        <v>44046</v>
      </c>
      <c r="X349" s="1" t="str">
        <f t="shared" si="15"/>
        <v>Active</v>
      </c>
      <c r="Y349" t="str">
        <f t="shared" si="16"/>
        <v>46-55</v>
      </c>
      <c r="Z349" t="str">
        <f t="shared" si="17"/>
        <v>10+ Years</v>
      </c>
    </row>
    <row r="350" spans="1:26" x14ac:dyDescent="0.35">
      <c r="A350" t="s">
        <v>406</v>
      </c>
      <c r="B350">
        <v>43</v>
      </c>
      <c r="C350" t="s">
        <v>27</v>
      </c>
      <c r="D350" t="s">
        <v>35</v>
      </c>
      <c r="E350" t="s">
        <v>85</v>
      </c>
      <c r="F350" t="s">
        <v>61</v>
      </c>
      <c r="G350">
        <v>60060</v>
      </c>
      <c r="H350">
        <v>4</v>
      </c>
      <c r="I350">
        <v>21</v>
      </c>
      <c r="J350">
        <v>2</v>
      </c>
      <c r="K350">
        <v>1</v>
      </c>
      <c r="L350">
        <v>4</v>
      </c>
      <c r="M350">
        <v>4</v>
      </c>
      <c r="N350" t="s">
        <v>31</v>
      </c>
      <c r="O350" t="s">
        <v>42</v>
      </c>
      <c r="P350">
        <v>1</v>
      </c>
      <c r="Q350">
        <v>31</v>
      </c>
      <c r="R350">
        <v>3</v>
      </c>
      <c r="S350" t="s">
        <v>31</v>
      </c>
      <c r="T350">
        <v>7</v>
      </c>
      <c r="U350" t="s">
        <v>31</v>
      </c>
      <c r="V350" s="1">
        <v>42557</v>
      </c>
      <c r="X350" s="1" t="str">
        <f t="shared" si="15"/>
        <v>Active</v>
      </c>
      <c r="Y350" t="str">
        <f t="shared" si="16"/>
        <v>36-45</v>
      </c>
      <c r="Z350" t="str">
        <f t="shared" si="17"/>
        <v>4-5 Years</v>
      </c>
    </row>
    <row r="351" spans="1:26" x14ac:dyDescent="0.35">
      <c r="A351" t="s">
        <v>407</v>
      </c>
      <c r="B351">
        <v>26</v>
      </c>
      <c r="C351" t="s">
        <v>44</v>
      </c>
      <c r="D351" t="s">
        <v>35</v>
      </c>
      <c r="E351" t="s">
        <v>85</v>
      </c>
      <c r="F351" t="s">
        <v>78</v>
      </c>
      <c r="G351">
        <v>43916</v>
      </c>
      <c r="H351">
        <v>2</v>
      </c>
      <c r="I351">
        <v>3</v>
      </c>
      <c r="J351">
        <v>1</v>
      </c>
      <c r="K351">
        <v>3</v>
      </c>
      <c r="L351">
        <v>4</v>
      </c>
      <c r="M351">
        <v>2</v>
      </c>
      <c r="N351" t="s">
        <v>33</v>
      </c>
      <c r="O351" t="s">
        <v>42</v>
      </c>
      <c r="P351">
        <v>7</v>
      </c>
      <c r="Q351">
        <v>35</v>
      </c>
      <c r="R351">
        <v>3</v>
      </c>
      <c r="S351" t="s">
        <v>31</v>
      </c>
      <c r="T351">
        <v>4</v>
      </c>
      <c r="U351" t="s">
        <v>31</v>
      </c>
      <c r="V351" s="1">
        <v>44530</v>
      </c>
      <c r="X351" s="1" t="str">
        <f t="shared" si="15"/>
        <v>Active</v>
      </c>
      <c r="Y351" t="str">
        <f t="shared" si="16"/>
        <v>26-35</v>
      </c>
      <c r="Z351" t="str">
        <f t="shared" si="17"/>
        <v>2-3 Years</v>
      </c>
    </row>
    <row r="352" spans="1:26" x14ac:dyDescent="0.35">
      <c r="A352" t="s">
        <v>408</v>
      </c>
      <c r="B352">
        <v>57</v>
      </c>
      <c r="C352" t="s">
        <v>44</v>
      </c>
      <c r="D352" t="s">
        <v>49</v>
      </c>
      <c r="E352" t="s">
        <v>50</v>
      </c>
      <c r="F352" t="s">
        <v>78</v>
      </c>
      <c r="G352">
        <v>132467</v>
      </c>
      <c r="H352">
        <v>14</v>
      </c>
      <c r="I352">
        <v>33</v>
      </c>
      <c r="J352">
        <v>5</v>
      </c>
      <c r="K352">
        <v>2</v>
      </c>
      <c r="L352">
        <v>4</v>
      </c>
      <c r="M352">
        <v>1</v>
      </c>
      <c r="N352" t="s">
        <v>33</v>
      </c>
      <c r="O352" t="s">
        <v>42</v>
      </c>
      <c r="P352">
        <v>4</v>
      </c>
      <c r="Q352">
        <v>29</v>
      </c>
      <c r="R352">
        <v>2</v>
      </c>
      <c r="S352" t="s">
        <v>33</v>
      </c>
      <c r="T352">
        <v>8</v>
      </c>
      <c r="U352" t="s">
        <v>31</v>
      </c>
      <c r="V352" s="1">
        <v>42634</v>
      </c>
      <c r="X352" s="1" t="str">
        <f t="shared" si="15"/>
        <v>Active</v>
      </c>
      <c r="Y352" t="str">
        <f t="shared" si="16"/>
        <v>56+</v>
      </c>
      <c r="Z352" t="str">
        <f t="shared" si="17"/>
        <v>10+ Years</v>
      </c>
    </row>
    <row r="353" spans="1:26" x14ac:dyDescent="0.35">
      <c r="A353" t="s">
        <v>409</v>
      </c>
      <c r="B353">
        <v>46</v>
      </c>
      <c r="C353" t="s">
        <v>44</v>
      </c>
      <c r="D353" t="s">
        <v>35</v>
      </c>
      <c r="E353" t="s">
        <v>85</v>
      </c>
      <c r="F353" t="s">
        <v>61</v>
      </c>
      <c r="G353">
        <v>146863</v>
      </c>
      <c r="H353">
        <v>24</v>
      </c>
      <c r="I353">
        <v>25</v>
      </c>
      <c r="J353">
        <v>5</v>
      </c>
      <c r="K353">
        <v>1</v>
      </c>
      <c r="L353">
        <v>1</v>
      </c>
      <c r="M353">
        <v>1</v>
      </c>
      <c r="N353" t="s">
        <v>31</v>
      </c>
      <c r="O353" t="s">
        <v>32</v>
      </c>
      <c r="P353">
        <v>18</v>
      </c>
      <c r="Q353">
        <v>25</v>
      </c>
      <c r="R353">
        <v>4</v>
      </c>
      <c r="S353" t="s">
        <v>33</v>
      </c>
      <c r="T353">
        <v>8</v>
      </c>
      <c r="U353" t="s">
        <v>31</v>
      </c>
      <c r="V353" s="1">
        <v>44878</v>
      </c>
      <c r="X353" s="1" t="str">
        <f t="shared" si="15"/>
        <v>Active</v>
      </c>
      <c r="Y353" t="str">
        <f t="shared" si="16"/>
        <v>46-55</v>
      </c>
      <c r="Z353" t="str">
        <f t="shared" si="17"/>
        <v>10+ Years</v>
      </c>
    </row>
    <row r="354" spans="1:26" x14ac:dyDescent="0.35">
      <c r="A354" t="s">
        <v>410</v>
      </c>
      <c r="B354">
        <v>48</v>
      </c>
      <c r="C354" t="s">
        <v>44</v>
      </c>
      <c r="D354" t="s">
        <v>35</v>
      </c>
      <c r="E354" t="s">
        <v>85</v>
      </c>
      <c r="F354" t="s">
        <v>41</v>
      </c>
      <c r="G354">
        <v>80614</v>
      </c>
      <c r="H354">
        <v>3</v>
      </c>
      <c r="I354">
        <v>25</v>
      </c>
      <c r="J354">
        <v>3</v>
      </c>
      <c r="K354">
        <v>1</v>
      </c>
      <c r="L354">
        <v>2</v>
      </c>
      <c r="M354">
        <v>1</v>
      </c>
      <c r="N354" t="s">
        <v>31</v>
      </c>
      <c r="O354" t="s">
        <v>32</v>
      </c>
      <c r="P354">
        <v>17</v>
      </c>
      <c r="Q354">
        <v>35</v>
      </c>
      <c r="R354">
        <v>3</v>
      </c>
      <c r="S354" t="s">
        <v>31</v>
      </c>
      <c r="T354">
        <v>6</v>
      </c>
      <c r="U354" t="s">
        <v>31</v>
      </c>
      <c r="V354" s="1">
        <v>41947</v>
      </c>
      <c r="X354" s="1" t="str">
        <f t="shared" si="15"/>
        <v>Active</v>
      </c>
      <c r="Y354" t="str">
        <f t="shared" si="16"/>
        <v>46-55</v>
      </c>
      <c r="Z354" t="str">
        <f t="shared" si="17"/>
        <v>2-3 Years</v>
      </c>
    </row>
    <row r="355" spans="1:26" x14ac:dyDescent="0.35">
      <c r="A355" t="s">
        <v>411</v>
      </c>
      <c r="B355">
        <v>31</v>
      </c>
      <c r="C355" t="s">
        <v>27</v>
      </c>
      <c r="D355" t="s">
        <v>52</v>
      </c>
      <c r="E355" t="s">
        <v>53</v>
      </c>
      <c r="F355" t="s">
        <v>41</v>
      </c>
      <c r="G355">
        <v>61088</v>
      </c>
      <c r="H355">
        <v>3</v>
      </c>
      <c r="I355">
        <v>7</v>
      </c>
      <c r="J355">
        <v>2</v>
      </c>
      <c r="K355">
        <v>3</v>
      </c>
      <c r="L355">
        <v>4</v>
      </c>
      <c r="M355">
        <v>2</v>
      </c>
      <c r="N355" t="s">
        <v>31</v>
      </c>
      <c r="O355" t="s">
        <v>32</v>
      </c>
      <c r="P355">
        <v>6</v>
      </c>
      <c r="Q355">
        <v>48</v>
      </c>
      <c r="R355">
        <v>3</v>
      </c>
      <c r="S355" t="s">
        <v>31</v>
      </c>
      <c r="T355">
        <v>2</v>
      </c>
      <c r="U355" t="s">
        <v>33</v>
      </c>
      <c r="V355" s="1">
        <v>42774</v>
      </c>
      <c r="W355" s="1">
        <v>42927</v>
      </c>
      <c r="X355" s="1" t="str">
        <f t="shared" si="15"/>
        <v>2017-07-11</v>
      </c>
      <c r="Y355" t="str">
        <f t="shared" si="16"/>
        <v>26-35</v>
      </c>
      <c r="Z355" t="str">
        <f t="shared" si="17"/>
        <v>2-3 Years</v>
      </c>
    </row>
    <row r="356" spans="1:26" x14ac:dyDescent="0.35">
      <c r="A356" t="s">
        <v>412</v>
      </c>
      <c r="B356">
        <v>41</v>
      </c>
      <c r="C356" t="s">
        <v>27</v>
      </c>
      <c r="D356" t="s">
        <v>39</v>
      </c>
      <c r="E356" t="s">
        <v>74</v>
      </c>
      <c r="F356" t="s">
        <v>30</v>
      </c>
      <c r="G356">
        <v>131390</v>
      </c>
      <c r="H356">
        <v>15</v>
      </c>
      <c r="I356">
        <v>19</v>
      </c>
      <c r="J356">
        <v>5</v>
      </c>
      <c r="K356">
        <v>4</v>
      </c>
      <c r="L356">
        <v>2</v>
      </c>
      <c r="M356">
        <v>1</v>
      </c>
      <c r="N356" t="s">
        <v>31</v>
      </c>
      <c r="O356" t="s">
        <v>32</v>
      </c>
      <c r="P356">
        <v>20</v>
      </c>
      <c r="Q356">
        <v>46</v>
      </c>
      <c r="R356">
        <v>4</v>
      </c>
      <c r="S356" t="s">
        <v>33</v>
      </c>
      <c r="T356">
        <v>5</v>
      </c>
      <c r="U356" t="s">
        <v>31</v>
      </c>
      <c r="V356" s="1">
        <v>42154</v>
      </c>
      <c r="X356" s="1" t="str">
        <f t="shared" si="15"/>
        <v>Active</v>
      </c>
      <c r="Y356" t="str">
        <f t="shared" si="16"/>
        <v>36-45</v>
      </c>
      <c r="Z356" t="str">
        <f t="shared" si="17"/>
        <v>10+ Years</v>
      </c>
    </row>
    <row r="357" spans="1:26" x14ac:dyDescent="0.35">
      <c r="A357" t="s">
        <v>413</v>
      </c>
      <c r="B357">
        <v>54</v>
      </c>
      <c r="C357" t="s">
        <v>27</v>
      </c>
      <c r="D357" t="s">
        <v>35</v>
      </c>
      <c r="E357" t="s">
        <v>36</v>
      </c>
      <c r="F357" t="s">
        <v>56</v>
      </c>
      <c r="G357">
        <v>133801</v>
      </c>
      <c r="H357">
        <v>17</v>
      </c>
      <c r="I357">
        <v>32</v>
      </c>
      <c r="J357">
        <v>5</v>
      </c>
      <c r="K357">
        <v>2</v>
      </c>
      <c r="L357">
        <v>4</v>
      </c>
      <c r="M357">
        <v>2</v>
      </c>
      <c r="N357" t="s">
        <v>31</v>
      </c>
      <c r="O357" t="s">
        <v>32</v>
      </c>
      <c r="P357">
        <v>11</v>
      </c>
      <c r="Q357">
        <v>54</v>
      </c>
      <c r="R357">
        <v>3</v>
      </c>
      <c r="S357" t="s">
        <v>33</v>
      </c>
      <c r="T357">
        <v>5</v>
      </c>
      <c r="U357" t="s">
        <v>33</v>
      </c>
      <c r="V357" s="1">
        <v>42095</v>
      </c>
      <c r="W357" s="1">
        <v>42977</v>
      </c>
      <c r="X357" s="1" t="str">
        <f t="shared" si="15"/>
        <v>2017-08-30</v>
      </c>
      <c r="Y357" t="str">
        <f t="shared" si="16"/>
        <v>46-55</v>
      </c>
      <c r="Z357" t="str">
        <f t="shared" si="17"/>
        <v>10+ Years</v>
      </c>
    </row>
    <row r="358" spans="1:26" x14ac:dyDescent="0.35">
      <c r="A358" t="s">
        <v>414</v>
      </c>
      <c r="B358">
        <v>53</v>
      </c>
      <c r="C358" t="s">
        <v>27</v>
      </c>
      <c r="D358" t="s">
        <v>28</v>
      </c>
      <c r="E358" t="s">
        <v>29</v>
      </c>
      <c r="F358" t="s">
        <v>61</v>
      </c>
      <c r="G358">
        <v>140344</v>
      </c>
      <c r="H358">
        <v>19</v>
      </c>
      <c r="I358">
        <v>29</v>
      </c>
      <c r="J358">
        <v>5</v>
      </c>
      <c r="K358">
        <v>4</v>
      </c>
      <c r="L358">
        <v>3</v>
      </c>
      <c r="M358">
        <v>1</v>
      </c>
      <c r="N358" t="s">
        <v>33</v>
      </c>
      <c r="O358" t="s">
        <v>42</v>
      </c>
      <c r="P358">
        <v>11</v>
      </c>
      <c r="Q358">
        <v>24</v>
      </c>
      <c r="R358">
        <v>4</v>
      </c>
      <c r="S358" t="s">
        <v>33</v>
      </c>
      <c r="T358">
        <v>4</v>
      </c>
      <c r="U358" t="s">
        <v>31</v>
      </c>
      <c r="V358" s="1">
        <v>42924</v>
      </c>
      <c r="X358" s="1" t="str">
        <f t="shared" si="15"/>
        <v>Active</v>
      </c>
      <c r="Y358" t="str">
        <f t="shared" si="16"/>
        <v>46-55</v>
      </c>
      <c r="Z358" t="str">
        <f t="shared" si="17"/>
        <v>10+ Years</v>
      </c>
    </row>
    <row r="359" spans="1:26" x14ac:dyDescent="0.35">
      <c r="A359" t="s">
        <v>415</v>
      </c>
      <c r="B359">
        <v>27</v>
      </c>
      <c r="C359" t="s">
        <v>44</v>
      </c>
      <c r="D359" t="s">
        <v>39</v>
      </c>
      <c r="E359" t="s">
        <v>74</v>
      </c>
      <c r="F359" t="s">
        <v>78</v>
      </c>
      <c r="G359">
        <v>58786</v>
      </c>
      <c r="H359">
        <v>3</v>
      </c>
      <c r="I359">
        <v>4</v>
      </c>
      <c r="J359">
        <v>2</v>
      </c>
      <c r="K359">
        <v>1</v>
      </c>
      <c r="L359">
        <v>3</v>
      </c>
      <c r="M359">
        <v>2</v>
      </c>
      <c r="N359" t="s">
        <v>31</v>
      </c>
      <c r="O359" t="s">
        <v>47</v>
      </c>
      <c r="P359">
        <v>24</v>
      </c>
      <c r="Q359">
        <v>27</v>
      </c>
      <c r="R359">
        <v>2</v>
      </c>
      <c r="S359" t="s">
        <v>31</v>
      </c>
      <c r="T359">
        <v>5</v>
      </c>
      <c r="U359" t="s">
        <v>31</v>
      </c>
      <c r="V359" s="1">
        <v>44091</v>
      </c>
      <c r="X359" s="1" t="str">
        <f t="shared" si="15"/>
        <v>Active</v>
      </c>
      <c r="Y359" t="str">
        <f t="shared" si="16"/>
        <v>26-35</v>
      </c>
      <c r="Z359" t="str">
        <f t="shared" si="17"/>
        <v>2-3 Years</v>
      </c>
    </row>
    <row r="360" spans="1:26" x14ac:dyDescent="0.35">
      <c r="A360" t="s">
        <v>416</v>
      </c>
      <c r="B360">
        <v>23</v>
      </c>
      <c r="C360" t="s">
        <v>27</v>
      </c>
      <c r="D360" t="s">
        <v>35</v>
      </c>
      <c r="E360" t="s">
        <v>85</v>
      </c>
      <c r="F360" t="s">
        <v>30</v>
      </c>
      <c r="G360">
        <v>39648</v>
      </c>
      <c r="H360">
        <v>0</v>
      </c>
      <c r="I360">
        <v>1</v>
      </c>
      <c r="J360">
        <v>1</v>
      </c>
      <c r="K360">
        <v>2</v>
      </c>
      <c r="L360">
        <v>2</v>
      </c>
      <c r="M360">
        <v>1</v>
      </c>
      <c r="N360" t="s">
        <v>31</v>
      </c>
      <c r="O360" t="s">
        <v>32</v>
      </c>
      <c r="P360">
        <v>9</v>
      </c>
      <c r="Q360">
        <v>46</v>
      </c>
      <c r="R360">
        <v>3</v>
      </c>
      <c r="S360" t="s">
        <v>31</v>
      </c>
      <c r="T360">
        <v>6</v>
      </c>
      <c r="U360" t="s">
        <v>33</v>
      </c>
      <c r="V360" s="1">
        <v>42193</v>
      </c>
      <c r="W360" s="1">
        <v>43179</v>
      </c>
      <c r="X360" s="1" t="str">
        <f t="shared" si="15"/>
        <v>2018-03-20</v>
      </c>
      <c r="Y360" t="str">
        <f t="shared" si="16"/>
        <v>18-25</v>
      </c>
      <c r="Z360" t="str">
        <f t="shared" si="17"/>
        <v>0-1 Year</v>
      </c>
    </row>
    <row r="361" spans="1:26" x14ac:dyDescent="0.35">
      <c r="A361" t="s">
        <v>417</v>
      </c>
      <c r="B361">
        <v>52</v>
      </c>
      <c r="C361" t="s">
        <v>27</v>
      </c>
      <c r="D361" t="s">
        <v>52</v>
      </c>
      <c r="E361" t="s">
        <v>55</v>
      </c>
      <c r="F361" t="s">
        <v>30</v>
      </c>
      <c r="G361">
        <v>148276</v>
      </c>
      <c r="H361">
        <v>22</v>
      </c>
      <c r="I361">
        <v>31</v>
      </c>
      <c r="J361">
        <v>5</v>
      </c>
      <c r="K361">
        <v>4</v>
      </c>
      <c r="L361">
        <v>2</v>
      </c>
      <c r="M361">
        <v>2</v>
      </c>
      <c r="N361" t="s">
        <v>33</v>
      </c>
      <c r="O361" t="s">
        <v>32</v>
      </c>
      <c r="P361">
        <v>17</v>
      </c>
      <c r="Q361">
        <v>16</v>
      </c>
      <c r="R361">
        <v>3</v>
      </c>
      <c r="S361" t="s">
        <v>33</v>
      </c>
      <c r="T361">
        <v>7</v>
      </c>
      <c r="U361" t="s">
        <v>33</v>
      </c>
      <c r="V361" s="1">
        <v>45278</v>
      </c>
      <c r="W361" s="1">
        <v>45932</v>
      </c>
      <c r="X361" s="1" t="str">
        <f t="shared" si="15"/>
        <v>2025-10-02</v>
      </c>
      <c r="Y361" t="str">
        <f t="shared" si="16"/>
        <v>46-55</v>
      </c>
      <c r="Z361" t="str">
        <f t="shared" si="17"/>
        <v>10+ Years</v>
      </c>
    </row>
    <row r="362" spans="1:26" x14ac:dyDescent="0.35">
      <c r="A362" t="s">
        <v>418</v>
      </c>
      <c r="B362">
        <v>37</v>
      </c>
      <c r="C362" t="s">
        <v>27</v>
      </c>
      <c r="D362" t="s">
        <v>52</v>
      </c>
      <c r="E362" t="s">
        <v>55</v>
      </c>
      <c r="F362" t="s">
        <v>61</v>
      </c>
      <c r="G362">
        <v>127107</v>
      </c>
      <c r="H362">
        <v>14</v>
      </c>
      <c r="I362">
        <v>14</v>
      </c>
      <c r="J362">
        <v>5</v>
      </c>
      <c r="K362">
        <v>1</v>
      </c>
      <c r="L362">
        <v>3</v>
      </c>
      <c r="M362">
        <v>2</v>
      </c>
      <c r="N362" t="s">
        <v>31</v>
      </c>
      <c r="O362" t="s">
        <v>32</v>
      </c>
      <c r="P362">
        <v>24</v>
      </c>
      <c r="Q362">
        <v>23</v>
      </c>
      <c r="R362">
        <v>4</v>
      </c>
      <c r="S362" t="s">
        <v>33</v>
      </c>
      <c r="T362">
        <v>3</v>
      </c>
      <c r="U362" t="s">
        <v>31</v>
      </c>
      <c r="V362" s="1">
        <v>43915</v>
      </c>
      <c r="X362" s="1" t="str">
        <f t="shared" si="15"/>
        <v>Active</v>
      </c>
      <c r="Y362" t="str">
        <f t="shared" si="16"/>
        <v>36-45</v>
      </c>
      <c r="Z362" t="str">
        <f t="shared" si="17"/>
        <v>10+ Years</v>
      </c>
    </row>
    <row r="363" spans="1:26" x14ac:dyDescent="0.35">
      <c r="A363" t="s">
        <v>419</v>
      </c>
      <c r="B363">
        <v>36</v>
      </c>
      <c r="C363" t="s">
        <v>27</v>
      </c>
      <c r="D363" t="s">
        <v>52</v>
      </c>
      <c r="E363" t="s">
        <v>53</v>
      </c>
      <c r="F363" t="s">
        <v>61</v>
      </c>
      <c r="G363">
        <v>118901</v>
      </c>
      <c r="H363">
        <v>10</v>
      </c>
      <c r="I363">
        <v>15</v>
      </c>
      <c r="J363">
        <v>5</v>
      </c>
      <c r="K363">
        <v>2</v>
      </c>
      <c r="L363">
        <v>3</v>
      </c>
      <c r="M363">
        <v>2</v>
      </c>
      <c r="N363" t="s">
        <v>33</v>
      </c>
      <c r="O363" t="s">
        <v>47</v>
      </c>
      <c r="P363">
        <v>26</v>
      </c>
      <c r="Q363">
        <v>57</v>
      </c>
      <c r="R363">
        <v>3</v>
      </c>
      <c r="S363" t="s">
        <v>33</v>
      </c>
      <c r="T363">
        <v>6</v>
      </c>
      <c r="U363" t="s">
        <v>31</v>
      </c>
      <c r="V363" s="1">
        <v>41548</v>
      </c>
      <c r="X363" s="1" t="str">
        <f t="shared" si="15"/>
        <v>Active</v>
      </c>
      <c r="Y363" t="str">
        <f t="shared" si="16"/>
        <v>36-45</v>
      </c>
      <c r="Z363" t="str">
        <f t="shared" si="17"/>
        <v>6-10 Years</v>
      </c>
    </row>
    <row r="364" spans="1:26" x14ac:dyDescent="0.35">
      <c r="A364" t="s">
        <v>420</v>
      </c>
      <c r="B364">
        <v>26</v>
      </c>
      <c r="C364" t="s">
        <v>27</v>
      </c>
      <c r="D364" t="s">
        <v>39</v>
      </c>
      <c r="E364" t="s">
        <v>40</v>
      </c>
      <c r="F364" t="s">
        <v>30</v>
      </c>
      <c r="G364">
        <v>60992</v>
      </c>
      <c r="H364">
        <v>1</v>
      </c>
      <c r="I364">
        <v>2</v>
      </c>
      <c r="J364">
        <v>2</v>
      </c>
      <c r="K364">
        <v>2</v>
      </c>
      <c r="L364">
        <v>1</v>
      </c>
      <c r="M364">
        <v>4</v>
      </c>
      <c r="N364" t="s">
        <v>31</v>
      </c>
      <c r="O364" t="s">
        <v>32</v>
      </c>
      <c r="P364">
        <v>25</v>
      </c>
      <c r="Q364">
        <v>35</v>
      </c>
      <c r="R364">
        <v>3</v>
      </c>
      <c r="S364" t="s">
        <v>31</v>
      </c>
      <c r="T364">
        <v>8</v>
      </c>
      <c r="U364" t="s">
        <v>33</v>
      </c>
      <c r="V364" s="1">
        <v>43749</v>
      </c>
      <c r="W364" s="1">
        <v>44105</v>
      </c>
      <c r="X364" s="1" t="str">
        <f t="shared" si="15"/>
        <v>2020-10-01</v>
      </c>
      <c r="Y364" t="str">
        <f t="shared" si="16"/>
        <v>26-35</v>
      </c>
      <c r="Z364" t="str">
        <f t="shared" si="17"/>
        <v>0-1 Year</v>
      </c>
    </row>
    <row r="365" spans="1:26" x14ac:dyDescent="0.35">
      <c r="A365" t="s">
        <v>421</v>
      </c>
      <c r="B365">
        <v>53</v>
      </c>
      <c r="C365" t="s">
        <v>44</v>
      </c>
      <c r="D365" t="s">
        <v>49</v>
      </c>
      <c r="E365" t="s">
        <v>50</v>
      </c>
      <c r="F365" t="s">
        <v>37</v>
      </c>
      <c r="G365">
        <v>106529</v>
      </c>
      <c r="H365">
        <v>10</v>
      </c>
      <c r="I365">
        <v>29</v>
      </c>
      <c r="J365">
        <v>4</v>
      </c>
      <c r="K365">
        <v>2</v>
      </c>
      <c r="L365">
        <v>1</v>
      </c>
      <c r="M365">
        <v>4</v>
      </c>
      <c r="N365" t="s">
        <v>33</v>
      </c>
      <c r="O365" t="s">
        <v>32</v>
      </c>
      <c r="P365">
        <v>17</v>
      </c>
      <c r="Q365">
        <v>21</v>
      </c>
      <c r="R365">
        <v>3</v>
      </c>
      <c r="S365" t="s">
        <v>31</v>
      </c>
      <c r="T365">
        <v>4</v>
      </c>
      <c r="U365" t="s">
        <v>31</v>
      </c>
      <c r="V365" s="1">
        <v>41155</v>
      </c>
      <c r="X365" s="1" t="str">
        <f t="shared" si="15"/>
        <v>Active</v>
      </c>
      <c r="Y365" t="str">
        <f t="shared" si="16"/>
        <v>46-55</v>
      </c>
      <c r="Z365" t="str">
        <f t="shared" si="17"/>
        <v>6-10 Years</v>
      </c>
    </row>
    <row r="366" spans="1:26" x14ac:dyDescent="0.35">
      <c r="A366" t="s">
        <v>422</v>
      </c>
      <c r="B366">
        <v>41</v>
      </c>
      <c r="C366" t="s">
        <v>27</v>
      </c>
      <c r="D366" t="s">
        <v>28</v>
      </c>
      <c r="E366" t="s">
        <v>66</v>
      </c>
      <c r="F366" t="s">
        <v>56</v>
      </c>
      <c r="G366">
        <v>43183</v>
      </c>
      <c r="H366">
        <v>1</v>
      </c>
      <c r="I366">
        <v>17</v>
      </c>
      <c r="J366">
        <v>1</v>
      </c>
      <c r="K366">
        <v>4</v>
      </c>
      <c r="L366">
        <v>1</v>
      </c>
      <c r="M366">
        <v>2</v>
      </c>
      <c r="N366" t="s">
        <v>31</v>
      </c>
      <c r="O366" t="s">
        <v>32</v>
      </c>
      <c r="P366">
        <v>15</v>
      </c>
      <c r="Q366">
        <v>39</v>
      </c>
      <c r="R366">
        <v>3</v>
      </c>
      <c r="S366" t="s">
        <v>31</v>
      </c>
      <c r="T366">
        <v>5</v>
      </c>
      <c r="U366" t="s">
        <v>31</v>
      </c>
      <c r="V366" s="1">
        <v>45241</v>
      </c>
      <c r="X366" s="1" t="str">
        <f t="shared" si="15"/>
        <v>Active</v>
      </c>
      <c r="Y366" t="str">
        <f t="shared" si="16"/>
        <v>36-45</v>
      </c>
      <c r="Z366" t="str">
        <f t="shared" si="17"/>
        <v>0-1 Year</v>
      </c>
    </row>
    <row r="367" spans="1:26" x14ac:dyDescent="0.35">
      <c r="A367" t="s">
        <v>423</v>
      </c>
      <c r="B367">
        <v>56</v>
      </c>
      <c r="C367" t="s">
        <v>27</v>
      </c>
      <c r="D367" t="s">
        <v>45</v>
      </c>
      <c r="E367" t="s">
        <v>46</v>
      </c>
      <c r="F367" t="s">
        <v>30</v>
      </c>
      <c r="G367">
        <v>97034</v>
      </c>
      <c r="H367">
        <v>6</v>
      </c>
      <c r="I367">
        <v>32</v>
      </c>
      <c r="J367">
        <v>4</v>
      </c>
      <c r="K367">
        <v>4</v>
      </c>
      <c r="L367">
        <v>3</v>
      </c>
      <c r="M367">
        <v>1</v>
      </c>
      <c r="N367" t="s">
        <v>31</v>
      </c>
      <c r="O367" t="s">
        <v>32</v>
      </c>
      <c r="P367">
        <v>22</v>
      </c>
      <c r="Q367">
        <v>26</v>
      </c>
      <c r="R367">
        <v>3</v>
      </c>
      <c r="S367" t="s">
        <v>31</v>
      </c>
      <c r="T367">
        <v>6</v>
      </c>
      <c r="U367" t="s">
        <v>31</v>
      </c>
      <c r="V367" s="1">
        <v>43878</v>
      </c>
      <c r="X367" s="1" t="str">
        <f t="shared" si="15"/>
        <v>Active</v>
      </c>
      <c r="Y367" t="str">
        <f t="shared" si="16"/>
        <v>56+</v>
      </c>
      <c r="Z367" t="str">
        <f t="shared" si="17"/>
        <v>6-10 Years</v>
      </c>
    </row>
    <row r="368" spans="1:26" x14ac:dyDescent="0.35">
      <c r="A368" t="s">
        <v>424</v>
      </c>
      <c r="B368">
        <v>57</v>
      </c>
      <c r="C368" t="s">
        <v>44</v>
      </c>
      <c r="D368" t="s">
        <v>35</v>
      </c>
      <c r="E368" t="s">
        <v>36</v>
      </c>
      <c r="F368" t="s">
        <v>30</v>
      </c>
      <c r="G368">
        <v>154499</v>
      </c>
      <c r="H368">
        <v>27</v>
      </c>
      <c r="I368">
        <v>35</v>
      </c>
      <c r="J368">
        <v>5</v>
      </c>
      <c r="K368">
        <v>4</v>
      </c>
      <c r="L368">
        <v>3</v>
      </c>
      <c r="M368">
        <v>1</v>
      </c>
      <c r="N368" t="s">
        <v>31</v>
      </c>
      <c r="O368" t="s">
        <v>32</v>
      </c>
      <c r="P368">
        <v>9</v>
      </c>
      <c r="Q368">
        <v>22</v>
      </c>
      <c r="R368">
        <v>3</v>
      </c>
      <c r="S368" t="s">
        <v>31</v>
      </c>
      <c r="T368">
        <v>4</v>
      </c>
      <c r="U368" t="s">
        <v>31</v>
      </c>
      <c r="V368" s="1">
        <v>43293</v>
      </c>
      <c r="X368" s="1" t="str">
        <f t="shared" si="15"/>
        <v>Active</v>
      </c>
      <c r="Y368" t="str">
        <f t="shared" si="16"/>
        <v>56+</v>
      </c>
      <c r="Z368" t="str">
        <f t="shared" si="17"/>
        <v>10+ Years</v>
      </c>
    </row>
    <row r="369" spans="1:26" x14ac:dyDescent="0.35">
      <c r="A369" t="s">
        <v>425</v>
      </c>
      <c r="B369">
        <v>45</v>
      </c>
      <c r="C369" t="s">
        <v>27</v>
      </c>
      <c r="D369" t="s">
        <v>52</v>
      </c>
      <c r="E369" t="s">
        <v>53</v>
      </c>
      <c r="F369" t="s">
        <v>37</v>
      </c>
      <c r="G369">
        <v>85028</v>
      </c>
      <c r="H369">
        <v>8</v>
      </c>
      <c r="I369">
        <v>22</v>
      </c>
      <c r="J369">
        <v>3</v>
      </c>
      <c r="K369">
        <v>2</v>
      </c>
      <c r="L369">
        <v>4</v>
      </c>
      <c r="M369">
        <v>2</v>
      </c>
      <c r="N369" t="s">
        <v>31</v>
      </c>
      <c r="O369" t="s">
        <v>32</v>
      </c>
      <c r="P369">
        <v>11</v>
      </c>
      <c r="Q369">
        <v>40</v>
      </c>
      <c r="R369">
        <v>4</v>
      </c>
      <c r="S369" t="s">
        <v>31</v>
      </c>
      <c r="T369">
        <v>4</v>
      </c>
      <c r="U369" t="s">
        <v>31</v>
      </c>
      <c r="V369" s="1">
        <v>45051</v>
      </c>
      <c r="X369" s="1" t="str">
        <f t="shared" si="15"/>
        <v>Active</v>
      </c>
      <c r="Y369" t="str">
        <f t="shared" si="16"/>
        <v>36-45</v>
      </c>
      <c r="Z369" t="str">
        <f t="shared" si="17"/>
        <v>6-10 Years</v>
      </c>
    </row>
    <row r="370" spans="1:26" x14ac:dyDescent="0.35">
      <c r="A370" t="s">
        <v>426</v>
      </c>
      <c r="B370">
        <v>35</v>
      </c>
      <c r="C370" t="s">
        <v>27</v>
      </c>
      <c r="D370" t="s">
        <v>49</v>
      </c>
      <c r="E370" t="s">
        <v>68</v>
      </c>
      <c r="F370" t="s">
        <v>37</v>
      </c>
      <c r="G370">
        <v>119181</v>
      </c>
      <c r="H370">
        <v>10</v>
      </c>
      <c r="I370">
        <v>14</v>
      </c>
      <c r="J370">
        <v>5</v>
      </c>
      <c r="K370">
        <v>3</v>
      </c>
      <c r="L370">
        <v>1</v>
      </c>
      <c r="M370">
        <v>1</v>
      </c>
      <c r="N370" t="s">
        <v>31</v>
      </c>
      <c r="O370" t="s">
        <v>32</v>
      </c>
      <c r="P370">
        <v>22</v>
      </c>
      <c r="Q370">
        <v>14</v>
      </c>
      <c r="R370">
        <v>2</v>
      </c>
      <c r="S370" t="s">
        <v>31</v>
      </c>
      <c r="T370">
        <v>3</v>
      </c>
      <c r="U370" t="s">
        <v>31</v>
      </c>
      <c r="V370" s="1">
        <v>41465</v>
      </c>
      <c r="X370" s="1" t="str">
        <f t="shared" si="15"/>
        <v>Active</v>
      </c>
      <c r="Y370" t="str">
        <f t="shared" si="16"/>
        <v>26-35</v>
      </c>
      <c r="Z370" t="str">
        <f t="shared" si="17"/>
        <v>6-10 Years</v>
      </c>
    </row>
    <row r="371" spans="1:26" x14ac:dyDescent="0.35">
      <c r="A371" t="s">
        <v>427</v>
      </c>
      <c r="B371">
        <v>33</v>
      </c>
      <c r="C371" t="s">
        <v>27</v>
      </c>
      <c r="D371" t="s">
        <v>49</v>
      </c>
      <c r="E371" t="s">
        <v>50</v>
      </c>
      <c r="F371" t="s">
        <v>41</v>
      </c>
      <c r="G371">
        <v>120138</v>
      </c>
      <c r="H371">
        <v>10</v>
      </c>
      <c r="I371">
        <v>11</v>
      </c>
      <c r="J371">
        <v>5</v>
      </c>
      <c r="K371">
        <v>1</v>
      </c>
      <c r="L371">
        <v>1</v>
      </c>
      <c r="M371">
        <v>4</v>
      </c>
      <c r="N371" t="s">
        <v>31</v>
      </c>
      <c r="O371" t="s">
        <v>32</v>
      </c>
      <c r="P371">
        <v>4</v>
      </c>
      <c r="Q371">
        <v>37</v>
      </c>
      <c r="R371">
        <v>2</v>
      </c>
      <c r="S371" t="s">
        <v>31</v>
      </c>
      <c r="T371">
        <v>3</v>
      </c>
      <c r="U371" t="s">
        <v>31</v>
      </c>
      <c r="V371" s="1">
        <v>41955</v>
      </c>
      <c r="X371" s="1" t="str">
        <f t="shared" si="15"/>
        <v>Active</v>
      </c>
      <c r="Y371" t="str">
        <f t="shared" si="16"/>
        <v>26-35</v>
      </c>
      <c r="Z371" t="str">
        <f t="shared" si="17"/>
        <v>6-10 Years</v>
      </c>
    </row>
    <row r="372" spans="1:26" x14ac:dyDescent="0.35">
      <c r="A372" t="s">
        <v>428</v>
      </c>
      <c r="B372">
        <v>39</v>
      </c>
      <c r="C372" t="s">
        <v>27</v>
      </c>
      <c r="D372" t="s">
        <v>28</v>
      </c>
      <c r="E372" t="s">
        <v>66</v>
      </c>
      <c r="F372" t="s">
        <v>37</v>
      </c>
      <c r="G372">
        <v>44234</v>
      </c>
      <c r="H372">
        <v>0</v>
      </c>
      <c r="I372">
        <v>15</v>
      </c>
      <c r="J372">
        <v>1</v>
      </c>
      <c r="K372">
        <v>1</v>
      </c>
      <c r="L372">
        <v>3</v>
      </c>
      <c r="M372">
        <v>1</v>
      </c>
      <c r="N372" t="s">
        <v>33</v>
      </c>
      <c r="O372" t="s">
        <v>47</v>
      </c>
      <c r="P372">
        <v>26</v>
      </c>
      <c r="Q372">
        <v>13</v>
      </c>
      <c r="R372">
        <v>2</v>
      </c>
      <c r="S372" t="s">
        <v>31</v>
      </c>
      <c r="T372">
        <v>8</v>
      </c>
      <c r="U372" t="s">
        <v>33</v>
      </c>
      <c r="V372" s="1">
        <v>44247</v>
      </c>
      <c r="W372" s="1">
        <v>44887</v>
      </c>
      <c r="X372" s="1" t="str">
        <f t="shared" si="15"/>
        <v>2022-11-22</v>
      </c>
      <c r="Y372" t="str">
        <f t="shared" si="16"/>
        <v>36-45</v>
      </c>
      <c r="Z372" t="str">
        <f t="shared" si="17"/>
        <v>0-1 Year</v>
      </c>
    </row>
    <row r="373" spans="1:26" x14ac:dyDescent="0.35">
      <c r="A373" t="s">
        <v>429</v>
      </c>
      <c r="B373">
        <v>24</v>
      </c>
      <c r="C373" t="s">
        <v>27</v>
      </c>
      <c r="D373" t="s">
        <v>28</v>
      </c>
      <c r="E373" t="s">
        <v>66</v>
      </c>
      <c r="F373" t="s">
        <v>37</v>
      </c>
      <c r="G373">
        <v>54381</v>
      </c>
      <c r="H373">
        <v>0</v>
      </c>
      <c r="I373">
        <v>2</v>
      </c>
      <c r="J373">
        <v>2</v>
      </c>
      <c r="K373">
        <v>1</v>
      </c>
      <c r="L373">
        <v>1</v>
      </c>
      <c r="M373">
        <v>3</v>
      </c>
      <c r="N373" t="s">
        <v>31</v>
      </c>
      <c r="O373" t="s">
        <v>32</v>
      </c>
      <c r="P373">
        <v>17</v>
      </c>
      <c r="Q373">
        <v>21</v>
      </c>
      <c r="R373">
        <v>3</v>
      </c>
      <c r="S373" t="s">
        <v>31</v>
      </c>
      <c r="T373">
        <v>4</v>
      </c>
      <c r="U373" t="s">
        <v>33</v>
      </c>
      <c r="V373" s="1">
        <v>41773</v>
      </c>
      <c r="W373" s="1">
        <v>42589</v>
      </c>
      <c r="X373" s="1" t="str">
        <f t="shared" si="15"/>
        <v>2016-08-07</v>
      </c>
      <c r="Y373" t="str">
        <f t="shared" si="16"/>
        <v>18-25</v>
      </c>
      <c r="Z373" t="str">
        <f t="shared" si="17"/>
        <v>0-1 Year</v>
      </c>
    </row>
    <row r="374" spans="1:26" x14ac:dyDescent="0.35">
      <c r="A374" t="s">
        <v>430</v>
      </c>
      <c r="B374">
        <v>31</v>
      </c>
      <c r="C374" t="s">
        <v>27</v>
      </c>
      <c r="D374" t="s">
        <v>35</v>
      </c>
      <c r="E374" t="s">
        <v>36</v>
      </c>
      <c r="F374" t="s">
        <v>78</v>
      </c>
      <c r="G374">
        <v>58001</v>
      </c>
      <c r="H374">
        <v>1</v>
      </c>
      <c r="I374">
        <v>8</v>
      </c>
      <c r="J374">
        <v>2</v>
      </c>
      <c r="K374">
        <v>1</v>
      </c>
      <c r="L374">
        <v>4</v>
      </c>
      <c r="M374">
        <v>3</v>
      </c>
      <c r="N374" t="s">
        <v>31</v>
      </c>
      <c r="O374" t="s">
        <v>32</v>
      </c>
      <c r="P374">
        <v>1</v>
      </c>
      <c r="Q374">
        <v>14</v>
      </c>
      <c r="R374">
        <v>3</v>
      </c>
      <c r="S374" t="s">
        <v>31</v>
      </c>
      <c r="T374">
        <v>7</v>
      </c>
      <c r="U374" t="s">
        <v>31</v>
      </c>
      <c r="V374" s="1">
        <v>43921</v>
      </c>
      <c r="X374" s="1" t="str">
        <f t="shared" si="15"/>
        <v>Active</v>
      </c>
      <c r="Y374" t="str">
        <f t="shared" si="16"/>
        <v>26-35</v>
      </c>
      <c r="Z374" t="str">
        <f t="shared" si="17"/>
        <v>0-1 Year</v>
      </c>
    </row>
    <row r="375" spans="1:26" x14ac:dyDescent="0.35">
      <c r="A375" t="s">
        <v>431</v>
      </c>
      <c r="B375">
        <v>49</v>
      </c>
      <c r="C375" t="s">
        <v>44</v>
      </c>
      <c r="D375" t="s">
        <v>52</v>
      </c>
      <c r="E375" t="s">
        <v>55</v>
      </c>
      <c r="F375" t="s">
        <v>30</v>
      </c>
      <c r="G375">
        <v>42316</v>
      </c>
      <c r="H375">
        <v>0</v>
      </c>
      <c r="I375">
        <v>28</v>
      </c>
      <c r="J375">
        <v>1</v>
      </c>
      <c r="K375">
        <v>2</v>
      </c>
      <c r="L375">
        <v>2</v>
      </c>
      <c r="M375">
        <v>2</v>
      </c>
      <c r="N375" t="s">
        <v>31</v>
      </c>
      <c r="O375" t="s">
        <v>32</v>
      </c>
      <c r="P375">
        <v>26</v>
      </c>
      <c r="Q375">
        <v>42</v>
      </c>
      <c r="R375">
        <v>4</v>
      </c>
      <c r="S375" t="s">
        <v>31</v>
      </c>
      <c r="T375">
        <v>4</v>
      </c>
      <c r="U375" t="s">
        <v>31</v>
      </c>
      <c r="V375" s="1">
        <v>44042</v>
      </c>
      <c r="X375" s="1" t="str">
        <f t="shared" si="15"/>
        <v>Active</v>
      </c>
      <c r="Y375" t="str">
        <f t="shared" si="16"/>
        <v>46-55</v>
      </c>
      <c r="Z375" t="str">
        <f t="shared" si="17"/>
        <v>0-1 Year</v>
      </c>
    </row>
    <row r="376" spans="1:26" x14ac:dyDescent="0.35">
      <c r="A376" t="s">
        <v>432</v>
      </c>
      <c r="B376">
        <v>52</v>
      </c>
      <c r="C376" t="s">
        <v>27</v>
      </c>
      <c r="D376" t="s">
        <v>52</v>
      </c>
      <c r="E376" t="s">
        <v>53</v>
      </c>
      <c r="F376" t="s">
        <v>30</v>
      </c>
      <c r="G376">
        <v>63282</v>
      </c>
      <c r="H376">
        <v>2</v>
      </c>
      <c r="I376">
        <v>31</v>
      </c>
      <c r="J376">
        <v>2</v>
      </c>
      <c r="K376">
        <v>2</v>
      </c>
      <c r="L376">
        <v>1</v>
      </c>
      <c r="M376">
        <v>2</v>
      </c>
      <c r="N376" t="s">
        <v>31</v>
      </c>
      <c r="O376" t="s">
        <v>32</v>
      </c>
      <c r="P376">
        <v>3</v>
      </c>
      <c r="Q376">
        <v>43</v>
      </c>
      <c r="R376">
        <v>3</v>
      </c>
      <c r="S376" t="s">
        <v>31</v>
      </c>
      <c r="T376">
        <v>4</v>
      </c>
      <c r="U376" t="s">
        <v>31</v>
      </c>
      <c r="V376" s="1">
        <v>41324</v>
      </c>
      <c r="X376" s="1" t="str">
        <f t="shared" si="15"/>
        <v>Active</v>
      </c>
      <c r="Y376" t="str">
        <f t="shared" si="16"/>
        <v>46-55</v>
      </c>
      <c r="Z376" t="str">
        <f t="shared" si="17"/>
        <v>2-3 Years</v>
      </c>
    </row>
    <row r="377" spans="1:26" x14ac:dyDescent="0.35">
      <c r="A377" t="s">
        <v>433</v>
      </c>
      <c r="B377">
        <v>42</v>
      </c>
      <c r="C377" t="s">
        <v>44</v>
      </c>
      <c r="D377" t="s">
        <v>52</v>
      </c>
      <c r="E377" t="s">
        <v>55</v>
      </c>
      <c r="F377" t="s">
        <v>30</v>
      </c>
      <c r="G377">
        <v>89616</v>
      </c>
      <c r="H377">
        <v>8</v>
      </c>
      <c r="I377">
        <v>21</v>
      </c>
      <c r="J377">
        <v>3</v>
      </c>
      <c r="K377">
        <v>1</v>
      </c>
      <c r="L377">
        <v>2</v>
      </c>
      <c r="M377">
        <v>3</v>
      </c>
      <c r="N377" t="s">
        <v>31</v>
      </c>
      <c r="O377" t="s">
        <v>32</v>
      </c>
      <c r="P377">
        <v>6</v>
      </c>
      <c r="Q377">
        <v>26</v>
      </c>
      <c r="R377">
        <v>3</v>
      </c>
      <c r="S377" t="s">
        <v>33</v>
      </c>
      <c r="T377">
        <v>8</v>
      </c>
      <c r="U377" t="s">
        <v>31</v>
      </c>
      <c r="V377" s="1">
        <v>45177</v>
      </c>
      <c r="X377" s="1" t="str">
        <f t="shared" si="15"/>
        <v>Active</v>
      </c>
      <c r="Y377" t="str">
        <f t="shared" si="16"/>
        <v>36-45</v>
      </c>
      <c r="Z377" t="str">
        <f t="shared" si="17"/>
        <v>6-10 Years</v>
      </c>
    </row>
    <row r="378" spans="1:26" x14ac:dyDescent="0.35">
      <c r="A378" t="s">
        <v>434</v>
      </c>
      <c r="B378">
        <v>25</v>
      </c>
      <c r="C378" t="s">
        <v>27</v>
      </c>
      <c r="D378" t="s">
        <v>39</v>
      </c>
      <c r="E378" t="s">
        <v>59</v>
      </c>
      <c r="F378" t="s">
        <v>37</v>
      </c>
      <c r="G378">
        <v>37380</v>
      </c>
      <c r="H378">
        <v>0</v>
      </c>
      <c r="I378">
        <v>4</v>
      </c>
      <c r="J378">
        <v>1</v>
      </c>
      <c r="K378">
        <v>4</v>
      </c>
      <c r="L378">
        <v>3</v>
      </c>
      <c r="M378">
        <v>4</v>
      </c>
      <c r="N378" t="s">
        <v>33</v>
      </c>
      <c r="O378" t="s">
        <v>42</v>
      </c>
      <c r="P378">
        <v>2</v>
      </c>
      <c r="Q378">
        <v>28</v>
      </c>
      <c r="R378">
        <v>3</v>
      </c>
      <c r="S378" t="s">
        <v>31</v>
      </c>
      <c r="T378">
        <v>7</v>
      </c>
      <c r="U378" t="s">
        <v>31</v>
      </c>
      <c r="V378" s="1">
        <v>41005</v>
      </c>
      <c r="X378" s="1" t="str">
        <f t="shared" si="15"/>
        <v>Active</v>
      </c>
      <c r="Y378" t="str">
        <f t="shared" si="16"/>
        <v>18-25</v>
      </c>
      <c r="Z378" t="str">
        <f t="shared" si="17"/>
        <v>0-1 Year</v>
      </c>
    </row>
    <row r="379" spans="1:26" x14ac:dyDescent="0.35">
      <c r="A379" t="s">
        <v>435</v>
      </c>
      <c r="B379">
        <v>40</v>
      </c>
      <c r="C379" t="s">
        <v>27</v>
      </c>
      <c r="D379" t="s">
        <v>35</v>
      </c>
      <c r="E379" t="s">
        <v>36</v>
      </c>
      <c r="F379" t="s">
        <v>61</v>
      </c>
      <c r="G379">
        <v>133088</v>
      </c>
      <c r="H379">
        <v>16</v>
      </c>
      <c r="I379">
        <v>17</v>
      </c>
      <c r="J379">
        <v>5</v>
      </c>
      <c r="K379">
        <v>1</v>
      </c>
      <c r="L379">
        <v>4</v>
      </c>
      <c r="M379">
        <v>4</v>
      </c>
      <c r="N379" t="s">
        <v>31</v>
      </c>
      <c r="O379" t="s">
        <v>32</v>
      </c>
      <c r="P379">
        <v>6</v>
      </c>
      <c r="Q379">
        <v>50</v>
      </c>
      <c r="R379">
        <v>3</v>
      </c>
      <c r="S379" t="s">
        <v>33</v>
      </c>
      <c r="T379">
        <v>5</v>
      </c>
      <c r="U379" t="s">
        <v>33</v>
      </c>
      <c r="V379" s="1">
        <v>42627</v>
      </c>
      <c r="W379" s="1">
        <v>43406</v>
      </c>
      <c r="X379" s="1" t="str">
        <f t="shared" si="15"/>
        <v>2018-11-02</v>
      </c>
      <c r="Y379" t="str">
        <f t="shared" si="16"/>
        <v>36-45</v>
      </c>
      <c r="Z379" t="str">
        <f t="shared" si="17"/>
        <v>10+ Years</v>
      </c>
    </row>
    <row r="380" spans="1:26" x14ac:dyDescent="0.35">
      <c r="A380" t="s">
        <v>436</v>
      </c>
      <c r="B380">
        <v>40</v>
      </c>
      <c r="C380" t="s">
        <v>27</v>
      </c>
      <c r="D380" t="s">
        <v>28</v>
      </c>
      <c r="E380" t="s">
        <v>29</v>
      </c>
      <c r="F380" t="s">
        <v>61</v>
      </c>
      <c r="G380">
        <v>131952</v>
      </c>
      <c r="H380">
        <v>17</v>
      </c>
      <c r="I380">
        <v>17</v>
      </c>
      <c r="J380">
        <v>5</v>
      </c>
      <c r="K380">
        <v>3</v>
      </c>
      <c r="L380">
        <v>4</v>
      </c>
      <c r="M380">
        <v>3</v>
      </c>
      <c r="N380" t="s">
        <v>31</v>
      </c>
      <c r="O380" t="s">
        <v>32</v>
      </c>
      <c r="P380">
        <v>11</v>
      </c>
      <c r="Q380">
        <v>57</v>
      </c>
      <c r="R380">
        <v>3</v>
      </c>
      <c r="S380" t="s">
        <v>33</v>
      </c>
      <c r="T380">
        <v>6</v>
      </c>
      <c r="U380" t="s">
        <v>33</v>
      </c>
      <c r="V380" s="1">
        <v>42705</v>
      </c>
      <c r="W380" s="1">
        <v>43072</v>
      </c>
      <c r="X380" s="1" t="str">
        <f t="shared" si="15"/>
        <v>2017-12-03</v>
      </c>
      <c r="Y380" t="str">
        <f t="shared" si="16"/>
        <v>36-45</v>
      </c>
      <c r="Z380" t="str">
        <f t="shared" si="17"/>
        <v>10+ Years</v>
      </c>
    </row>
    <row r="381" spans="1:26" x14ac:dyDescent="0.35">
      <c r="A381" t="s">
        <v>437</v>
      </c>
      <c r="B381">
        <v>24</v>
      </c>
      <c r="C381" t="s">
        <v>44</v>
      </c>
      <c r="D381" t="s">
        <v>35</v>
      </c>
      <c r="E381" t="s">
        <v>85</v>
      </c>
      <c r="F381" t="s">
        <v>30</v>
      </c>
      <c r="G381">
        <v>43584</v>
      </c>
      <c r="H381">
        <v>1</v>
      </c>
      <c r="I381">
        <v>1</v>
      </c>
      <c r="J381">
        <v>1</v>
      </c>
      <c r="K381">
        <v>2</v>
      </c>
      <c r="L381">
        <v>2</v>
      </c>
      <c r="M381">
        <v>1</v>
      </c>
      <c r="N381" t="s">
        <v>31</v>
      </c>
      <c r="O381" t="s">
        <v>32</v>
      </c>
      <c r="P381">
        <v>2</v>
      </c>
      <c r="Q381">
        <v>55</v>
      </c>
      <c r="R381">
        <v>3</v>
      </c>
      <c r="S381" t="s">
        <v>31</v>
      </c>
      <c r="T381">
        <v>4</v>
      </c>
      <c r="U381" t="s">
        <v>31</v>
      </c>
      <c r="V381" s="1">
        <v>42498</v>
      </c>
      <c r="X381" s="1" t="str">
        <f t="shared" si="15"/>
        <v>Active</v>
      </c>
      <c r="Y381" t="str">
        <f t="shared" si="16"/>
        <v>18-25</v>
      </c>
      <c r="Z381" t="str">
        <f t="shared" si="17"/>
        <v>0-1 Year</v>
      </c>
    </row>
    <row r="382" spans="1:26" x14ac:dyDescent="0.35">
      <c r="A382" t="s">
        <v>438</v>
      </c>
      <c r="B382">
        <v>31</v>
      </c>
      <c r="C382" t="s">
        <v>27</v>
      </c>
      <c r="D382" t="s">
        <v>35</v>
      </c>
      <c r="E382" t="s">
        <v>85</v>
      </c>
      <c r="F382" t="s">
        <v>78</v>
      </c>
      <c r="G382">
        <v>84888</v>
      </c>
      <c r="H382">
        <v>5</v>
      </c>
      <c r="I382">
        <v>10</v>
      </c>
      <c r="J382">
        <v>3</v>
      </c>
      <c r="K382">
        <v>3</v>
      </c>
      <c r="L382">
        <v>2</v>
      </c>
      <c r="M382">
        <v>4</v>
      </c>
      <c r="N382" t="s">
        <v>31</v>
      </c>
      <c r="O382" t="s">
        <v>42</v>
      </c>
      <c r="P382">
        <v>18</v>
      </c>
      <c r="Q382">
        <v>31</v>
      </c>
      <c r="R382">
        <v>3</v>
      </c>
      <c r="S382" t="s">
        <v>31</v>
      </c>
      <c r="T382">
        <v>5</v>
      </c>
      <c r="U382" t="s">
        <v>33</v>
      </c>
      <c r="V382" s="1">
        <v>44451</v>
      </c>
      <c r="W382" s="1">
        <v>45278</v>
      </c>
      <c r="X382" s="1" t="str">
        <f t="shared" si="15"/>
        <v>2023-12-18</v>
      </c>
      <c r="Y382" t="str">
        <f t="shared" si="16"/>
        <v>26-35</v>
      </c>
      <c r="Z382" t="str">
        <f t="shared" si="17"/>
        <v>4-5 Years</v>
      </c>
    </row>
    <row r="383" spans="1:26" x14ac:dyDescent="0.35">
      <c r="A383" t="s">
        <v>439</v>
      </c>
      <c r="B383">
        <v>26</v>
      </c>
      <c r="C383" t="s">
        <v>27</v>
      </c>
      <c r="D383" t="s">
        <v>45</v>
      </c>
      <c r="E383" t="s">
        <v>46</v>
      </c>
      <c r="F383" t="s">
        <v>56</v>
      </c>
      <c r="G383">
        <v>60308</v>
      </c>
      <c r="H383">
        <v>2</v>
      </c>
      <c r="I383">
        <v>5</v>
      </c>
      <c r="J383">
        <v>2</v>
      </c>
      <c r="K383">
        <v>2</v>
      </c>
      <c r="L383">
        <v>2</v>
      </c>
      <c r="M383">
        <v>4</v>
      </c>
      <c r="N383" t="s">
        <v>31</v>
      </c>
      <c r="O383" t="s">
        <v>32</v>
      </c>
      <c r="P383">
        <v>15</v>
      </c>
      <c r="Q383">
        <v>55</v>
      </c>
      <c r="R383">
        <v>3</v>
      </c>
      <c r="S383" t="s">
        <v>31</v>
      </c>
      <c r="T383">
        <v>8</v>
      </c>
      <c r="U383" t="s">
        <v>31</v>
      </c>
      <c r="V383" s="1">
        <v>41947</v>
      </c>
      <c r="X383" s="1" t="str">
        <f t="shared" si="15"/>
        <v>Active</v>
      </c>
      <c r="Y383" t="str">
        <f t="shared" si="16"/>
        <v>26-35</v>
      </c>
      <c r="Z383" t="str">
        <f t="shared" si="17"/>
        <v>2-3 Years</v>
      </c>
    </row>
    <row r="384" spans="1:26" x14ac:dyDescent="0.35">
      <c r="A384" t="s">
        <v>440</v>
      </c>
      <c r="B384">
        <v>24</v>
      </c>
      <c r="C384" t="s">
        <v>27</v>
      </c>
      <c r="D384" t="s">
        <v>39</v>
      </c>
      <c r="E384" t="s">
        <v>40</v>
      </c>
      <c r="F384" t="s">
        <v>37</v>
      </c>
      <c r="G384">
        <v>74831</v>
      </c>
      <c r="H384">
        <v>3</v>
      </c>
      <c r="I384">
        <v>3</v>
      </c>
      <c r="J384">
        <v>3</v>
      </c>
      <c r="K384">
        <v>1</v>
      </c>
      <c r="L384">
        <v>1</v>
      </c>
      <c r="M384">
        <v>2</v>
      </c>
      <c r="N384" t="s">
        <v>33</v>
      </c>
      <c r="O384" t="s">
        <v>42</v>
      </c>
      <c r="P384">
        <v>11</v>
      </c>
      <c r="Q384">
        <v>24</v>
      </c>
      <c r="R384">
        <v>3</v>
      </c>
      <c r="S384" t="s">
        <v>31</v>
      </c>
      <c r="T384">
        <v>6</v>
      </c>
      <c r="U384" t="s">
        <v>31</v>
      </c>
      <c r="V384" s="1">
        <v>44579</v>
      </c>
      <c r="X384" s="1" t="str">
        <f t="shared" si="15"/>
        <v>Active</v>
      </c>
      <c r="Y384" t="str">
        <f t="shared" si="16"/>
        <v>18-25</v>
      </c>
      <c r="Z384" t="str">
        <f t="shared" si="17"/>
        <v>2-3 Years</v>
      </c>
    </row>
    <row r="385" spans="1:26" x14ac:dyDescent="0.35">
      <c r="A385" t="s">
        <v>441</v>
      </c>
      <c r="B385">
        <v>35</v>
      </c>
      <c r="C385" t="s">
        <v>44</v>
      </c>
      <c r="D385" t="s">
        <v>52</v>
      </c>
      <c r="E385" t="s">
        <v>53</v>
      </c>
      <c r="F385" t="s">
        <v>56</v>
      </c>
      <c r="G385">
        <v>45318</v>
      </c>
      <c r="H385">
        <v>2</v>
      </c>
      <c r="I385">
        <v>11</v>
      </c>
      <c r="J385">
        <v>1</v>
      </c>
      <c r="K385">
        <v>1</v>
      </c>
      <c r="L385">
        <v>1</v>
      </c>
      <c r="M385">
        <v>1</v>
      </c>
      <c r="N385" t="s">
        <v>33</v>
      </c>
      <c r="O385" t="s">
        <v>32</v>
      </c>
      <c r="P385">
        <v>16</v>
      </c>
      <c r="Q385">
        <v>40</v>
      </c>
      <c r="R385">
        <v>3</v>
      </c>
      <c r="S385" t="s">
        <v>31</v>
      </c>
      <c r="T385">
        <v>7</v>
      </c>
      <c r="U385" t="s">
        <v>31</v>
      </c>
      <c r="V385" s="1">
        <v>43406</v>
      </c>
      <c r="X385" s="1" t="str">
        <f t="shared" si="15"/>
        <v>Active</v>
      </c>
      <c r="Y385" t="str">
        <f t="shared" si="16"/>
        <v>26-35</v>
      </c>
      <c r="Z385" t="str">
        <f t="shared" si="17"/>
        <v>2-3 Years</v>
      </c>
    </row>
    <row r="386" spans="1:26" x14ac:dyDescent="0.35">
      <c r="A386" t="s">
        <v>442</v>
      </c>
      <c r="B386">
        <v>59</v>
      </c>
      <c r="C386" t="s">
        <v>27</v>
      </c>
      <c r="D386" t="s">
        <v>49</v>
      </c>
      <c r="E386" t="s">
        <v>50</v>
      </c>
      <c r="F386" t="s">
        <v>37</v>
      </c>
      <c r="G386">
        <v>101955</v>
      </c>
      <c r="H386">
        <v>7</v>
      </c>
      <c r="I386">
        <v>36</v>
      </c>
      <c r="J386">
        <v>4</v>
      </c>
      <c r="K386">
        <v>3</v>
      </c>
      <c r="L386">
        <v>4</v>
      </c>
      <c r="M386">
        <v>1</v>
      </c>
      <c r="N386" t="s">
        <v>33</v>
      </c>
      <c r="O386" t="s">
        <v>32</v>
      </c>
      <c r="P386">
        <v>21</v>
      </c>
      <c r="Q386">
        <v>35</v>
      </c>
      <c r="R386">
        <v>3</v>
      </c>
      <c r="S386" t="s">
        <v>31</v>
      </c>
      <c r="T386">
        <v>3</v>
      </c>
      <c r="U386" t="s">
        <v>31</v>
      </c>
      <c r="V386" s="1">
        <v>41087</v>
      </c>
      <c r="X386" s="1" t="str">
        <f t="shared" si="15"/>
        <v>Active</v>
      </c>
      <c r="Y386" t="str">
        <f t="shared" si="16"/>
        <v>56+</v>
      </c>
      <c r="Z386" t="str">
        <f t="shared" si="17"/>
        <v>6-10 Years</v>
      </c>
    </row>
    <row r="387" spans="1:26" x14ac:dyDescent="0.35">
      <c r="A387" t="s">
        <v>443</v>
      </c>
      <c r="B387">
        <v>53</v>
      </c>
      <c r="C387" t="s">
        <v>27</v>
      </c>
      <c r="D387" t="s">
        <v>39</v>
      </c>
      <c r="E387" t="s">
        <v>74</v>
      </c>
      <c r="F387" t="s">
        <v>41</v>
      </c>
      <c r="G387">
        <v>153809</v>
      </c>
      <c r="H387">
        <v>28</v>
      </c>
      <c r="I387">
        <v>29</v>
      </c>
      <c r="J387">
        <v>5</v>
      </c>
      <c r="K387">
        <v>1</v>
      </c>
      <c r="L387">
        <v>4</v>
      </c>
      <c r="M387">
        <v>1</v>
      </c>
      <c r="N387" t="s">
        <v>31</v>
      </c>
      <c r="O387" t="s">
        <v>42</v>
      </c>
      <c r="P387">
        <v>6</v>
      </c>
      <c r="Q387">
        <v>42</v>
      </c>
      <c r="R387">
        <v>3</v>
      </c>
      <c r="S387" t="s">
        <v>31</v>
      </c>
      <c r="T387">
        <v>4</v>
      </c>
      <c r="U387" t="s">
        <v>31</v>
      </c>
      <c r="V387" s="1">
        <v>42201</v>
      </c>
      <c r="X387" s="1" t="str">
        <f t="shared" ref="X387:X450" si="18">IF(ISBLANK(W387), "Active", TEXT(W387, "yyyy-mm-dd"))</f>
        <v>Active</v>
      </c>
      <c r="Y387" t="str">
        <f t="shared" ref="Y387:Y450" si="19">_xlfn.IFS(B387&lt;=25, "18-25", B387&lt;=35, "26-35", B387&lt;=45, "36-45", B387&lt;=55, "46-55", B387&gt;55, "56+")</f>
        <v>46-55</v>
      </c>
      <c r="Z387" t="str">
        <f t="shared" ref="Z387:Z450" si="20">_xlfn.IFS(H387&lt;=1, "0-1 Year", H387&lt;=3, "2-3 Years", H387&lt;=5, "4-5 Years", H387&lt;=10, "6-10 Years", H387&gt;10, "10+ Years")</f>
        <v>10+ Years</v>
      </c>
    </row>
    <row r="388" spans="1:26" x14ac:dyDescent="0.35">
      <c r="A388" t="s">
        <v>444</v>
      </c>
      <c r="B388">
        <v>28</v>
      </c>
      <c r="C388" t="s">
        <v>44</v>
      </c>
      <c r="D388" t="s">
        <v>45</v>
      </c>
      <c r="E388" t="s">
        <v>46</v>
      </c>
      <c r="F388" t="s">
        <v>37</v>
      </c>
      <c r="G388">
        <v>64182</v>
      </c>
      <c r="H388">
        <v>4</v>
      </c>
      <c r="I388">
        <v>7</v>
      </c>
      <c r="J388">
        <v>2</v>
      </c>
      <c r="K388">
        <v>2</v>
      </c>
      <c r="L388">
        <v>2</v>
      </c>
      <c r="M388">
        <v>1</v>
      </c>
      <c r="N388" t="s">
        <v>33</v>
      </c>
      <c r="O388" t="s">
        <v>47</v>
      </c>
      <c r="P388">
        <v>3</v>
      </c>
      <c r="Q388">
        <v>19</v>
      </c>
      <c r="R388">
        <v>4</v>
      </c>
      <c r="S388" t="s">
        <v>31</v>
      </c>
      <c r="T388">
        <v>5</v>
      </c>
      <c r="U388" t="s">
        <v>33</v>
      </c>
      <c r="V388" s="1">
        <v>41736</v>
      </c>
      <c r="W388" s="1">
        <v>42266</v>
      </c>
      <c r="X388" s="1" t="str">
        <f t="shared" si="18"/>
        <v>2015-09-19</v>
      </c>
      <c r="Y388" t="str">
        <f t="shared" si="19"/>
        <v>26-35</v>
      </c>
      <c r="Z388" t="str">
        <f t="shared" si="20"/>
        <v>4-5 Years</v>
      </c>
    </row>
    <row r="389" spans="1:26" x14ac:dyDescent="0.35">
      <c r="A389" t="s">
        <v>445</v>
      </c>
      <c r="B389">
        <v>28</v>
      </c>
      <c r="C389" t="s">
        <v>27</v>
      </c>
      <c r="D389" t="s">
        <v>49</v>
      </c>
      <c r="E389" t="s">
        <v>68</v>
      </c>
      <c r="F389" t="s">
        <v>56</v>
      </c>
      <c r="G389">
        <v>60768</v>
      </c>
      <c r="H389">
        <v>4</v>
      </c>
      <c r="I389">
        <v>7</v>
      </c>
      <c r="J389">
        <v>2</v>
      </c>
      <c r="K389">
        <v>3</v>
      </c>
      <c r="L389">
        <v>3</v>
      </c>
      <c r="M389">
        <v>1</v>
      </c>
      <c r="N389" t="s">
        <v>31</v>
      </c>
      <c r="O389" t="s">
        <v>32</v>
      </c>
      <c r="P389">
        <v>20</v>
      </c>
      <c r="Q389">
        <v>50</v>
      </c>
      <c r="R389">
        <v>3</v>
      </c>
      <c r="S389" t="s">
        <v>31</v>
      </c>
      <c r="T389">
        <v>0</v>
      </c>
      <c r="U389" t="s">
        <v>33</v>
      </c>
      <c r="V389" s="1">
        <v>44344</v>
      </c>
      <c r="W389" s="1">
        <v>45209</v>
      </c>
      <c r="X389" s="1" t="str">
        <f t="shared" si="18"/>
        <v>2023-10-10</v>
      </c>
      <c r="Y389" t="str">
        <f t="shared" si="19"/>
        <v>26-35</v>
      </c>
      <c r="Z389" t="str">
        <f t="shared" si="20"/>
        <v>4-5 Years</v>
      </c>
    </row>
    <row r="390" spans="1:26" x14ac:dyDescent="0.35">
      <c r="A390" t="s">
        <v>446</v>
      </c>
      <c r="B390">
        <v>54</v>
      </c>
      <c r="C390" t="s">
        <v>27</v>
      </c>
      <c r="D390" t="s">
        <v>28</v>
      </c>
      <c r="E390" t="s">
        <v>29</v>
      </c>
      <c r="F390" t="s">
        <v>30</v>
      </c>
      <c r="G390">
        <v>105892</v>
      </c>
      <c r="H390">
        <v>11</v>
      </c>
      <c r="I390">
        <v>33</v>
      </c>
      <c r="J390">
        <v>4</v>
      </c>
      <c r="K390">
        <v>3</v>
      </c>
      <c r="L390">
        <v>4</v>
      </c>
      <c r="M390">
        <v>4</v>
      </c>
      <c r="N390" t="s">
        <v>33</v>
      </c>
      <c r="O390" t="s">
        <v>32</v>
      </c>
      <c r="P390">
        <v>25</v>
      </c>
      <c r="Q390">
        <v>48</v>
      </c>
      <c r="R390">
        <v>4</v>
      </c>
      <c r="S390" t="s">
        <v>31</v>
      </c>
      <c r="T390">
        <v>3</v>
      </c>
      <c r="U390" t="s">
        <v>31</v>
      </c>
      <c r="V390" s="1">
        <v>44333</v>
      </c>
      <c r="X390" s="1" t="str">
        <f t="shared" si="18"/>
        <v>Active</v>
      </c>
      <c r="Y390" t="str">
        <f t="shared" si="19"/>
        <v>46-55</v>
      </c>
      <c r="Z390" t="str">
        <f t="shared" si="20"/>
        <v>10+ Years</v>
      </c>
    </row>
    <row r="391" spans="1:26" x14ac:dyDescent="0.35">
      <c r="A391" t="s">
        <v>447</v>
      </c>
      <c r="B391">
        <v>53</v>
      </c>
      <c r="C391" t="s">
        <v>44</v>
      </c>
      <c r="D391" t="s">
        <v>39</v>
      </c>
      <c r="E391" t="s">
        <v>40</v>
      </c>
      <c r="F391" t="s">
        <v>30</v>
      </c>
      <c r="G391">
        <v>138885</v>
      </c>
      <c r="H391">
        <v>20</v>
      </c>
      <c r="I391">
        <v>31</v>
      </c>
      <c r="J391">
        <v>5</v>
      </c>
      <c r="K391">
        <v>4</v>
      </c>
      <c r="L391">
        <v>3</v>
      </c>
      <c r="M391">
        <v>3</v>
      </c>
      <c r="N391" t="s">
        <v>31</v>
      </c>
      <c r="O391" t="s">
        <v>32</v>
      </c>
      <c r="P391">
        <v>20</v>
      </c>
      <c r="Q391">
        <v>59</v>
      </c>
      <c r="R391">
        <v>3</v>
      </c>
      <c r="S391" t="s">
        <v>33</v>
      </c>
      <c r="T391">
        <v>3</v>
      </c>
      <c r="U391" t="s">
        <v>33</v>
      </c>
      <c r="V391" s="1">
        <v>43276</v>
      </c>
      <c r="W391" s="1">
        <v>43776</v>
      </c>
      <c r="X391" s="1" t="str">
        <f t="shared" si="18"/>
        <v>2019-11-07</v>
      </c>
      <c r="Y391" t="str">
        <f t="shared" si="19"/>
        <v>46-55</v>
      </c>
      <c r="Z391" t="str">
        <f t="shared" si="20"/>
        <v>10+ Years</v>
      </c>
    </row>
    <row r="392" spans="1:26" x14ac:dyDescent="0.35">
      <c r="A392" t="s">
        <v>448</v>
      </c>
      <c r="B392">
        <v>35</v>
      </c>
      <c r="C392" t="s">
        <v>27</v>
      </c>
      <c r="D392" t="s">
        <v>49</v>
      </c>
      <c r="E392" t="s">
        <v>68</v>
      </c>
      <c r="F392" t="s">
        <v>78</v>
      </c>
      <c r="G392">
        <v>121023</v>
      </c>
      <c r="H392">
        <v>10</v>
      </c>
      <c r="I392">
        <v>12</v>
      </c>
      <c r="J392">
        <v>5</v>
      </c>
      <c r="K392">
        <v>3</v>
      </c>
      <c r="L392">
        <v>1</v>
      </c>
      <c r="M392">
        <v>4</v>
      </c>
      <c r="N392" t="s">
        <v>31</v>
      </c>
      <c r="O392" t="s">
        <v>32</v>
      </c>
      <c r="P392">
        <v>13</v>
      </c>
      <c r="Q392">
        <v>45</v>
      </c>
      <c r="R392">
        <v>3</v>
      </c>
      <c r="S392" t="s">
        <v>31</v>
      </c>
      <c r="T392">
        <v>5</v>
      </c>
      <c r="U392" t="s">
        <v>31</v>
      </c>
      <c r="V392" s="1">
        <v>42164</v>
      </c>
      <c r="X392" s="1" t="str">
        <f t="shared" si="18"/>
        <v>Active</v>
      </c>
      <c r="Y392" t="str">
        <f t="shared" si="19"/>
        <v>26-35</v>
      </c>
      <c r="Z392" t="str">
        <f t="shared" si="20"/>
        <v>6-10 Years</v>
      </c>
    </row>
    <row r="393" spans="1:26" x14ac:dyDescent="0.35">
      <c r="A393" t="s">
        <v>449</v>
      </c>
      <c r="B393">
        <v>52</v>
      </c>
      <c r="C393" t="s">
        <v>27</v>
      </c>
      <c r="D393" t="s">
        <v>28</v>
      </c>
      <c r="E393" t="s">
        <v>66</v>
      </c>
      <c r="F393" t="s">
        <v>41</v>
      </c>
      <c r="G393">
        <v>77799</v>
      </c>
      <c r="H393">
        <v>5</v>
      </c>
      <c r="I393">
        <v>31</v>
      </c>
      <c r="J393">
        <v>3</v>
      </c>
      <c r="K393">
        <v>4</v>
      </c>
      <c r="L393">
        <v>2</v>
      </c>
      <c r="M393">
        <v>2</v>
      </c>
      <c r="N393" t="s">
        <v>31</v>
      </c>
      <c r="O393" t="s">
        <v>32</v>
      </c>
      <c r="P393">
        <v>8</v>
      </c>
      <c r="Q393">
        <v>52</v>
      </c>
      <c r="R393">
        <v>3</v>
      </c>
      <c r="S393" t="s">
        <v>33</v>
      </c>
      <c r="T393">
        <v>3</v>
      </c>
      <c r="U393" t="s">
        <v>31</v>
      </c>
      <c r="V393" s="1">
        <v>42949</v>
      </c>
      <c r="X393" s="1" t="str">
        <f t="shared" si="18"/>
        <v>Active</v>
      </c>
      <c r="Y393" t="str">
        <f t="shared" si="19"/>
        <v>46-55</v>
      </c>
      <c r="Z393" t="str">
        <f t="shared" si="20"/>
        <v>4-5 Years</v>
      </c>
    </row>
    <row r="394" spans="1:26" x14ac:dyDescent="0.35">
      <c r="A394" t="s">
        <v>450</v>
      </c>
      <c r="B394">
        <v>27</v>
      </c>
      <c r="C394" t="s">
        <v>27</v>
      </c>
      <c r="D394" t="s">
        <v>49</v>
      </c>
      <c r="E394" t="s">
        <v>68</v>
      </c>
      <c r="F394" t="s">
        <v>61</v>
      </c>
      <c r="G394">
        <v>60590</v>
      </c>
      <c r="H394">
        <v>3</v>
      </c>
      <c r="I394">
        <v>3</v>
      </c>
      <c r="J394">
        <v>2</v>
      </c>
      <c r="K394">
        <v>1</v>
      </c>
      <c r="L394">
        <v>2</v>
      </c>
      <c r="M394">
        <v>3</v>
      </c>
      <c r="N394" t="s">
        <v>31</v>
      </c>
      <c r="O394" t="s">
        <v>32</v>
      </c>
      <c r="P394">
        <v>16</v>
      </c>
      <c r="Q394">
        <v>57</v>
      </c>
      <c r="R394">
        <v>3</v>
      </c>
      <c r="S394" t="s">
        <v>31</v>
      </c>
      <c r="T394">
        <v>4</v>
      </c>
      <c r="U394" t="s">
        <v>33</v>
      </c>
      <c r="V394" s="1">
        <v>43826</v>
      </c>
      <c r="W394" s="1">
        <v>44458</v>
      </c>
      <c r="X394" s="1" t="str">
        <f t="shared" si="18"/>
        <v>2021-09-19</v>
      </c>
      <c r="Y394" t="str">
        <f t="shared" si="19"/>
        <v>26-35</v>
      </c>
      <c r="Z394" t="str">
        <f t="shared" si="20"/>
        <v>2-3 Years</v>
      </c>
    </row>
    <row r="395" spans="1:26" x14ac:dyDescent="0.35">
      <c r="A395" t="s">
        <v>451</v>
      </c>
      <c r="B395">
        <v>56</v>
      </c>
      <c r="C395" t="s">
        <v>44</v>
      </c>
      <c r="D395" t="s">
        <v>49</v>
      </c>
      <c r="E395" t="s">
        <v>50</v>
      </c>
      <c r="F395" t="s">
        <v>78</v>
      </c>
      <c r="G395">
        <v>38884</v>
      </c>
      <c r="H395">
        <v>0</v>
      </c>
      <c r="I395">
        <v>33</v>
      </c>
      <c r="J395">
        <v>1</v>
      </c>
      <c r="K395">
        <v>4</v>
      </c>
      <c r="L395">
        <v>4</v>
      </c>
      <c r="M395">
        <v>1</v>
      </c>
      <c r="N395" t="s">
        <v>33</v>
      </c>
      <c r="O395" t="s">
        <v>42</v>
      </c>
      <c r="P395">
        <v>24</v>
      </c>
      <c r="Q395">
        <v>47</v>
      </c>
      <c r="R395">
        <v>3</v>
      </c>
      <c r="S395" t="s">
        <v>31</v>
      </c>
      <c r="T395">
        <v>8</v>
      </c>
      <c r="U395" t="s">
        <v>31</v>
      </c>
      <c r="V395" s="1">
        <v>42283</v>
      </c>
      <c r="X395" s="1" t="str">
        <f t="shared" si="18"/>
        <v>Active</v>
      </c>
      <c r="Y395" t="str">
        <f t="shared" si="19"/>
        <v>56+</v>
      </c>
      <c r="Z395" t="str">
        <f t="shared" si="20"/>
        <v>0-1 Year</v>
      </c>
    </row>
    <row r="396" spans="1:26" x14ac:dyDescent="0.35">
      <c r="A396" t="s">
        <v>452</v>
      </c>
      <c r="B396">
        <v>53</v>
      </c>
      <c r="C396" t="s">
        <v>27</v>
      </c>
      <c r="D396" t="s">
        <v>49</v>
      </c>
      <c r="E396" t="s">
        <v>50</v>
      </c>
      <c r="F396" t="s">
        <v>41</v>
      </c>
      <c r="G396">
        <v>53690</v>
      </c>
      <c r="H396">
        <v>0</v>
      </c>
      <c r="I396">
        <v>30</v>
      </c>
      <c r="J396">
        <v>2</v>
      </c>
      <c r="K396">
        <v>1</v>
      </c>
      <c r="L396">
        <v>3</v>
      </c>
      <c r="M396">
        <v>4</v>
      </c>
      <c r="N396" t="s">
        <v>31</v>
      </c>
      <c r="O396" t="s">
        <v>42</v>
      </c>
      <c r="P396">
        <v>13</v>
      </c>
      <c r="Q396">
        <v>24</v>
      </c>
      <c r="R396">
        <v>3</v>
      </c>
      <c r="S396" t="s">
        <v>31</v>
      </c>
      <c r="T396">
        <v>4</v>
      </c>
      <c r="U396" t="s">
        <v>31</v>
      </c>
      <c r="V396" s="1">
        <v>43107</v>
      </c>
      <c r="X396" s="1" t="str">
        <f t="shared" si="18"/>
        <v>Active</v>
      </c>
      <c r="Y396" t="str">
        <f t="shared" si="19"/>
        <v>46-55</v>
      </c>
      <c r="Z396" t="str">
        <f t="shared" si="20"/>
        <v>0-1 Year</v>
      </c>
    </row>
    <row r="397" spans="1:26" x14ac:dyDescent="0.35">
      <c r="A397" t="s">
        <v>453</v>
      </c>
      <c r="B397">
        <v>31</v>
      </c>
      <c r="C397" t="s">
        <v>44</v>
      </c>
      <c r="D397" t="s">
        <v>35</v>
      </c>
      <c r="E397" t="s">
        <v>36</v>
      </c>
      <c r="F397" t="s">
        <v>61</v>
      </c>
      <c r="G397">
        <v>102828</v>
      </c>
      <c r="H397">
        <v>7</v>
      </c>
      <c r="I397">
        <v>10</v>
      </c>
      <c r="J397">
        <v>4</v>
      </c>
      <c r="K397">
        <v>2</v>
      </c>
      <c r="L397">
        <v>4</v>
      </c>
      <c r="M397">
        <v>2</v>
      </c>
      <c r="N397" t="s">
        <v>31</v>
      </c>
      <c r="O397" t="s">
        <v>32</v>
      </c>
      <c r="P397">
        <v>19</v>
      </c>
      <c r="Q397">
        <v>16</v>
      </c>
      <c r="R397">
        <v>3</v>
      </c>
      <c r="S397" t="s">
        <v>31</v>
      </c>
      <c r="T397">
        <v>12</v>
      </c>
      <c r="U397" t="s">
        <v>31</v>
      </c>
      <c r="V397" s="1">
        <v>44521</v>
      </c>
      <c r="X397" s="1" t="str">
        <f t="shared" si="18"/>
        <v>Active</v>
      </c>
      <c r="Y397" t="str">
        <f t="shared" si="19"/>
        <v>26-35</v>
      </c>
      <c r="Z397" t="str">
        <f t="shared" si="20"/>
        <v>6-10 Years</v>
      </c>
    </row>
    <row r="398" spans="1:26" x14ac:dyDescent="0.35">
      <c r="A398" t="s">
        <v>454</v>
      </c>
      <c r="B398">
        <v>47</v>
      </c>
      <c r="C398" t="s">
        <v>44</v>
      </c>
      <c r="D398" t="s">
        <v>28</v>
      </c>
      <c r="E398" t="s">
        <v>29</v>
      </c>
      <c r="F398" t="s">
        <v>56</v>
      </c>
      <c r="G398">
        <v>141354</v>
      </c>
      <c r="H398">
        <v>20</v>
      </c>
      <c r="I398">
        <v>24</v>
      </c>
      <c r="J398">
        <v>5</v>
      </c>
      <c r="K398">
        <v>3</v>
      </c>
      <c r="L398">
        <v>2</v>
      </c>
      <c r="M398">
        <v>3</v>
      </c>
      <c r="N398" t="s">
        <v>31</v>
      </c>
      <c r="O398" t="s">
        <v>32</v>
      </c>
      <c r="P398">
        <v>9</v>
      </c>
      <c r="Q398">
        <v>51</v>
      </c>
      <c r="R398">
        <v>4</v>
      </c>
      <c r="S398" t="s">
        <v>31</v>
      </c>
      <c r="T398">
        <v>8</v>
      </c>
      <c r="U398" t="s">
        <v>31</v>
      </c>
      <c r="V398" s="1">
        <v>42027</v>
      </c>
      <c r="X398" s="1" t="str">
        <f t="shared" si="18"/>
        <v>Active</v>
      </c>
      <c r="Y398" t="str">
        <f t="shared" si="19"/>
        <v>46-55</v>
      </c>
      <c r="Z398" t="str">
        <f t="shared" si="20"/>
        <v>10+ Years</v>
      </c>
    </row>
    <row r="399" spans="1:26" x14ac:dyDescent="0.35">
      <c r="A399" t="s">
        <v>455</v>
      </c>
      <c r="B399">
        <v>51</v>
      </c>
      <c r="C399" t="s">
        <v>27</v>
      </c>
      <c r="D399" t="s">
        <v>52</v>
      </c>
      <c r="E399" t="s">
        <v>53</v>
      </c>
      <c r="F399" t="s">
        <v>30</v>
      </c>
      <c r="G399">
        <v>100529</v>
      </c>
      <c r="H399">
        <v>8</v>
      </c>
      <c r="I399">
        <v>29</v>
      </c>
      <c r="J399">
        <v>4</v>
      </c>
      <c r="K399">
        <v>3</v>
      </c>
      <c r="L399">
        <v>4</v>
      </c>
      <c r="M399">
        <v>3</v>
      </c>
      <c r="N399" t="s">
        <v>31</v>
      </c>
      <c r="O399" t="s">
        <v>32</v>
      </c>
      <c r="P399">
        <v>18</v>
      </c>
      <c r="Q399">
        <v>51</v>
      </c>
      <c r="R399">
        <v>3</v>
      </c>
      <c r="S399" t="s">
        <v>31</v>
      </c>
      <c r="T399">
        <v>3</v>
      </c>
      <c r="U399" t="s">
        <v>31</v>
      </c>
      <c r="V399" s="1">
        <v>41831</v>
      </c>
      <c r="X399" s="1" t="str">
        <f t="shared" si="18"/>
        <v>Active</v>
      </c>
      <c r="Y399" t="str">
        <f t="shared" si="19"/>
        <v>46-55</v>
      </c>
      <c r="Z399" t="str">
        <f t="shared" si="20"/>
        <v>6-10 Years</v>
      </c>
    </row>
    <row r="400" spans="1:26" x14ac:dyDescent="0.35">
      <c r="A400" t="s">
        <v>456</v>
      </c>
      <c r="B400">
        <v>23</v>
      </c>
      <c r="C400" t="s">
        <v>44</v>
      </c>
      <c r="D400" t="s">
        <v>52</v>
      </c>
      <c r="E400" t="s">
        <v>53</v>
      </c>
      <c r="F400" t="s">
        <v>78</v>
      </c>
      <c r="G400">
        <v>57109</v>
      </c>
      <c r="H400">
        <v>0</v>
      </c>
      <c r="I400">
        <v>1</v>
      </c>
      <c r="J400">
        <v>2</v>
      </c>
      <c r="K400">
        <v>4</v>
      </c>
      <c r="L400">
        <v>3</v>
      </c>
      <c r="M400">
        <v>4</v>
      </c>
      <c r="N400" t="s">
        <v>31</v>
      </c>
      <c r="O400" t="s">
        <v>32</v>
      </c>
      <c r="P400">
        <v>21</v>
      </c>
      <c r="Q400">
        <v>51</v>
      </c>
      <c r="R400">
        <v>3</v>
      </c>
      <c r="S400" t="s">
        <v>31</v>
      </c>
      <c r="T400">
        <v>7</v>
      </c>
      <c r="U400" t="s">
        <v>31</v>
      </c>
      <c r="V400" s="1">
        <v>44856</v>
      </c>
      <c r="X400" s="1" t="str">
        <f t="shared" si="18"/>
        <v>Active</v>
      </c>
      <c r="Y400" t="str">
        <f t="shared" si="19"/>
        <v>18-25</v>
      </c>
      <c r="Z400" t="str">
        <f t="shared" si="20"/>
        <v>0-1 Year</v>
      </c>
    </row>
    <row r="401" spans="1:26" x14ac:dyDescent="0.35">
      <c r="A401" t="s">
        <v>457</v>
      </c>
      <c r="B401">
        <v>39</v>
      </c>
      <c r="C401" t="s">
        <v>27</v>
      </c>
      <c r="D401" t="s">
        <v>35</v>
      </c>
      <c r="E401" t="s">
        <v>36</v>
      </c>
      <c r="F401" t="s">
        <v>61</v>
      </c>
      <c r="G401">
        <v>123081</v>
      </c>
      <c r="H401">
        <v>13</v>
      </c>
      <c r="I401">
        <v>16</v>
      </c>
      <c r="J401">
        <v>5</v>
      </c>
      <c r="K401">
        <v>4</v>
      </c>
      <c r="L401">
        <v>3</v>
      </c>
      <c r="M401">
        <v>2</v>
      </c>
      <c r="N401" t="s">
        <v>31</v>
      </c>
      <c r="O401" t="s">
        <v>47</v>
      </c>
      <c r="P401">
        <v>26</v>
      </c>
      <c r="Q401">
        <v>59</v>
      </c>
      <c r="R401">
        <v>3</v>
      </c>
      <c r="S401" t="s">
        <v>33</v>
      </c>
      <c r="T401">
        <v>5</v>
      </c>
      <c r="U401" t="s">
        <v>31</v>
      </c>
      <c r="V401" s="1">
        <v>41503</v>
      </c>
      <c r="X401" s="1" t="str">
        <f t="shared" si="18"/>
        <v>Active</v>
      </c>
      <c r="Y401" t="str">
        <f t="shared" si="19"/>
        <v>36-45</v>
      </c>
      <c r="Z401" t="str">
        <f t="shared" si="20"/>
        <v>10+ Years</v>
      </c>
    </row>
    <row r="402" spans="1:26" x14ac:dyDescent="0.35">
      <c r="A402" t="s">
        <v>458</v>
      </c>
      <c r="B402">
        <v>46</v>
      </c>
      <c r="C402" t="s">
        <v>44</v>
      </c>
      <c r="D402" t="s">
        <v>52</v>
      </c>
      <c r="E402" t="s">
        <v>53</v>
      </c>
      <c r="F402" t="s">
        <v>78</v>
      </c>
      <c r="G402">
        <v>42957</v>
      </c>
      <c r="H402">
        <v>0</v>
      </c>
      <c r="I402">
        <v>22</v>
      </c>
      <c r="J402">
        <v>1</v>
      </c>
      <c r="K402">
        <v>4</v>
      </c>
      <c r="L402">
        <v>4</v>
      </c>
      <c r="M402">
        <v>1</v>
      </c>
      <c r="N402" t="s">
        <v>31</v>
      </c>
      <c r="O402" t="s">
        <v>32</v>
      </c>
      <c r="P402">
        <v>20</v>
      </c>
      <c r="Q402">
        <v>13</v>
      </c>
      <c r="R402">
        <v>3</v>
      </c>
      <c r="S402" t="s">
        <v>31</v>
      </c>
      <c r="T402">
        <v>3</v>
      </c>
      <c r="U402" t="s">
        <v>31</v>
      </c>
      <c r="V402" s="1">
        <v>43484</v>
      </c>
      <c r="X402" s="1" t="str">
        <f t="shared" si="18"/>
        <v>Active</v>
      </c>
      <c r="Y402" t="str">
        <f t="shared" si="19"/>
        <v>46-55</v>
      </c>
      <c r="Z402" t="str">
        <f t="shared" si="20"/>
        <v>0-1 Year</v>
      </c>
    </row>
    <row r="403" spans="1:26" x14ac:dyDescent="0.35">
      <c r="A403" t="s">
        <v>459</v>
      </c>
      <c r="B403">
        <v>38</v>
      </c>
      <c r="C403" t="s">
        <v>27</v>
      </c>
      <c r="D403" t="s">
        <v>39</v>
      </c>
      <c r="E403" t="s">
        <v>40</v>
      </c>
      <c r="F403" t="s">
        <v>30</v>
      </c>
      <c r="G403">
        <v>43414</v>
      </c>
      <c r="H403">
        <v>1</v>
      </c>
      <c r="I403">
        <v>17</v>
      </c>
      <c r="J403">
        <v>1</v>
      </c>
      <c r="K403">
        <v>3</v>
      </c>
      <c r="L403">
        <v>1</v>
      </c>
      <c r="M403">
        <v>2</v>
      </c>
      <c r="N403" t="s">
        <v>31</v>
      </c>
      <c r="O403" t="s">
        <v>32</v>
      </c>
      <c r="P403">
        <v>10</v>
      </c>
      <c r="Q403">
        <v>38</v>
      </c>
      <c r="R403">
        <v>3</v>
      </c>
      <c r="S403" t="s">
        <v>31</v>
      </c>
      <c r="T403">
        <v>9</v>
      </c>
      <c r="U403" t="s">
        <v>31</v>
      </c>
      <c r="V403" s="1">
        <v>44057</v>
      </c>
      <c r="X403" s="1" t="str">
        <f t="shared" si="18"/>
        <v>Active</v>
      </c>
      <c r="Y403" t="str">
        <f t="shared" si="19"/>
        <v>36-45</v>
      </c>
      <c r="Z403" t="str">
        <f t="shared" si="20"/>
        <v>0-1 Year</v>
      </c>
    </row>
    <row r="404" spans="1:26" x14ac:dyDescent="0.35">
      <c r="A404" t="s">
        <v>460</v>
      </c>
      <c r="B404">
        <v>37</v>
      </c>
      <c r="C404" t="s">
        <v>27</v>
      </c>
      <c r="D404" t="s">
        <v>28</v>
      </c>
      <c r="E404" t="s">
        <v>66</v>
      </c>
      <c r="F404" t="s">
        <v>30</v>
      </c>
      <c r="G404">
        <v>81770</v>
      </c>
      <c r="H404">
        <v>7</v>
      </c>
      <c r="I404">
        <v>14</v>
      </c>
      <c r="J404">
        <v>3</v>
      </c>
      <c r="K404">
        <v>4</v>
      </c>
      <c r="L404">
        <v>2</v>
      </c>
      <c r="M404">
        <v>1</v>
      </c>
      <c r="N404" t="s">
        <v>33</v>
      </c>
      <c r="O404" t="s">
        <v>32</v>
      </c>
      <c r="P404">
        <v>26</v>
      </c>
      <c r="Q404">
        <v>21</v>
      </c>
      <c r="R404">
        <v>3</v>
      </c>
      <c r="S404" t="s">
        <v>31</v>
      </c>
      <c r="T404">
        <v>3</v>
      </c>
      <c r="U404" t="s">
        <v>31</v>
      </c>
      <c r="V404" s="1">
        <v>43790</v>
      </c>
      <c r="X404" s="1" t="str">
        <f t="shared" si="18"/>
        <v>Active</v>
      </c>
      <c r="Y404" t="str">
        <f t="shared" si="19"/>
        <v>36-45</v>
      </c>
      <c r="Z404" t="str">
        <f t="shared" si="20"/>
        <v>6-10 Years</v>
      </c>
    </row>
    <row r="405" spans="1:26" x14ac:dyDescent="0.35">
      <c r="A405" t="s">
        <v>461</v>
      </c>
      <c r="B405">
        <v>47</v>
      </c>
      <c r="C405" t="s">
        <v>44</v>
      </c>
      <c r="D405" t="s">
        <v>45</v>
      </c>
      <c r="E405" t="s">
        <v>63</v>
      </c>
      <c r="F405" t="s">
        <v>56</v>
      </c>
      <c r="G405">
        <v>105741</v>
      </c>
      <c r="H405">
        <v>9</v>
      </c>
      <c r="I405">
        <v>24</v>
      </c>
      <c r="J405">
        <v>4</v>
      </c>
      <c r="K405">
        <v>2</v>
      </c>
      <c r="L405">
        <v>4</v>
      </c>
      <c r="M405">
        <v>3</v>
      </c>
      <c r="N405" t="s">
        <v>31</v>
      </c>
      <c r="O405" t="s">
        <v>42</v>
      </c>
      <c r="P405">
        <v>22</v>
      </c>
      <c r="Q405">
        <v>34</v>
      </c>
      <c r="R405">
        <v>3</v>
      </c>
      <c r="S405" t="s">
        <v>33</v>
      </c>
      <c r="T405">
        <v>4</v>
      </c>
      <c r="U405" t="s">
        <v>31</v>
      </c>
      <c r="V405" s="1">
        <v>43591</v>
      </c>
      <c r="X405" s="1" t="str">
        <f t="shared" si="18"/>
        <v>Active</v>
      </c>
      <c r="Y405" t="str">
        <f t="shared" si="19"/>
        <v>46-55</v>
      </c>
      <c r="Z405" t="str">
        <f t="shared" si="20"/>
        <v>6-10 Years</v>
      </c>
    </row>
    <row r="406" spans="1:26" x14ac:dyDescent="0.35">
      <c r="A406" t="s">
        <v>462</v>
      </c>
      <c r="B406">
        <v>47</v>
      </c>
      <c r="C406" t="s">
        <v>44</v>
      </c>
      <c r="D406" t="s">
        <v>52</v>
      </c>
      <c r="E406" t="s">
        <v>53</v>
      </c>
      <c r="F406" t="s">
        <v>30</v>
      </c>
      <c r="G406">
        <v>125629</v>
      </c>
      <c r="H406">
        <v>11</v>
      </c>
      <c r="I406">
        <v>26</v>
      </c>
      <c r="J406">
        <v>5</v>
      </c>
      <c r="K406">
        <v>1</v>
      </c>
      <c r="L406">
        <v>2</v>
      </c>
      <c r="M406">
        <v>1</v>
      </c>
      <c r="N406" t="s">
        <v>33</v>
      </c>
      <c r="O406" t="s">
        <v>32</v>
      </c>
      <c r="P406">
        <v>29</v>
      </c>
      <c r="Q406">
        <v>18</v>
      </c>
      <c r="R406">
        <v>3</v>
      </c>
      <c r="S406" t="s">
        <v>33</v>
      </c>
      <c r="T406">
        <v>4</v>
      </c>
      <c r="U406" t="s">
        <v>31</v>
      </c>
      <c r="V406" s="1">
        <v>42299</v>
      </c>
      <c r="X406" s="1" t="str">
        <f t="shared" si="18"/>
        <v>Active</v>
      </c>
      <c r="Y406" t="str">
        <f t="shared" si="19"/>
        <v>46-55</v>
      </c>
      <c r="Z406" t="str">
        <f t="shared" si="20"/>
        <v>10+ Years</v>
      </c>
    </row>
    <row r="407" spans="1:26" x14ac:dyDescent="0.35">
      <c r="A407" t="s">
        <v>463</v>
      </c>
      <c r="B407">
        <v>46</v>
      </c>
      <c r="C407" t="s">
        <v>27</v>
      </c>
      <c r="D407" t="s">
        <v>39</v>
      </c>
      <c r="E407" t="s">
        <v>74</v>
      </c>
      <c r="F407" t="s">
        <v>41</v>
      </c>
      <c r="G407">
        <v>128399</v>
      </c>
      <c r="H407">
        <v>15</v>
      </c>
      <c r="I407">
        <v>22</v>
      </c>
      <c r="J407">
        <v>5</v>
      </c>
      <c r="K407">
        <v>3</v>
      </c>
      <c r="L407">
        <v>4</v>
      </c>
      <c r="M407">
        <v>3</v>
      </c>
      <c r="N407" t="s">
        <v>31</v>
      </c>
      <c r="O407" t="s">
        <v>32</v>
      </c>
      <c r="P407">
        <v>16</v>
      </c>
      <c r="Q407">
        <v>28</v>
      </c>
      <c r="R407">
        <v>3</v>
      </c>
      <c r="S407" t="s">
        <v>31</v>
      </c>
      <c r="T407">
        <v>4</v>
      </c>
      <c r="U407" t="s">
        <v>31</v>
      </c>
      <c r="V407" s="1">
        <v>43305</v>
      </c>
      <c r="X407" s="1" t="str">
        <f t="shared" si="18"/>
        <v>Active</v>
      </c>
      <c r="Y407" t="str">
        <f t="shared" si="19"/>
        <v>46-55</v>
      </c>
      <c r="Z407" t="str">
        <f t="shared" si="20"/>
        <v>10+ Years</v>
      </c>
    </row>
    <row r="408" spans="1:26" x14ac:dyDescent="0.35">
      <c r="A408" t="s">
        <v>464</v>
      </c>
      <c r="B408">
        <v>22</v>
      </c>
      <c r="C408" t="s">
        <v>44</v>
      </c>
      <c r="D408" t="s">
        <v>39</v>
      </c>
      <c r="E408" t="s">
        <v>59</v>
      </c>
      <c r="F408" t="s">
        <v>37</v>
      </c>
      <c r="G408">
        <v>59096</v>
      </c>
      <c r="H408">
        <v>0</v>
      </c>
      <c r="I408">
        <v>1</v>
      </c>
      <c r="J408">
        <v>2</v>
      </c>
      <c r="K408">
        <v>2</v>
      </c>
      <c r="L408">
        <v>1</v>
      </c>
      <c r="M408">
        <v>4</v>
      </c>
      <c r="N408" t="s">
        <v>33</v>
      </c>
      <c r="O408" t="s">
        <v>32</v>
      </c>
      <c r="P408">
        <v>15</v>
      </c>
      <c r="Q408">
        <v>52</v>
      </c>
      <c r="R408">
        <v>3</v>
      </c>
      <c r="S408" t="s">
        <v>31</v>
      </c>
      <c r="T408">
        <v>3</v>
      </c>
      <c r="U408" t="s">
        <v>31</v>
      </c>
      <c r="V408" s="1">
        <v>44233</v>
      </c>
      <c r="X408" s="1" t="str">
        <f t="shared" si="18"/>
        <v>Active</v>
      </c>
      <c r="Y408" t="str">
        <f t="shared" si="19"/>
        <v>18-25</v>
      </c>
      <c r="Z408" t="str">
        <f t="shared" si="20"/>
        <v>0-1 Year</v>
      </c>
    </row>
    <row r="409" spans="1:26" x14ac:dyDescent="0.35">
      <c r="A409" t="s">
        <v>465</v>
      </c>
      <c r="B409">
        <v>31</v>
      </c>
      <c r="C409" t="s">
        <v>27</v>
      </c>
      <c r="D409" t="s">
        <v>45</v>
      </c>
      <c r="E409" t="s">
        <v>46</v>
      </c>
      <c r="F409" t="s">
        <v>30</v>
      </c>
      <c r="G409">
        <v>55753</v>
      </c>
      <c r="H409">
        <v>1</v>
      </c>
      <c r="I409">
        <v>10</v>
      </c>
      <c r="J409">
        <v>2</v>
      </c>
      <c r="K409">
        <v>1</v>
      </c>
      <c r="L409">
        <v>2</v>
      </c>
      <c r="M409">
        <v>4</v>
      </c>
      <c r="N409" t="s">
        <v>31</v>
      </c>
      <c r="O409" t="s">
        <v>32</v>
      </c>
      <c r="P409">
        <v>16</v>
      </c>
      <c r="Q409">
        <v>20</v>
      </c>
      <c r="R409">
        <v>3</v>
      </c>
      <c r="S409" t="s">
        <v>31</v>
      </c>
      <c r="T409">
        <v>1</v>
      </c>
      <c r="U409" t="s">
        <v>33</v>
      </c>
      <c r="V409" s="1">
        <v>42097</v>
      </c>
      <c r="W409" s="1">
        <v>42721</v>
      </c>
      <c r="X409" s="1" t="str">
        <f t="shared" si="18"/>
        <v>2016-12-17</v>
      </c>
      <c r="Y409" t="str">
        <f t="shared" si="19"/>
        <v>26-35</v>
      </c>
      <c r="Z409" t="str">
        <f t="shared" si="20"/>
        <v>0-1 Year</v>
      </c>
    </row>
    <row r="410" spans="1:26" x14ac:dyDescent="0.35">
      <c r="A410" t="s">
        <v>466</v>
      </c>
      <c r="B410">
        <v>31</v>
      </c>
      <c r="C410" t="s">
        <v>44</v>
      </c>
      <c r="D410" t="s">
        <v>45</v>
      </c>
      <c r="E410" t="s">
        <v>46</v>
      </c>
      <c r="F410" t="s">
        <v>61</v>
      </c>
      <c r="G410">
        <v>99894</v>
      </c>
      <c r="H410">
        <v>8</v>
      </c>
      <c r="I410">
        <v>8</v>
      </c>
      <c r="J410">
        <v>4</v>
      </c>
      <c r="K410">
        <v>2</v>
      </c>
      <c r="L410">
        <v>4</v>
      </c>
      <c r="M410">
        <v>4</v>
      </c>
      <c r="N410" t="s">
        <v>31</v>
      </c>
      <c r="O410" t="s">
        <v>42</v>
      </c>
      <c r="P410">
        <v>12</v>
      </c>
      <c r="Q410">
        <v>26</v>
      </c>
      <c r="R410">
        <v>4</v>
      </c>
      <c r="S410" t="s">
        <v>31</v>
      </c>
      <c r="T410">
        <v>6</v>
      </c>
      <c r="U410" t="s">
        <v>31</v>
      </c>
      <c r="V410" s="1">
        <v>41179</v>
      </c>
      <c r="X410" s="1" t="str">
        <f t="shared" si="18"/>
        <v>Active</v>
      </c>
      <c r="Y410" t="str">
        <f t="shared" si="19"/>
        <v>26-35</v>
      </c>
      <c r="Z410" t="str">
        <f t="shared" si="20"/>
        <v>6-10 Years</v>
      </c>
    </row>
    <row r="411" spans="1:26" x14ac:dyDescent="0.35">
      <c r="A411" t="s">
        <v>467</v>
      </c>
      <c r="B411">
        <v>22</v>
      </c>
      <c r="C411" t="s">
        <v>27</v>
      </c>
      <c r="D411" t="s">
        <v>35</v>
      </c>
      <c r="E411" t="s">
        <v>85</v>
      </c>
      <c r="F411" t="s">
        <v>37</v>
      </c>
      <c r="G411">
        <v>56858</v>
      </c>
      <c r="H411">
        <v>0</v>
      </c>
      <c r="I411">
        <v>1</v>
      </c>
      <c r="J411">
        <v>2</v>
      </c>
      <c r="K411">
        <v>2</v>
      </c>
      <c r="L411">
        <v>4</v>
      </c>
      <c r="M411">
        <v>3</v>
      </c>
      <c r="N411" t="s">
        <v>31</v>
      </c>
      <c r="O411" t="s">
        <v>32</v>
      </c>
      <c r="P411">
        <v>21</v>
      </c>
      <c r="Q411">
        <v>14</v>
      </c>
      <c r="R411">
        <v>3</v>
      </c>
      <c r="S411" t="s">
        <v>31</v>
      </c>
      <c r="T411">
        <v>1</v>
      </c>
      <c r="U411" t="s">
        <v>31</v>
      </c>
      <c r="V411" s="1">
        <v>42558</v>
      </c>
      <c r="X411" s="1" t="str">
        <f t="shared" si="18"/>
        <v>Active</v>
      </c>
      <c r="Y411" t="str">
        <f t="shared" si="19"/>
        <v>18-25</v>
      </c>
      <c r="Z411" t="str">
        <f t="shared" si="20"/>
        <v>0-1 Year</v>
      </c>
    </row>
    <row r="412" spans="1:26" x14ac:dyDescent="0.35">
      <c r="A412" t="s">
        <v>468</v>
      </c>
      <c r="B412">
        <v>45</v>
      </c>
      <c r="C412" t="s">
        <v>44</v>
      </c>
      <c r="D412" t="s">
        <v>45</v>
      </c>
      <c r="E412" t="s">
        <v>63</v>
      </c>
      <c r="F412" t="s">
        <v>78</v>
      </c>
      <c r="G412">
        <v>60484</v>
      </c>
      <c r="H412">
        <v>4</v>
      </c>
      <c r="I412">
        <v>22</v>
      </c>
      <c r="J412">
        <v>2</v>
      </c>
      <c r="K412">
        <v>3</v>
      </c>
      <c r="L412">
        <v>3</v>
      </c>
      <c r="M412">
        <v>3</v>
      </c>
      <c r="N412" t="s">
        <v>31</v>
      </c>
      <c r="O412" t="s">
        <v>47</v>
      </c>
      <c r="P412">
        <v>18</v>
      </c>
      <c r="Q412">
        <v>45</v>
      </c>
      <c r="R412">
        <v>3</v>
      </c>
      <c r="S412" t="s">
        <v>31</v>
      </c>
      <c r="T412">
        <v>6</v>
      </c>
      <c r="U412" t="s">
        <v>31</v>
      </c>
      <c r="V412" s="1">
        <v>43132</v>
      </c>
      <c r="X412" s="1" t="str">
        <f t="shared" si="18"/>
        <v>Active</v>
      </c>
      <c r="Y412" t="str">
        <f t="shared" si="19"/>
        <v>36-45</v>
      </c>
      <c r="Z412" t="str">
        <f t="shared" si="20"/>
        <v>4-5 Years</v>
      </c>
    </row>
    <row r="413" spans="1:26" x14ac:dyDescent="0.35">
      <c r="A413" t="s">
        <v>469</v>
      </c>
      <c r="B413">
        <v>52</v>
      </c>
      <c r="C413" t="s">
        <v>44</v>
      </c>
      <c r="D413" t="s">
        <v>39</v>
      </c>
      <c r="E413" t="s">
        <v>40</v>
      </c>
      <c r="F413" t="s">
        <v>41</v>
      </c>
      <c r="G413">
        <v>80352</v>
      </c>
      <c r="H413">
        <v>4</v>
      </c>
      <c r="I413">
        <v>28</v>
      </c>
      <c r="J413">
        <v>3</v>
      </c>
      <c r="K413">
        <v>3</v>
      </c>
      <c r="L413">
        <v>4</v>
      </c>
      <c r="M413">
        <v>2</v>
      </c>
      <c r="N413" t="s">
        <v>31</v>
      </c>
      <c r="O413" t="s">
        <v>32</v>
      </c>
      <c r="P413">
        <v>29</v>
      </c>
      <c r="Q413">
        <v>18</v>
      </c>
      <c r="R413">
        <v>3</v>
      </c>
      <c r="S413" t="s">
        <v>31</v>
      </c>
      <c r="T413">
        <v>2</v>
      </c>
      <c r="U413" t="s">
        <v>31</v>
      </c>
      <c r="V413" s="1">
        <v>44729</v>
      </c>
      <c r="X413" s="1" t="str">
        <f t="shared" si="18"/>
        <v>Active</v>
      </c>
      <c r="Y413" t="str">
        <f t="shared" si="19"/>
        <v>46-55</v>
      </c>
      <c r="Z413" t="str">
        <f t="shared" si="20"/>
        <v>4-5 Years</v>
      </c>
    </row>
    <row r="414" spans="1:26" x14ac:dyDescent="0.35">
      <c r="A414" t="s">
        <v>470</v>
      </c>
      <c r="B414">
        <v>54</v>
      </c>
      <c r="C414" t="s">
        <v>27</v>
      </c>
      <c r="D414" t="s">
        <v>35</v>
      </c>
      <c r="E414" t="s">
        <v>36</v>
      </c>
      <c r="F414" t="s">
        <v>37</v>
      </c>
      <c r="G414">
        <v>84666</v>
      </c>
      <c r="H414">
        <v>5</v>
      </c>
      <c r="I414">
        <v>31</v>
      </c>
      <c r="J414">
        <v>3</v>
      </c>
      <c r="K414">
        <v>3</v>
      </c>
      <c r="L414">
        <v>1</v>
      </c>
      <c r="M414">
        <v>4</v>
      </c>
      <c r="N414" t="s">
        <v>31</v>
      </c>
      <c r="O414" t="s">
        <v>42</v>
      </c>
      <c r="P414">
        <v>21</v>
      </c>
      <c r="Q414">
        <v>19</v>
      </c>
      <c r="R414">
        <v>4</v>
      </c>
      <c r="S414" t="s">
        <v>31</v>
      </c>
      <c r="T414">
        <v>7</v>
      </c>
      <c r="U414" t="s">
        <v>31</v>
      </c>
      <c r="V414" s="1">
        <v>41045</v>
      </c>
      <c r="X414" s="1" t="str">
        <f t="shared" si="18"/>
        <v>Active</v>
      </c>
      <c r="Y414" t="str">
        <f t="shared" si="19"/>
        <v>46-55</v>
      </c>
      <c r="Z414" t="str">
        <f t="shared" si="20"/>
        <v>4-5 Years</v>
      </c>
    </row>
    <row r="415" spans="1:26" x14ac:dyDescent="0.35">
      <c r="A415" t="s">
        <v>471</v>
      </c>
      <c r="B415">
        <v>43</v>
      </c>
      <c r="C415" t="s">
        <v>27</v>
      </c>
      <c r="D415" t="s">
        <v>52</v>
      </c>
      <c r="E415" t="s">
        <v>53</v>
      </c>
      <c r="F415" t="s">
        <v>41</v>
      </c>
      <c r="G415">
        <v>63810</v>
      </c>
      <c r="H415">
        <v>5</v>
      </c>
      <c r="I415">
        <v>21</v>
      </c>
      <c r="J415">
        <v>2</v>
      </c>
      <c r="K415">
        <v>4</v>
      </c>
      <c r="L415">
        <v>3</v>
      </c>
      <c r="M415">
        <v>3</v>
      </c>
      <c r="N415" t="s">
        <v>31</v>
      </c>
      <c r="O415" t="s">
        <v>32</v>
      </c>
      <c r="P415">
        <v>13</v>
      </c>
      <c r="Q415">
        <v>27</v>
      </c>
      <c r="R415">
        <v>3</v>
      </c>
      <c r="S415" t="s">
        <v>33</v>
      </c>
      <c r="T415">
        <v>3</v>
      </c>
      <c r="U415" t="s">
        <v>31</v>
      </c>
      <c r="V415" s="1">
        <v>43776</v>
      </c>
      <c r="X415" s="1" t="str">
        <f t="shared" si="18"/>
        <v>Active</v>
      </c>
      <c r="Y415" t="str">
        <f t="shared" si="19"/>
        <v>36-45</v>
      </c>
      <c r="Z415" t="str">
        <f t="shared" si="20"/>
        <v>4-5 Years</v>
      </c>
    </row>
    <row r="416" spans="1:26" x14ac:dyDescent="0.35">
      <c r="A416" t="s">
        <v>472</v>
      </c>
      <c r="B416">
        <v>46</v>
      </c>
      <c r="C416" t="s">
        <v>44</v>
      </c>
      <c r="D416" t="s">
        <v>35</v>
      </c>
      <c r="E416" t="s">
        <v>85</v>
      </c>
      <c r="F416" t="s">
        <v>78</v>
      </c>
      <c r="G416">
        <v>140508</v>
      </c>
      <c r="H416">
        <v>20</v>
      </c>
      <c r="I416">
        <v>24</v>
      </c>
      <c r="J416">
        <v>5</v>
      </c>
      <c r="K416">
        <v>4</v>
      </c>
      <c r="L416">
        <v>4</v>
      </c>
      <c r="M416">
        <v>4</v>
      </c>
      <c r="N416" t="s">
        <v>31</v>
      </c>
      <c r="O416" t="s">
        <v>32</v>
      </c>
      <c r="P416">
        <v>6</v>
      </c>
      <c r="Q416">
        <v>14</v>
      </c>
      <c r="R416">
        <v>3</v>
      </c>
      <c r="S416" t="s">
        <v>33</v>
      </c>
      <c r="T416">
        <v>9</v>
      </c>
      <c r="U416" t="s">
        <v>31</v>
      </c>
      <c r="V416" s="1">
        <v>41325</v>
      </c>
      <c r="X416" s="1" t="str">
        <f t="shared" si="18"/>
        <v>Active</v>
      </c>
      <c r="Y416" t="str">
        <f t="shared" si="19"/>
        <v>46-55</v>
      </c>
      <c r="Z416" t="str">
        <f t="shared" si="20"/>
        <v>10+ Years</v>
      </c>
    </row>
    <row r="417" spans="1:26" x14ac:dyDescent="0.35">
      <c r="A417" t="s">
        <v>473</v>
      </c>
      <c r="B417">
        <v>52</v>
      </c>
      <c r="C417" t="s">
        <v>27</v>
      </c>
      <c r="D417" t="s">
        <v>45</v>
      </c>
      <c r="E417" t="s">
        <v>63</v>
      </c>
      <c r="F417" t="s">
        <v>30</v>
      </c>
      <c r="G417">
        <v>144439</v>
      </c>
      <c r="H417">
        <v>20</v>
      </c>
      <c r="I417">
        <v>28</v>
      </c>
      <c r="J417">
        <v>5</v>
      </c>
      <c r="K417">
        <v>3</v>
      </c>
      <c r="L417">
        <v>4</v>
      </c>
      <c r="M417">
        <v>1</v>
      </c>
      <c r="N417" t="s">
        <v>31</v>
      </c>
      <c r="O417" t="s">
        <v>42</v>
      </c>
      <c r="P417">
        <v>19</v>
      </c>
      <c r="Q417">
        <v>52</v>
      </c>
      <c r="R417">
        <v>3</v>
      </c>
      <c r="S417" t="s">
        <v>33</v>
      </c>
      <c r="T417">
        <v>5</v>
      </c>
      <c r="U417" t="s">
        <v>31</v>
      </c>
      <c r="V417" s="1">
        <v>43856</v>
      </c>
      <c r="X417" s="1" t="str">
        <f t="shared" si="18"/>
        <v>Active</v>
      </c>
      <c r="Y417" t="str">
        <f t="shared" si="19"/>
        <v>46-55</v>
      </c>
      <c r="Z417" t="str">
        <f t="shared" si="20"/>
        <v>10+ Years</v>
      </c>
    </row>
    <row r="418" spans="1:26" x14ac:dyDescent="0.35">
      <c r="A418" t="s">
        <v>474</v>
      </c>
      <c r="B418">
        <v>55</v>
      </c>
      <c r="C418" t="s">
        <v>44</v>
      </c>
      <c r="D418" t="s">
        <v>35</v>
      </c>
      <c r="E418" t="s">
        <v>85</v>
      </c>
      <c r="F418" t="s">
        <v>61</v>
      </c>
      <c r="G418">
        <v>97506</v>
      </c>
      <c r="H418">
        <v>6</v>
      </c>
      <c r="I418">
        <v>33</v>
      </c>
      <c r="J418">
        <v>4</v>
      </c>
      <c r="K418">
        <v>1</v>
      </c>
      <c r="L418">
        <v>1</v>
      </c>
      <c r="M418">
        <v>4</v>
      </c>
      <c r="N418" t="s">
        <v>31</v>
      </c>
      <c r="O418" t="s">
        <v>32</v>
      </c>
      <c r="P418">
        <v>18</v>
      </c>
      <c r="Q418">
        <v>39</v>
      </c>
      <c r="R418">
        <v>3</v>
      </c>
      <c r="S418" t="s">
        <v>31</v>
      </c>
      <c r="T418">
        <v>4</v>
      </c>
      <c r="U418" t="s">
        <v>31</v>
      </c>
      <c r="V418" s="1">
        <v>43645</v>
      </c>
      <c r="X418" s="1" t="str">
        <f t="shared" si="18"/>
        <v>Active</v>
      </c>
      <c r="Y418" t="str">
        <f t="shared" si="19"/>
        <v>46-55</v>
      </c>
      <c r="Z418" t="str">
        <f t="shared" si="20"/>
        <v>6-10 Years</v>
      </c>
    </row>
    <row r="419" spans="1:26" x14ac:dyDescent="0.35">
      <c r="A419" t="s">
        <v>475</v>
      </c>
      <c r="B419">
        <v>51</v>
      </c>
      <c r="C419" t="s">
        <v>44</v>
      </c>
      <c r="D419" t="s">
        <v>45</v>
      </c>
      <c r="E419" t="s">
        <v>63</v>
      </c>
      <c r="F419" t="s">
        <v>41</v>
      </c>
      <c r="G419">
        <v>122387</v>
      </c>
      <c r="H419">
        <v>12</v>
      </c>
      <c r="I419">
        <v>27</v>
      </c>
      <c r="J419">
        <v>5</v>
      </c>
      <c r="K419">
        <v>3</v>
      </c>
      <c r="L419">
        <v>2</v>
      </c>
      <c r="M419">
        <v>3</v>
      </c>
      <c r="N419" t="s">
        <v>31</v>
      </c>
      <c r="O419" t="s">
        <v>42</v>
      </c>
      <c r="P419">
        <v>19</v>
      </c>
      <c r="Q419">
        <v>18</v>
      </c>
      <c r="R419">
        <v>3</v>
      </c>
      <c r="S419" t="s">
        <v>31</v>
      </c>
      <c r="T419">
        <v>5</v>
      </c>
      <c r="U419" t="s">
        <v>33</v>
      </c>
      <c r="V419" s="1">
        <v>43337</v>
      </c>
      <c r="W419" s="1">
        <v>43450</v>
      </c>
      <c r="X419" s="1" t="str">
        <f t="shared" si="18"/>
        <v>2018-12-16</v>
      </c>
      <c r="Y419" t="str">
        <f t="shared" si="19"/>
        <v>46-55</v>
      </c>
      <c r="Z419" t="str">
        <f t="shared" si="20"/>
        <v>10+ Years</v>
      </c>
    </row>
    <row r="420" spans="1:26" x14ac:dyDescent="0.35">
      <c r="A420" t="s">
        <v>476</v>
      </c>
      <c r="B420">
        <v>50</v>
      </c>
      <c r="C420" t="s">
        <v>27</v>
      </c>
      <c r="D420" t="s">
        <v>28</v>
      </c>
      <c r="E420" t="s">
        <v>29</v>
      </c>
      <c r="F420" t="s">
        <v>30</v>
      </c>
      <c r="G420">
        <v>126866</v>
      </c>
      <c r="H420">
        <v>11</v>
      </c>
      <c r="I420">
        <v>27</v>
      </c>
      <c r="J420">
        <v>5</v>
      </c>
      <c r="K420">
        <v>1</v>
      </c>
      <c r="L420">
        <v>4</v>
      </c>
      <c r="M420">
        <v>3</v>
      </c>
      <c r="N420" t="s">
        <v>31</v>
      </c>
      <c r="O420" t="s">
        <v>42</v>
      </c>
      <c r="P420">
        <v>26</v>
      </c>
      <c r="Q420">
        <v>17</v>
      </c>
      <c r="R420">
        <v>4</v>
      </c>
      <c r="S420" t="s">
        <v>31</v>
      </c>
      <c r="T420">
        <v>4</v>
      </c>
      <c r="U420" t="s">
        <v>31</v>
      </c>
      <c r="V420" s="1">
        <v>41543</v>
      </c>
      <c r="X420" s="1" t="str">
        <f t="shared" si="18"/>
        <v>Active</v>
      </c>
      <c r="Y420" t="str">
        <f t="shared" si="19"/>
        <v>46-55</v>
      </c>
      <c r="Z420" t="str">
        <f t="shared" si="20"/>
        <v>10+ Years</v>
      </c>
    </row>
    <row r="421" spans="1:26" x14ac:dyDescent="0.35">
      <c r="A421" t="s">
        <v>477</v>
      </c>
      <c r="B421">
        <v>57</v>
      </c>
      <c r="C421" t="s">
        <v>27</v>
      </c>
      <c r="D421" t="s">
        <v>49</v>
      </c>
      <c r="E421" t="s">
        <v>50</v>
      </c>
      <c r="F421" t="s">
        <v>78</v>
      </c>
      <c r="G421">
        <v>132324</v>
      </c>
      <c r="H421">
        <v>15</v>
      </c>
      <c r="I421">
        <v>33</v>
      </c>
      <c r="J421">
        <v>5</v>
      </c>
      <c r="K421">
        <v>3</v>
      </c>
      <c r="L421">
        <v>2</v>
      </c>
      <c r="M421">
        <v>3</v>
      </c>
      <c r="N421" t="s">
        <v>33</v>
      </c>
      <c r="O421" t="s">
        <v>32</v>
      </c>
      <c r="P421">
        <v>28</v>
      </c>
      <c r="Q421">
        <v>23</v>
      </c>
      <c r="R421">
        <v>2</v>
      </c>
      <c r="S421" t="s">
        <v>31</v>
      </c>
      <c r="T421">
        <v>5</v>
      </c>
      <c r="U421" t="s">
        <v>31</v>
      </c>
      <c r="V421" s="1">
        <v>42633</v>
      </c>
      <c r="X421" s="1" t="str">
        <f t="shared" si="18"/>
        <v>Active</v>
      </c>
      <c r="Y421" t="str">
        <f t="shared" si="19"/>
        <v>56+</v>
      </c>
      <c r="Z421" t="str">
        <f t="shared" si="20"/>
        <v>10+ Years</v>
      </c>
    </row>
    <row r="422" spans="1:26" x14ac:dyDescent="0.35">
      <c r="A422" t="s">
        <v>478</v>
      </c>
      <c r="B422">
        <v>54</v>
      </c>
      <c r="C422" t="s">
        <v>44</v>
      </c>
      <c r="D422" t="s">
        <v>45</v>
      </c>
      <c r="E422" t="s">
        <v>46</v>
      </c>
      <c r="F422" t="s">
        <v>30</v>
      </c>
      <c r="G422">
        <v>132344</v>
      </c>
      <c r="H422">
        <v>14</v>
      </c>
      <c r="I422">
        <v>31</v>
      </c>
      <c r="J422">
        <v>5</v>
      </c>
      <c r="K422">
        <v>3</v>
      </c>
      <c r="L422">
        <v>3</v>
      </c>
      <c r="M422">
        <v>3</v>
      </c>
      <c r="N422" t="s">
        <v>31</v>
      </c>
      <c r="O422" t="s">
        <v>42</v>
      </c>
      <c r="P422">
        <v>26</v>
      </c>
      <c r="Q422">
        <v>44</v>
      </c>
      <c r="R422">
        <v>4</v>
      </c>
      <c r="S422" t="s">
        <v>33</v>
      </c>
      <c r="T422">
        <v>7</v>
      </c>
      <c r="U422" t="s">
        <v>31</v>
      </c>
      <c r="V422" s="1">
        <v>42107</v>
      </c>
      <c r="X422" s="1" t="str">
        <f t="shared" si="18"/>
        <v>Active</v>
      </c>
      <c r="Y422" t="str">
        <f t="shared" si="19"/>
        <v>46-55</v>
      </c>
      <c r="Z422" t="str">
        <f t="shared" si="20"/>
        <v>10+ Years</v>
      </c>
    </row>
    <row r="423" spans="1:26" x14ac:dyDescent="0.35">
      <c r="A423" t="s">
        <v>479</v>
      </c>
      <c r="B423">
        <v>37</v>
      </c>
      <c r="C423" t="s">
        <v>44</v>
      </c>
      <c r="D423" t="s">
        <v>35</v>
      </c>
      <c r="E423" t="s">
        <v>85</v>
      </c>
      <c r="F423" t="s">
        <v>30</v>
      </c>
      <c r="G423">
        <v>126980</v>
      </c>
      <c r="H423">
        <v>11</v>
      </c>
      <c r="I423">
        <v>13</v>
      </c>
      <c r="J423">
        <v>5</v>
      </c>
      <c r="K423">
        <v>4</v>
      </c>
      <c r="L423">
        <v>4</v>
      </c>
      <c r="M423">
        <v>3</v>
      </c>
      <c r="N423" t="s">
        <v>33</v>
      </c>
      <c r="O423" t="s">
        <v>32</v>
      </c>
      <c r="P423">
        <v>21</v>
      </c>
      <c r="Q423">
        <v>48</v>
      </c>
      <c r="R423">
        <v>3</v>
      </c>
      <c r="S423" t="s">
        <v>33</v>
      </c>
      <c r="T423">
        <v>0</v>
      </c>
      <c r="U423" t="s">
        <v>31</v>
      </c>
      <c r="V423" s="1">
        <v>40932</v>
      </c>
      <c r="X423" s="1" t="str">
        <f t="shared" si="18"/>
        <v>Active</v>
      </c>
      <c r="Y423" t="str">
        <f t="shared" si="19"/>
        <v>36-45</v>
      </c>
      <c r="Z423" t="str">
        <f t="shared" si="20"/>
        <v>10+ Years</v>
      </c>
    </row>
    <row r="424" spans="1:26" x14ac:dyDescent="0.35">
      <c r="A424" t="s">
        <v>480</v>
      </c>
      <c r="B424">
        <v>36</v>
      </c>
      <c r="C424" t="s">
        <v>27</v>
      </c>
      <c r="D424" t="s">
        <v>49</v>
      </c>
      <c r="E424" t="s">
        <v>68</v>
      </c>
      <c r="F424" t="s">
        <v>78</v>
      </c>
      <c r="G424">
        <v>81488</v>
      </c>
      <c r="H424">
        <v>7</v>
      </c>
      <c r="I424">
        <v>13</v>
      </c>
      <c r="J424">
        <v>3</v>
      </c>
      <c r="K424">
        <v>2</v>
      </c>
      <c r="L424">
        <v>2</v>
      </c>
      <c r="M424">
        <v>4</v>
      </c>
      <c r="N424" t="s">
        <v>31</v>
      </c>
      <c r="O424" t="s">
        <v>42</v>
      </c>
      <c r="P424">
        <v>21</v>
      </c>
      <c r="Q424">
        <v>38</v>
      </c>
      <c r="R424">
        <v>2</v>
      </c>
      <c r="S424" t="s">
        <v>33</v>
      </c>
      <c r="T424">
        <v>3</v>
      </c>
      <c r="U424" t="s">
        <v>31</v>
      </c>
      <c r="V424" s="1">
        <v>41167</v>
      </c>
      <c r="X424" s="1" t="str">
        <f t="shared" si="18"/>
        <v>Active</v>
      </c>
      <c r="Y424" t="str">
        <f t="shared" si="19"/>
        <v>36-45</v>
      </c>
      <c r="Z424" t="str">
        <f t="shared" si="20"/>
        <v>6-10 Years</v>
      </c>
    </row>
    <row r="425" spans="1:26" x14ac:dyDescent="0.35">
      <c r="A425" t="s">
        <v>481</v>
      </c>
      <c r="B425">
        <v>36</v>
      </c>
      <c r="C425" t="s">
        <v>44</v>
      </c>
      <c r="D425" t="s">
        <v>39</v>
      </c>
      <c r="E425" t="s">
        <v>59</v>
      </c>
      <c r="F425" t="s">
        <v>78</v>
      </c>
      <c r="G425">
        <v>117924</v>
      </c>
      <c r="H425">
        <v>10</v>
      </c>
      <c r="I425">
        <v>13</v>
      </c>
      <c r="J425">
        <v>5</v>
      </c>
      <c r="K425">
        <v>1</v>
      </c>
      <c r="L425">
        <v>1</v>
      </c>
      <c r="M425">
        <v>4</v>
      </c>
      <c r="N425" t="s">
        <v>33</v>
      </c>
      <c r="O425" t="s">
        <v>32</v>
      </c>
      <c r="P425">
        <v>18</v>
      </c>
      <c r="Q425">
        <v>20</v>
      </c>
      <c r="R425">
        <v>4</v>
      </c>
      <c r="S425" t="s">
        <v>33</v>
      </c>
      <c r="T425">
        <v>8</v>
      </c>
      <c r="U425" t="s">
        <v>31</v>
      </c>
      <c r="V425" s="1">
        <v>42387</v>
      </c>
      <c r="X425" s="1" t="str">
        <f t="shared" si="18"/>
        <v>Active</v>
      </c>
      <c r="Y425" t="str">
        <f t="shared" si="19"/>
        <v>36-45</v>
      </c>
      <c r="Z425" t="str">
        <f t="shared" si="20"/>
        <v>6-10 Years</v>
      </c>
    </row>
    <row r="426" spans="1:26" x14ac:dyDescent="0.35">
      <c r="A426" t="s">
        <v>482</v>
      </c>
      <c r="B426">
        <v>47</v>
      </c>
      <c r="C426" t="s">
        <v>27</v>
      </c>
      <c r="D426" t="s">
        <v>35</v>
      </c>
      <c r="E426" t="s">
        <v>36</v>
      </c>
      <c r="F426" t="s">
        <v>41</v>
      </c>
      <c r="G426">
        <v>142144</v>
      </c>
      <c r="H426">
        <v>20</v>
      </c>
      <c r="I426">
        <v>26</v>
      </c>
      <c r="J426">
        <v>5</v>
      </c>
      <c r="K426">
        <v>3</v>
      </c>
      <c r="L426">
        <v>3</v>
      </c>
      <c r="M426">
        <v>1</v>
      </c>
      <c r="N426" t="s">
        <v>31</v>
      </c>
      <c r="O426" t="s">
        <v>32</v>
      </c>
      <c r="P426">
        <v>10</v>
      </c>
      <c r="Q426">
        <v>56</v>
      </c>
      <c r="R426">
        <v>3</v>
      </c>
      <c r="S426" t="s">
        <v>31</v>
      </c>
      <c r="T426">
        <v>8</v>
      </c>
      <c r="U426" t="s">
        <v>31</v>
      </c>
      <c r="V426" s="1">
        <v>43898</v>
      </c>
      <c r="X426" s="1" t="str">
        <f t="shared" si="18"/>
        <v>Active</v>
      </c>
      <c r="Y426" t="str">
        <f t="shared" si="19"/>
        <v>46-55</v>
      </c>
      <c r="Z426" t="str">
        <f t="shared" si="20"/>
        <v>10+ Years</v>
      </c>
    </row>
    <row r="427" spans="1:26" x14ac:dyDescent="0.35">
      <c r="A427" t="s">
        <v>483</v>
      </c>
      <c r="B427">
        <v>44</v>
      </c>
      <c r="C427" t="s">
        <v>27</v>
      </c>
      <c r="D427" t="s">
        <v>52</v>
      </c>
      <c r="E427" t="s">
        <v>55</v>
      </c>
      <c r="F427" t="s">
        <v>78</v>
      </c>
      <c r="G427">
        <v>120632</v>
      </c>
      <c r="H427">
        <v>10</v>
      </c>
      <c r="I427">
        <v>23</v>
      </c>
      <c r="J427">
        <v>5</v>
      </c>
      <c r="K427">
        <v>1</v>
      </c>
      <c r="L427">
        <v>3</v>
      </c>
      <c r="M427">
        <v>2</v>
      </c>
      <c r="N427" t="s">
        <v>31</v>
      </c>
      <c r="O427" t="s">
        <v>32</v>
      </c>
      <c r="P427">
        <v>4</v>
      </c>
      <c r="Q427">
        <v>36</v>
      </c>
      <c r="R427">
        <v>4</v>
      </c>
      <c r="S427" t="s">
        <v>31</v>
      </c>
      <c r="T427">
        <v>6</v>
      </c>
      <c r="U427" t="s">
        <v>31</v>
      </c>
      <c r="V427" s="1">
        <v>43601</v>
      </c>
      <c r="X427" s="1" t="str">
        <f t="shared" si="18"/>
        <v>Active</v>
      </c>
      <c r="Y427" t="str">
        <f t="shared" si="19"/>
        <v>36-45</v>
      </c>
      <c r="Z427" t="str">
        <f t="shared" si="20"/>
        <v>6-10 Years</v>
      </c>
    </row>
    <row r="428" spans="1:26" x14ac:dyDescent="0.35">
      <c r="A428" t="s">
        <v>484</v>
      </c>
      <c r="B428">
        <v>32</v>
      </c>
      <c r="C428" t="s">
        <v>27</v>
      </c>
      <c r="D428" t="s">
        <v>52</v>
      </c>
      <c r="E428" t="s">
        <v>55</v>
      </c>
      <c r="F428" t="s">
        <v>61</v>
      </c>
      <c r="G428">
        <v>58513</v>
      </c>
      <c r="H428">
        <v>3</v>
      </c>
      <c r="I428">
        <v>10</v>
      </c>
      <c r="J428">
        <v>2</v>
      </c>
      <c r="K428">
        <v>2</v>
      </c>
      <c r="L428">
        <v>3</v>
      </c>
      <c r="M428">
        <v>2</v>
      </c>
      <c r="N428" t="s">
        <v>31</v>
      </c>
      <c r="O428" t="s">
        <v>32</v>
      </c>
      <c r="P428">
        <v>5</v>
      </c>
      <c r="Q428">
        <v>18</v>
      </c>
      <c r="R428">
        <v>2</v>
      </c>
      <c r="S428" t="s">
        <v>31</v>
      </c>
      <c r="T428">
        <v>4</v>
      </c>
      <c r="U428" t="s">
        <v>31</v>
      </c>
      <c r="V428" s="1">
        <v>43019</v>
      </c>
      <c r="X428" s="1" t="str">
        <f t="shared" si="18"/>
        <v>Active</v>
      </c>
      <c r="Y428" t="str">
        <f t="shared" si="19"/>
        <v>26-35</v>
      </c>
      <c r="Z428" t="str">
        <f t="shared" si="20"/>
        <v>2-3 Years</v>
      </c>
    </row>
    <row r="429" spans="1:26" x14ac:dyDescent="0.35">
      <c r="A429" t="s">
        <v>485</v>
      </c>
      <c r="B429">
        <v>44</v>
      </c>
      <c r="C429" t="s">
        <v>44</v>
      </c>
      <c r="D429" t="s">
        <v>35</v>
      </c>
      <c r="E429" t="s">
        <v>36</v>
      </c>
      <c r="F429" t="s">
        <v>37</v>
      </c>
      <c r="G429">
        <v>59331</v>
      </c>
      <c r="H429">
        <v>2</v>
      </c>
      <c r="I429">
        <v>21</v>
      </c>
      <c r="J429">
        <v>2</v>
      </c>
      <c r="K429">
        <v>4</v>
      </c>
      <c r="L429">
        <v>3</v>
      </c>
      <c r="M429">
        <v>1</v>
      </c>
      <c r="N429" t="s">
        <v>31</v>
      </c>
      <c r="O429" t="s">
        <v>32</v>
      </c>
      <c r="P429">
        <v>9</v>
      </c>
      <c r="Q429">
        <v>26</v>
      </c>
      <c r="R429">
        <v>3</v>
      </c>
      <c r="S429" t="s">
        <v>31</v>
      </c>
      <c r="T429">
        <v>6</v>
      </c>
      <c r="U429" t="s">
        <v>31</v>
      </c>
      <c r="V429" s="1">
        <v>42823</v>
      </c>
      <c r="X429" s="1" t="str">
        <f t="shared" si="18"/>
        <v>Active</v>
      </c>
      <c r="Y429" t="str">
        <f t="shared" si="19"/>
        <v>36-45</v>
      </c>
      <c r="Z429" t="str">
        <f t="shared" si="20"/>
        <v>2-3 Years</v>
      </c>
    </row>
    <row r="430" spans="1:26" x14ac:dyDescent="0.35">
      <c r="A430" t="s">
        <v>486</v>
      </c>
      <c r="B430">
        <v>31</v>
      </c>
      <c r="C430" t="s">
        <v>44</v>
      </c>
      <c r="D430" t="s">
        <v>28</v>
      </c>
      <c r="E430" t="s">
        <v>29</v>
      </c>
      <c r="F430" t="s">
        <v>61</v>
      </c>
      <c r="G430">
        <v>104557</v>
      </c>
      <c r="H430">
        <v>9</v>
      </c>
      <c r="I430">
        <v>9</v>
      </c>
      <c r="J430">
        <v>4</v>
      </c>
      <c r="K430">
        <v>4</v>
      </c>
      <c r="L430">
        <v>2</v>
      </c>
      <c r="M430">
        <v>4</v>
      </c>
      <c r="N430" t="s">
        <v>31</v>
      </c>
      <c r="O430" t="s">
        <v>32</v>
      </c>
      <c r="P430">
        <v>29</v>
      </c>
      <c r="Q430">
        <v>10</v>
      </c>
      <c r="R430">
        <v>3</v>
      </c>
      <c r="S430" t="s">
        <v>33</v>
      </c>
      <c r="T430">
        <v>8</v>
      </c>
      <c r="U430" t="s">
        <v>31</v>
      </c>
      <c r="V430" s="1">
        <v>43634</v>
      </c>
      <c r="X430" s="1" t="str">
        <f t="shared" si="18"/>
        <v>Active</v>
      </c>
      <c r="Y430" t="str">
        <f t="shared" si="19"/>
        <v>26-35</v>
      </c>
      <c r="Z430" t="str">
        <f t="shared" si="20"/>
        <v>6-10 Years</v>
      </c>
    </row>
    <row r="431" spans="1:26" x14ac:dyDescent="0.35">
      <c r="A431" t="s">
        <v>487</v>
      </c>
      <c r="B431">
        <v>56</v>
      </c>
      <c r="C431" t="s">
        <v>44</v>
      </c>
      <c r="D431" t="s">
        <v>49</v>
      </c>
      <c r="E431" t="s">
        <v>50</v>
      </c>
      <c r="F431" t="s">
        <v>30</v>
      </c>
      <c r="G431">
        <v>125110</v>
      </c>
      <c r="H431">
        <v>14</v>
      </c>
      <c r="I431">
        <v>33</v>
      </c>
      <c r="J431">
        <v>5</v>
      </c>
      <c r="K431">
        <v>2</v>
      </c>
      <c r="L431">
        <v>3</v>
      </c>
      <c r="M431">
        <v>4</v>
      </c>
      <c r="N431" t="s">
        <v>33</v>
      </c>
      <c r="O431" t="s">
        <v>32</v>
      </c>
      <c r="P431">
        <v>25</v>
      </c>
      <c r="Q431">
        <v>58</v>
      </c>
      <c r="R431">
        <v>3</v>
      </c>
      <c r="S431" t="s">
        <v>31</v>
      </c>
      <c r="T431">
        <v>3</v>
      </c>
      <c r="U431" t="s">
        <v>31</v>
      </c>
      <c r="V431" s="1">
        <v>42815</v>
      </c>
      <c r="X431" s="1" t="str">
        <f t="shared" si="18"/>
        <v>Active</v>
      </c>
      <c r="Y431" t="str">
        <f t="shared" si="19"/>
        <v>56+</v>
      </c>
      <c r="Z431" t="str">
        <f t="shared" si="20"/>
        <v>10+ Years</v>
      </c>
    </row>
    <row r="432" spans="1:26" x14ac:dyDescent="0.35">
      <c r="A432" t="s">
        <v>488</v>
      </c>
      <c r="B432">
        <v>35</v>
      </c>
      <c r="C432" t="s">
        <v>27</v>
      </c>
      <c r="D432" t="s">
        <v>35</v>
      </c>
      <c r="E432" t="s">
        <v>36</v>
      </c>
      <c r="F432" t="s">
        <v>41</v>
      </c>
      <c r="G432">
        <v>60521</v>
      </c>
      <c r="H432">
        <v>3</v>
      </c>
      <c r="I432">
        <v>11</v>
      </c>
      <c r="J432">
        <v>2</v>
      </c>
      <c r="K432">
        <v>4</v>
      </c>
      <c r="L432">
        <v>2</v>
      </c>
      <c r="M432">
        <v>1</v>
      </c>
      <c r="N432" t="s">
        <v>31</v>
      </c>
      <c r="O432" t="s">
        <v>32</v>
      </c>
      <c r="P432">
        <v>21</v>
      </c>
      <c r="Q432">
        <v>17</v>
      </c>
      <c r="R432">
        <v>3</v>
      </c>
      <c r="S432" t="s">
        <v>31</v>
      </c>
      <c r="T432">
        <v>2</v>
      </c>
      <c r="U432" t="s">
        <v>31</v>
      </c>
      <c r="V432" s="1">
        <v>41118</v>
      </c>
      <c r="X432" s="1" t="str">
        <f t="shared" si="18"/>
        <v>Active</v>
      </c>
      <c r="Y432" t="str">
        <f t="shared" si="19"/>
        <v>26-35</v>
      </c>
      <c r="Z432" t="str">
        <f t="shared" si="20"/>
        <v>2-3 Years</v>
      </c>
    </row>
    <row r="433" spans="1:26" x14ac:dyDescent="0.35">
      <c r="A433" t="s">
        <v>489</v>
      </c>
      <c r="B433">
        <v>40</v>
      </c>
      <c r="C433" t="s">
        <v>44</v>
      </c>
      <c r="D433" t="s">
        <v>39</v>
      </c>
      <c r="E433" t="s">
        <v>40</v>
      </c>
      <c r="F433" t="s">
        <v>41</v>
      </c>
      <c r="G433">
        <v>44254</v>
      </c>
      <c r="H433">
        <v>1</v>
      </c>
      <c r="I433">
        <v>17</v>
      </c>
      <c r="J433">
        <v>1</v>
      </c>
      <c r="K433">
        <v>3</v>
      </c>
      <c r="L433">
        <v>4</v>
      </c>
      <c r="M433">
        <v>3</v>
      </c>
      <c r="N433" t="s">
        <v>31</v>
      </c>
      <c r="O433" t="s">
        <v>32</v>
      </c>
      <c r="P433">
        <v>5</v>
      </c>
      <c r="Q433">
        <v>32</v>
      </c>
      <c r="R433">
        <v>2</v>
      </c>
      <c r="S433" t="s">
        <v>31</v>
      </c>
      <c r="T433">
        <v>2</v>
      </c>
      <c r="U433" t="s">
        <v>31</v>
      </c>
      <c r="V433" s="1">
        <v>41858</v>
      </c>
      <c r="X433" s="1" t="str">
        <f t="shared" si="18"/>
        <v>Active</v>
      </c>
      <c r="Y433" t="str">
        <f t="shared" si="19"/>
        <v>36-45</v>
      </c>
      <c r="Z433" t="str">
        <f t="shared" si="20"/>
        <v>0-1 Year</v>
      </c>
    </row>
    <row r="434" spans="1:26" x14ac:dyDescent="0.35">
      <c r="A434" t="s">
        <v>490</v>
      </c>
      <c r="B434">
        <v>49</v>
      </c>
      <c r="C434" t="s">
        <v>27</v>
      </c>
      <c r="D434" t="s">
        <v>45</v>
      </c>
      <c r="E434" t="s">
        <v>63</v>
      </c>
      <c r="F434" t="s">
        <v>78</v>
      </c>
      <c r="G434">
        <v>42371</v>
      </c>
      <c r="H434">
        <v>1</v>
      </c>
      <c r="I434">
        <v>26</v>
      </c>
      <c r="J434">
        <v>1</v>
      </c>
      <c r="K434">
        <v>2</v>
      </c>
      <c r="L434">
        <v>4</v>
      </c>
      <c r="M434">
        <v>1</v>
      </c>
      <c r="N434" t="s">
        <v>33</v>
      </c>
      <c r="O434" t="s">
        <v>32</v>
      </c>
      <c r="P434">
        <v>17</v>
      </c>
      <c r="Q434">
        <v>35</v>
      </c>
      <c r="R434">
        <v>3</v>
      </c>
      <c r="S434" t="s">
        <v>31</v>
      </c>
      <c r="T434">
        <v>8</v>
      </c>
      <c r="U434" t="s">
        <v>31</v>
      </c>
      <c r="V434" s="1">
        <v>42535</v>
      </c>
      <c r="X434" s="1" t="str">
        <f t="shared" si="18"/>
        <v>Active</v>
      </c>
      <c r="Y434" t="str">
        <f t="shared" si="19"/>
        <v>46-55</v>
      </c>
      <c r="Z434" t="str">
        <f t="shared" si="20"/>
        <v>0-1 Year</v>
      </c>
    </row>
    <row r="435" spans="1:26" x14ac:dyDescent="0.35">
      <c r="A435" t="s">
        <v>491</v>
      </c>
      <c r="B435">
        <v>36</v>
      </c>
      <c r="C435" t="s">
        <v>44</v>
      </c>
      <c r="D435" t="s">
        <v>49</v>
      </c>
      <c r="E435" t="s">
        <v>68</v>
      </c>
      <c r="F435" t="s">
        <v>78</v>
      </c>
      <c r="G435">
        <v>122553</v>
      </c>
      <c r="H435">
        <v>11</v>
      </c>
      <c r="I435">
        <v>14</v>
      </c>
      <c r="J435">
        <v>5</v>
      </c>
      <c r="K435">
        <v>2</v>
      </c>
      <c r="L435">
        <v>4</v>
      </c>
      <c r="M435">
        <v>1</v>
      </c>
      <c r="N435" t="s">
        <v>31</v>
      </c>
      <c r="O435" t="s">
        <v>32</v>
      </c>
      <c r="P435">
        <v>12</v>
      </c>
      <c r="Q435">
        <v>37</v>
      </c>
      <c r="R435">
        <v>3</v>
      </c>
      <c r="S435" t="s">
        <v>33</v>
      </c>
      <c r="T435">
        <v>6</v>
      </c>
      <c r="U435" t="s">
        <v>31</v>
      </c>
      <c r="V435" s="1">
        <v>44644</v>
      </c>
      <c r="X435" s="1" t="str">
        <f t="shared" si="18"/>
        <v>Active</v>
      </c>
      <c r="Y435" t="str">
        <f t="shared" si="19"/>
        <v>36-45</v>
      </c>
      <c r="Z435" t="str">
        <f t="shared" si="20"/>
        <v>10+ Years</v>
      </c>
    </row>
    <row r="436" spans="1:26" x14ac:dyDescent="0.35">
      <c r="A436" t="s">
        <v>492</v>
      </c>
      <c r="B436">
        <v>45</v>
      </c>
      <c r="C436" t="s">
        <v>44</v>
      </c>
      <c r="D436" t="s">
        <v>49</v>
      </c>
      <c r="E436" t="s">
        <v>50</v>
      </c>
      <c r="F436" t="s">
        <v>37</v>
      </c>
      <c r="G436">
        <v>118527</v>
      </c>
      <c r="H436">
        <v>9</v>
      </c>
      <c r="I436">
        <v>21</v>
      </c>
      <c r="J436">
        <v>5</v>
      </c>
      <c r="K436">
        <v>4</v>
      </c>
      <c r="L436">
        <v>4</v>
      </c>
      <c r="M436">
        <v>4</v>
      </c>
      <c r="N436" t="s">
        <v>31</v>
      </c>
      <c r="O436" t="s">
        <v>32</v>
      </c>
      <c r="P436">
        <v>11</v>
      </c>
      <c r="Q436">
        <v>17</v>
      </c>
      <c r="R436">
        <v>3</v>
      </c>
      <c r="S436" t="s">
        <v>31</v>
      </c>
      <c r="T436">
        <v>3</v>
      </c>
      <c r="U436" t="s">
        <v>31</v>
      </c>
      <c r="V436" s="1">
        <v>41368</v>
      </c>
      <c r="X436" s="1" t="str">
        <f t="shared" si="18"/>
        <v>Active</v>
      </c>
      <c r="Y436" t="str">
        <f t="shared" si="19"/>
        <v>36-45</v>
      </c>
      <c r="Z436" t="str">
        <f t="shared" si="20"/>
        <v>6-10 Years</v>
      </c>
    </row>
    <row r="437" spans="1:26" x14ac:dyDescent="0.35">
      <c r="A437" t="s">
        <v>493</v>
      </c>
      <c r="B437">
        <v>57</v>
      </c>
      <c r="C437" t="s">
        <v>27</v>
      </c>
      <c r="D437" t="s">
        <v>49</v>
      </c>
      <c r="E437" t="s">
        <v>50</v>
      </c>
      <c r="F437" t="s">
        <v>37</v>
      </c>
      <c r="G437">
        <v>131331</v>
      </c>
      <c r="H437">
        <v>16</v>
      </c>
      <c r="I437">
        <v>35</v>
      </c>
      <c r="J437">
        <v>5</v>
      </c>
      <c r="K437">
        <v>3</v>
      </c>
      <c r="L437">
        <v>2</v>
      </c>
      <c r="M437">
        <v>2</v>
      </c>
      <c r="N437" t="s">
        <v>31</v>
      </c>
      <c r="O437" t="s">
        <v>42</v>
      </c>
      <c r="P437">
        <v>22</v>
      </c>
      <c r="Q437">
        <v>57</v>
      </c>
      <c r="R437">
        <v>3</v>
      </c>
      <c r="S437" t="s">
        <v>33</v>
      </c>
      <c r="T437">
        <v>3</v>
      </c>
      <c r="U437" t="s">
        <v>31</v>
      </c>
      <c r="V437" s="1">
        <v>41313</v>
      </c>
      <c r="X437" s="1" t="str">
        <f t="shared" si="18"/>
        <v>Active</v>
      </c>
      <c r="Y437" t="str">
        <f t="shared" si="19"/>
        <v>56+</v>
      </c>
      <c r="Z437" t="str">
        <f t="shared" si="20"/>
        <v>10+ Years</v>
      </c>
    </row>
    <row r="438" spans="1:26" x14ac:dyDescent="0.35">
      <c r="A438" t="s">
        <v>494</v>
      </c>
      <c r="B438">
        <v>22</v>
      </c>
      <c r="C438" t="s">
        <v>27</v>
      </c>
      <c r="D438" t="s">
        <v>28</v>
      </c>
      <c r="E438" t="s">
        <v>66</v>
      </c>
      <c r="F438" t="s">
        <v>61</v>
      </c>
      <c r="G438">
        <v>43622</v>
      </c>
      <c r="H438">
        <v>0</v>
      </c>
      <c r="I438">
        <v>1</v>
      </c>
      <c r="J438">
        <v>1</v>
      </c>
      <c r="K438">
        <v>3</v>
      </c>
      <c r="L438">
        <v>3</v>
      </c>
      <c r="M438">
        <v>2</v>
      </c>
      <c r="N438" t="s">
        <v>31</v>
      </c>
      <c r="O438" t="s">
        <v>42</v>
      </c>
      <c r="P438">
        <v>16</v>
      </c>
      <c r="Q438">
        <v>35</v>
      </c>
      <c r="R438">
        <v>2</v>
      </c>
      <c r="S438" t="s">
        <v>31</v>
      </c>
      <c r="T438">
        <v>5</v>
      </c>
      <c r="U438" t="s">
        <v>31</v>
      </c>
      <c r="V438" s="1">
        <v>41449</v>
      </c>
      <c r="X438" s="1" t="str">
        <f t="shared" si="18"/>
        <v>Active</v>
      </c>
      <c r="Y438" t="str">
        <f t="shared" si="19"/>
        <v>18-25</v>
      </c>
      <c r="Z438" t="str">
        <f t="shared" si="20"/>
        <v>0-1 Year</v>
      </c>
    </row>
    <row r="439" spans="1:26" x14ac:dyDescent="0.35">
      <c r="A439" t="s">
        <v>495</v>
      </c>
      <c r="B439">
        <v>40</v>
      </c>
      <c r="C439" t="s">
        <v>27</v>
      </c>
      <c r="D439" t="s">
        <v>28</v>
      </c>
      <c r="E439" t="s">
        <v>66</v>
      </c>
      <c r="F439" t="s">
        <v>37</v>
      </c>
      <c r="G439">
        <v>56185</v>
      </c>
      <c r="H439">
        <v>2</v>
      </c>
      <c r="I439">
        <v>17</v>
      </c>
      <c r="J439">
        <v>2</v>
      </c>
      <c r="K439">
        <v>1</v>
      </c>
      <c r="L439">
        <v>4</v>
      </c>
      <c r="M439">
        <v>1</v>
      </c>
      <c r="N439" t="s">
        <v>31</v>
      </c>
      <c r="O439" t="s">
        <v>32</v>
      </c>
      <c r="P439">
        <v>20</v>
      </c>
      <c r="Q439">
        <v>57</v>
      </c>
      <c r="R439">
        <v>3</v>
      </c>
      <c r="S439" t="s">
        <v>31</v>
      </c>
      <c r="T439">
        <v>2</v>
      </c>
      <c r="U439" t="s">
        <v>31</v>
      </c>
      <c r="V439" s="1">
        <v>43679</v>
      </c>
      <c r="X439" s="1" t="str">
        <f t="shared" si="18"/>
        <v>Active</v>
      </c>
      <c r="Y439" t="str">
        <f t="shared" si="19"/>
        <v>36-45</v>
      </c>
      <c r="Z439" t="str">
        <f t="shared" si="20"/>
        <v>2-3 Years</v>
      </c>
    </row>
    <row r="440" spans="1:26" x14ac:dyDescent="0.35">
      <c r="A440" t="s">
        <v>496</v>
      </c>
      <c r="B440">
        <v>27</v>
      </c>
      <c r="C440" t="s">
        <v>27</v>
      </c>
      <c r="D440" t="s">
        <v>39</v>
      </c>
      <c r="E440" t="s">
        <v>59</v>
      </c>
      <c r="F440" t="s">
        <v>56</v>
      </c>
      <c r="G440">
        <v>78109</v>
      </c>
      <c r="H440">
        <v>3</v>
      </c>
      <c r="I440">
        <v>3</v>
      </c>
      <c r="J440">
        <v>3</v>
      </c>
      <c r="K440">
        <v>2</v>
      </c>
      <c r="L440">
        <v>1</v>
      </c>
      <c r="M440">
        <v>1</v>
      </c>
      <c r="N440" t="s">
        <v>33</v>
      </c>
      <c r="O440" t="s">
        <v>32</v>
      </c>
      <c r="P440">
        <v>16</v>
      </c>
      <c r="Q440">
        <v>16</v>
      </c>
      <c r="R440">
        <v>2</v>
      </c>
      <c r="S440" t="s">
        <v>31</v>
      </c>
      <c r="T440">
        <v>7</v>
      </c>
      <c r="U440" t="s">
        <v>31</v>
      </c>
      <c r="V440" s="1">
        <v>42658</v>
      </c>
      <c r="X440" s="1" t="str">
        <f t="shared" si="18"/>
        <v>Active</v>
      </c>
      <c r="Y440" t="str">
        <f t="shared" si="19"/>
        <v>26-35</v>
      </c>
      <c r="Z440" t="str">
        <f t="shared" si="20"/>
        <v>2-3 Years</v>
      </c>
    </row>
    <row r="441" spans="1:26" x14ac:dyDescent="0.35">
      <c r="A441" t="s">
        <v>497</v>
      </c>
      <c r="B441">
        <v>27</v>
      </c>
      <c r="C441" t="s">
        <v>27</v>
      </c>
      <c r="D441" t="s">
        <v>45</v>
      </c>
      <c r="E441" t="s">
        <v>63</v>
      </c>
      <c r="F441" t="s">
        <v>30</v>
      </c>
      <c r="G441">
        <v>62188</v>
      </c>
      <c r="H441">
        <v>2</v>
      </c>
      <c r="I441">
        <v>3</v>
      </c>
      <c r="J441">
        <v>2</v>
      </c>
      <c r="K441">
        <v>1</v>
      </c>
      <c r="L441">
        <v>2</v>
      </c>
      <c r="M441">
        <v>4</v>
      </c>
      <c r="N441" t="s">
        <v>31</v>
      </c>
      <c r="O441" t="s">
        <v>32</v>
      </c>
      <c r="P441">
        <v>27</v>
      </c>
      <c r="Q441">
        <v>47</v>
      </c>
      <c r="R441">
        <v>3</v>
      </c>
      <c r="S441" t="s">
        <v>31</v>
      </c>
      <c r="T441">
        <v>4</v>
      </c>
      <c r="U441" t="s">
        <v>33</v>
      </c>
      <c r="V441" s="1">
        <v>42749</v>
      </c>
      <c r="W441" s="1">
        <v>43017</v>
      </c>
      <c r="X441" s="1" t="str">
        <f t="shared" si="18"/>
        <v>2017-10-09</v>
      </c>
      <c r="Y441" t="str">
        <f t="shared" si="19"/>
        <v>26-35</v>
      </c>
      <c r="Z441" t="str">
        <f t="shared" si="20"/>
        <v>2-3 Years</v>
      </c>
    </row>
    <row r="442" spans="1:26" x14ac:dyDescent="0.35">
      <c r="A442" t="s">
        <v>498</v>
      </c>
      <c r="B442">
        <v>34</v>
      </c>
      <c r="C442" t="s">
        <v>44</v>
      </c>
      <c r="D442" t="s">
        <v>45</v>
      </c>
      <c r="E442" t="s">
        <v>46</v>
      </c>
      <c r="F442" t="s">
        <v>61</v>
      </c>
      <c r="G442">
        <v>74540</v>
      </c>
      <c r="H442">
        <v>3</v>
      </c>
      <c r="I442">
        <v>12</v>
      </c>
      <c r="J442">
        <v>3</v>
      </c>
      <c r="K442">
        <v>3</v>
      </c>
      <c r="L442">
        <v>2</v>
      </c>
      <c r="M442">
        <v>2</v>
      </c>
      <c r="N442" t="s">
        <v>31</v>
      </c>
      <c r="O442" t="s">
        <v>32</v>
      </c>
      <c r="P442">
        <v>17</v>
      </c>
      <c r="Q442">
        <v>31</v>
      </c>
      <c r="R442">
        <v>4</v>
      </c>
      <c r="S442" t="s">
        <v>31</v>
      </c>
      <c r="T442">
        <v>7</v>
      </c>
      <c r="U442" t="s">
        <v>31</v>
      </c>
      <c r="V442" s="1">
        <v>41671</v>
      </c>
      <c r="X442" s="1" t="str">
        <f t="shared" si="18"/>
        <v>Active</v>
      </c>
      <c r="Y442" t="str">
        <f t="shared" si="19"/>
        <v>26-35</v>
      </c>
      <c r="Z442" t="str">
        <f t="shared" si="20"/>
        <v>2-3 Years</v>
      </c>
    </row>
    <row r="443" spans="1:26" x14ac:dyDescent="0.35">
      <c r="A443" t="s">
        <v>499</v>
      </c>
      <c r="B443">
        <v>47</v>
      </c>
      <c r="C443" t="s">
        <v>44</v>
      </c>
      <c r="D443" t="s">
        <v>45</v>
      </c>
      <c r="E443" t="s">
        <v>63</v>
      </c>
      <c r="F443" t="s">
        <v>56</v>
      </c>
      <c r="G443">
        <v>130998</v>
      </c>
      <c r="H443">
        <v>13</v>
      </c>
      <c r="I443">
        <v>24</v>
      </c>
      <c r="J443">
        <v>5</v>
      </c>
      <c r="K443">
        <v>4</v>
      </c>
      <c r="L443">
        <v>3</v>
      </c>
      <c r="M443">
        <v>4</v>
      </c>
      <c r="N443" t="s">
        <v>31</v>
      </c>
      <c r="O443" t="s">
        <v>47</v>
      </c>
      <c r="P443">
        <v>13</v>
      </c>
      <c r="Q443">
        <v>21</v>
      </c>
      <c r="R443">
        <v>3</v>
      </c>
      <c r="S443" t="s">
        <v>33</v>
      </c>
      <c r="T443">
        <v>0</v>
      </c>
      <c r="U443" t="s">
        <v>33</v>
      </c>
      <c r="V443" s="1">
        <v>41623</v>
      </c>
      <c r="W443" s="1">
        <v>42037</v>
      </c>
      <c r="X443" s="1" t="str">
        <f t="shared" si="18"/>
        <v>2015-02-02</v>
      </c>
      <c r="Y443" t="str">
        <f t="shared" si="19"/>
        <v>46-55</v>
      </c>
      <c r="Z443" t="str">
        <f t="shared" si="20"/>
        <v>10+ Years</v>
      </c>
    </row>
    <row r="444" spans="1:26" x14ac:dyDescent="0.35">
      <c r="A444" t="s">
        <v>500</v>
      </c>
      <c r="B444">
        <v>52</v>
      </c>
      <c r="C444" t="s">
        <v>27</v>
      </c>
      <c r="D444" t="s">
        <v>45</v>
      </c>
      <c r="E444" t="s">
        <v>46</v>
      </c>
      <c r="F444" t="s">
        <v>78</v>
      </c>
      <c r="G444">
        <v>147144</v>
      </c>
      <c r="H444">
        <v>24</v>
      </c>
      <c r="I444">
        <v>30</v>
      </c>
      <c r="J444">
        <v>5</v>
      </c>
      <c r="K444">
        <v>2</v>
      </c>
      <c r="L444">
        <v>3</v>
      </c>
      <c r="M444">
        <v>4</v>
      </c>
      <c r="N444" t="s">
        <v>33</v>
      </c>
      <c r="O444" t="s">
        <v>32</v>
      </c>
      <c r="P444">
        <v>25</v>
      </c>
      <c r="Q444">
        <v>24</v>
      </c>
      <c r="R444">
        <v>3</v>
      </c>
      <c r="S444" t="s">
        <v>31</v>
      </c>
      <c r="T444">
        <v>4</v>
      </c>
      <c r="U444" t="s">
        <v>31</v>
      </c>
      <c r="V444" s="1">
        <v>42132</v>
      </c>
      <c r="X444" s="1" t="str">
        <f t="shared" si="18"/>
        <v>Active</v>
      </c>
      <c r="Y444" t="str">
        <f t="shared" si="19"/>
        <v>46-55</v>
      </c>
      <c r="Z444" t="str">
        <f t="shared" si="20"/>
        <v>10+ Years</v>
      </c>
    </row>
    <row r="445" spans="1:26" x14ac:dyDescent="0.35">
      <c r="A445" t="s">
        <v>501</v>
      </c>
      <c r="B445">
        <v>35</v>
      </c>
      <c r="C445" t="s">
        <v>44</v>
      </c>
      <c r="D445" t="s">
        <v>28</v>
      </c>
      <c r="E445" t="s">
        <v>29</v>
      </c>
      <c r="F445" t="s">
        <v>41</v>
      </c>
      <c r="G445">
        <v>42709</v>
      </c>
      <c r="H445">
        <v>1</v>
      </c>
      <c r="I445">
        <v>14</v>
      </c>
      <c r="J445">
        <v>1</v>
      </c>
      <c r="K445">
        <v>3</v>
      </c>
      <c r="L445">
        <v>4</v>
      </c>
      <c r="M445">
        <v>4</v>
      </c>
      <c r="N445" t="s">
        <v>31</v>
      </c>
      <c r="O445" t="s">
        <v>42</v>
      </c>
      <c r="P445">
        <v>29</v>
      </c>
      <c r="Q445">
        <v>17</v>
      </c>
      <c r="R445">
        <v>3</v>
      </c>
      <c r="S445" t="s">
        <v>31</v>
      </c>
      <c r="T445">
        <v>3</v>
      </c>
      <c r="U445" t="s">
        <v>31</v>
      </c>
      <c r="V445" s="1">
        <v>43702</v>
      </c>
      <c r="X445" s="1" t="str">
        <f t="shared" si="18"/>
        <v>Active</v>
      </c>
      <c r="Y445" t="str">
        <f t="shared" si="19"/>
        <v>26-35</v>
      </c>
      <c r="Z445" t="str">
        <f t="shared" si="20"/>
        <v>0-1 Year</v>
      </c>
    </row>
    <row r="446" spans="1:26" x14ac:dyDescent="0.35">
      <c r="A446" t="s">
        <v>502</v>
      </c>
      <c r="B446">
        <v>52</v>
      </c>
      <c r="C446" t="s">
        <v>27</v>
      </c>
      <c r="D446" t="s">
        <v>28</v>
      </c>
      <c r="E446" t="s">
        <v>66</v>
      </c>
      <c r="F446" t="s">
        <v>41</v>
      </c>
      <c r="G446">
        <v>122963</v>
      </c>
      <c r="H446">
        <v>12</v>
      </c>
      <c r="I446">
        <v>31</v>
      </c>
      <c r="J446">
        <v>5</v>
      </c>
      <c r="K446">
        <v>4</v>
      </c>
      <c r="L446">
        <v>1</v>
      </c>
      <c r="M446">
        <v>3</v>
      </c>
      <c r="N446" t="s">
        <v>31</v>
      </c>
      <c r="O446" t="s">
        <v>32</v>
      </c>
      <c r="P446">
        <v>11</v>
      </c>
      <c r="Q446">
        <v>58</v>
      </c>
      <c r="R446">
        <v>3</v>
      </c>
      <c r="S446" t="s">
        <v>31</v>
      </c>
      <c r="T446">
        <v>5</v>
      </c>
      <c r="U446" t="s">
        <v>31</v>
      </c>
      <c r="V446" s="1">
        <v>42112</v>
      </c>
      <c r="X446" s="1" t="str">
        <f t="shared" si="18"/>
        <v>Active</v>
      </c>
      <c r="Y446" t="str">
        <f t="shared" si="19"/>
        <v>46-55</v>
      </c>
      <c r="Z446" t="str">
        <f t="shared" si="20"/>
        <v>10+ Years</v>
      </c>
    </row>
    <row r="447" spans="1:26" x14ac:dyDescent="0.35">
      <c r="A447" t="s">
        <v>503</v>
      </c>
      <c r="B447">
        <v>29</v>
      </c>
      <c r="C447" t="s">
        <v>44</v>
      </c>
      <c r="D447" t="s">
        <v>35</v>
      </c>
      <c r="E447" t="s">
        <v>85</v>
      </c>
      <c r="F447" t="s">
        <v>41</v>
      </c>
      <c r="G447">
        <v>78944</v>
      </c>
      <c r="H447">
        <v>3</v>
      </c>
      <c r="I447">
        <v>6</v>
      </c>
      <c r="J447">
        <v>3</v>
      </c>
      <c r="K447">
        <v>3</v>
      </c>
      <c r="L447">
        <v>2</v>
      </c>
      <c r="M447">
        <v>2</v>
      </c>
      <c r="N447" t="s">
        <v>33</v>
      </c>
      <c r="O447" t="s">
        <v>32</v>
      </c>
      <c r="P447">
        <v>5</v>
      </c>
      <c r="Q447">
        <v>40</v>
      </c>
      <c r="R447">
        <v>3</v>
      </c>
      <c r="S447" t="s">
        <v>31</v>
      </c>
      <c r="T447">
        <v>6</v>
      </c>
      <c r="U447" t="s">
        <v>33</v>
      </c>
      <c r="V447" s="1">
        <v>44206</v>
      </c>
      <c r="W447" s="1">
        <v>44475</v>
      </c>
      <c r="X447" s="1" t="str">
        <f t="shared" si="18"/>
        <v>2021-10-06</v>
      </c>
      <c r="Y447" t="str">
        <f t="shared" si="19"/>
        <v>26-35</v>
      </c>
      <c r="Z447" t="str">
        <f t="shared" si="20"/>
        <v>2-3 Years</v>
      </c>
    </row>
    <row r="448" spans="1:26" x14ac:dyDescent="0.35">
      <c r="A448" t="s">
        <v>504</v>
      </c>
      <c r="B448">
        <v>43</v>
      </c>
      <c r="C448" t="s">
        <v>44</v>
      </c>
      <c r="D448" t="s">
        <v>39</v>
      </c>
      <c r="E448" t="s">
        <v>59</v>
      </c>
      <c r="F448" t="s">
        <v>56</v>
      </c>
      <c r="G448">
        <v>132546</v>
      </c>
      <c r="H448">
        <v>14</v>
      </c>
      <c r="I448">
        <v>19</v>
      </c>
      <c r="J448">
        <v>5</v>
      </c>
      <c r="K448">
        <v>1</v>
      </c>
      <c r="L448">
        <v>3</v>
      </c>
      <c r="M448">
        <v>2</v>
      </c>
      <c r="N448" t="s">
        <v>31</v>
      </c>
      <c r="O448" t="s">
        <v>42</v>
      </c>
      <c r="P448">
        <v>9</v>
      </c>
      <c r="Q448">
        <v>57</v>
      </c>
      <c r="R448">
        <v>4</v>
      </c>
      <c r="S448" t="s">
        <v>31</v>
      </c>
      <c r="T448">
        <v>2</v>
      </c>
      <c r="U448" t="s">
        <v>31</v>
      </c>
      <c r="V448" s="1">
        <v>44841</v>
      </c>
      <c r="X448" s="1" t="str">
        <f t="shared" si="18"/>
        <v>Active</v>
      </c>
      <c r="Y448" t="str">
        <f t="shared" si="19"/>
        <v>36-45</v>
      </c>
      <c r="Z448" t="str">
        <f t="shared" si="20"/>
        <v>10+ Years</v>
      </c>
    </row>
    <row r="449" spans="1:26" x14ac:dyDescent="0.35">
      <c r="A449" t="s">
        <v>505</v>
      </c>
      <c r="B449">
        <v>41</v>
      </c>
      <c r="C449" t="s">
        <v>27</v>
      </c>
      <c r="D449" t="s">
        <v>52</v>
      </c>
      <c r="E449" t="s">
        <v>55</v>
      </c>
      <c r="F449" t="s">
        <v>41</v>
      </c>
      <c r="G449">
        <v>126511</v>
      </c>
      <c r="H449">
        <v>12</v>
      </c>
      <c r="I449">
        <v>19</v>
      </c>
      <c r="J449">
        <v>5</v>
      </c>
      <c r="K449">
        <v>4</v>
      </c>
      <c r="L449">
        <v>1</v>
      </c>
      <c r="M449">
        <v>3</v>
      </c>
      <c r="N449" t="s">
        <v>31</v>
      </c>
      <c r="O449" t="s">
        <v>32</v>
      </c>
      <c r="P449">
        <v>12</v>
      </c>
      <c r="Q449">
        <v>40</v>
      </c>
      <c r="R449">
        <v>3</v>
      </c>
      <c r="S449" t="s">
        <v>31</v>
      </c>
      <c r="T449">
        <v>6</v>
      </c>
      <c r="U449" t="s">
        <v>31</v>
      </c>
      <c r="V449" s="1">
        <v>43800</v>
      </c>
      <c r="X449" s="1" t="str">
        <f t="shared" si="18"/>
        <v>Active</v>
      </c>
      <c r="Y449" t="str">
        <f t="shared" si="19"/>
        <v>36-45</v>
      </c>
      <c r="Z449" t="str">
        <f t="shared" si="20"/>
        <v>10+ Years</v>
      </c>
    </row>
    <row r="450" spans="1:26" x14ac:dyDescent="0.35">
      <c r="A450" t="s">
        <v>506</v>
      </c>
      <c r="B450">
        <v>42</v>
      </c>
      <c r="C450" t="s">
        <v>44</v>
      </c>
      <c r="D450" t="s">
        <v>28</v>
      </c>
      <c r="E450" t="s">
        <v>66</v>
      </c>
      <c r="F450" t="s">
        <v>30</v>
      </c>
      <c r="G450">
        <v>76614</v>
      </c>
      <c r="H450">
        <v>4</v>
      </c>
      <c r="I450">
        <v>18</v>
      </c>
      <c r="J450">
        <v>3</v>
      </c>
      <c r="K450">
        <v>4</v>
      </c>
      <c r="L450">
        <v>1</v>
      </c>
      <c r="M450">
        <v>1</v>
      </c>
      <c r="N450" t="s">
        <v>31</v>
      </c>
      <c r="O450" t="s">
        <v>32</v>
      </c>
      <c r="P450">
        <v>17</v>
      </c>
      <c r="Q450">
        <v>29</v>
      </c>
      <c r="R450">
        <v>3</v>
      </c>
      <c r="S450" t="s">
        <v>31</v>
      </c>
      <c r="T450">
        <v>4</v>
      </c>
      <c r="U450" t="s">
        <v>31</v>
      </c>
      <c r="V450" s="1">
        <v>42317</v>
      </c>
      <c r="X450" s="1" t="str">
        <f t="shared" si="18"/>
        <v>Active</v>
      </c>
      <c r="Y450" t="str">
        <f t="shared" si="19"/>
        <v>36-45</v>
      </c>
      <c r="Z450" t="str">
        <f t="shared" si="20"/>
        <v>4-5 Years</v>
      </c>
    </row>
    <row r="451" spans="1:26" x14ac:dyDescent="0.35">
      <c r="A451" t="s">
        <v>507</v>
      </c>
      <c r="B451">
        <v>34</v>
      </c>
      <c r="C451" t="s">
        <v>27</v>
      </c>
      <c r="D451" t="s">
        <v>45</v>
      </c>
      <c r="E451" t="s">
        <v>46</v>
      </c>
      <c r="F451" t="s">
        <v>56</v>
      </c>
      <c r="G451">
        <v>126554</v>
      </c>
      <c r="H451">
        <v>13</v>
      </c>
      <c r="I451">
        <v>13</v>
      </c>
      <c r="J451">
        <v>5</v>
      </c>
      <c r="K451">
        <v>3</v>
      </c>
      <c r="L451">
        <v>2</v>
      </c>
      <c r="M451">
        <v>3</v>
      </c>
      <c r="N451" t="s">
        <v>33</v>
      </c>
      <c r="O451" t="s">
        <v>32</v>
      </c>
      <c r="P451">
        <v>19</v>
      </c>
      <c r="Q451">
        <v>51</v>
      </c>
      <c r="R451">
        <v>3</v>
      </c>
      <c r="S451" t="s">
        <v>33</v>
      </c>
      <c r="T451">
        <v>4</v>
      </c>
      <c r="U451" t="s">
        <v>31</v>
      </c>
      <c r="V451" s="1">
        <v>41666</v>
      </c>
      <c r="X451" s="1" t="str">
        <f t="shared" ref="X451:X514" si="21">IF(ISBLANK(W451), "Active", TEXT(W451, "yyyy-mm-dd"))</f>
        <v>Active</v>
      </c>
      <c r="Y451" t="str">
        <f t="shared" ref="Y451:Y514" si="22">_xlfn.IFS(B451&lt;=25, "18-25", B451&lt;=35, "26-35", B451&lt;=45, "36-45", B451&lt;=55, "46-55", B451&gt;55, "56+")</f>
        <v>26-35</v>
      </c>
      <c r="Z451" t="str">
        <f t="shared" ref="Z451:Z514" si="23">_xlfn.IFS(H451&lt;=1, "0-1 Year", H451&lt;=3, "2-3 Years", H451&lt;=5, "4-5 Years", H451&lt;=10, "6-10 Years", H451&gt;10, "10+ Years")</f>
        <v>10+ Years</v>
      </c>
    </row>
    <row r="452" spans="1:26" x14ac:dyDescent="0.35">
      <c r="A452" t="s">
        <v>508</v>
      </c>
      <c r="B452">
        <v>40</v>
      </c>
      <c r="C452" t="s">
        <v>44</v>
      </c>
      <c r="D452" t="s">
        <v>52</v>
      </c>
      <c r="E452" t="s">
        <v>55</v>
      </c>
      <c r="F452" t="s">
        <v>78</v>
      </c>
      <c r="G452">
        <v>128104</v>
      </c>
      <c r="H452">
        <v>15</v>
      </c>
      <c r="I452">
        <v>18</v>
      </c>
      <c r="J452">
        <v>5</v>
      </c>
      <c r="K452">
        <v>2</v>
      </c>
      <c r="L452">
        <v>1</v>
      </c>
      <c r="M452">
        <v>4</v>
      </c>
      <c r="N452" t="s">
        <v>33</v>
      </c>
      <c r="O452" t="s">
        <v>32</v>
      </c>
      <c r="P452">
        <v>22</v>
      </c>
      <c r="Q452">
        <v>27</v>
      </c>
      <c r="R452">
        <v>3</v>
      </c>
      <c r="S452" t="s">
        <v>31</v>
      </c>
      <c r="T452">
        <v>2</v>
      </c>
      <c r="U452" t="s">
        <v>31</v>
      </c>
      <c r="V452" s="1">
        <v>41958</v>
      </c>
      <c r="X452" s="1" t="str">
        <f t="shared" si="21"/>
        <v>Active</v>
      </c>
      <c r="Y452" t="str">
        <f t="shared" si="22"/>
        <v>36-45</v>
      </c>
      <c r="Z452" t="str">
        <f t="shared" si="23"/>
        <v>10+ Years</v>
      </c>
    </row>
    <row r="453" spans="1:26" x14ac:dyDescent="0.35">
      <c r="A453" t="s">
        <v>509</v>
      </c>
      <c r="B453">
        <v>55</v>
      </c>
      <c r="C453" t="s">
        <v>44</v>
      </c>
      <c r="D453" t="s">
        <v>49</v>
      </c>
      <c r="E453" t="s">
        <v>68</v>
      </c>
      <c r="F453" t="s">
        <v>56</v>
      </c>
      <c r="G453">
        <v>127804</v>
      </c>
      <c r="H453">
        <v>14</v>
      </c>
      <c r="I453">
        <v>33</v>
      </c>
      <c r="J453">
        <v>5</v>
      </c>
      <c r="K453">
        <v>2</v>
      </c>
      <c r="L453">
        <v>4</v>
      </c>
      <c r="M453">
        <v>2</v>
      </c>
      <c r="N453" t="s">
        <v>33</v>
      </c>
      <c r="O453" t="s">
        <v>32</v>
      </c>
      <c r="P453">
        <v>15</v>
      </c>
      <c r="Q453">
        <v>33</v>
      </c>
      <c r="R453">
        <v>3</v>
      </c>
      <c r="S453" t="s">
        <v>33</v>
      </c>
      <c r="T453">
        <v>5</v>
      </c>
      <c r="U453" t="s">
        <v>31</v>
      </c>
      <c r="V453" s="1">
        <v>43246</v>
      </c>
      <c r="X453" s="1" t="str">
        <f t="shared" si="21"/>
        <v>Active</v>
      </c>
      <c r="Y453" t="str">
        <f t="shared" si="22"/>
        <v>46-55</v>
      </c>
      <c r="Z453" t="str">
        <f t="shared" si="23"/>
        <v>10+ Years</v>
      </c>
    </row>
    <row r="454" spans="1:26" x14ac:dyDescent="0.35">
      <c r="A454" t="s">
        <v>510</v>
      </c>
      <c r="B454">
        <v>38</v>
      </c>
      <c r="C454" t="s">
        <v>44</v>
      </c>
      <c r="D454" t="s">
        <v>28</v>
      </c>
      <c r="E454" t="s">
        <v>29</v>
      </c>
      <c r="F454" t="s">
        <v>56</v>
      </c>
      <c r="G454">
        <v>129337</v>
      </c>
      <c r="H454">
        <v>15</v>
      </c>
      <c r="I454">
        <v>15</v>
      </c>
      <c r="J454">
        <v>5</v>
      </c>
      <c r="K454">
        <v>4</v>
      </c>
      <c r="L454">
        <v>4</v>
      </c>
      <c r="M454">
        <v>3</v>
      </c>
      <c r="N454" t="s">
        <v>31</v>
      </c>
      <c r="O454" t="s">
        <v>42</v>
      </c>
      <c r="P454">
        <v>6</v>
      </c>
      <c r="Q454">
        <v>41</v>
      </c>
      <c r="R454">
        <v>2</v>
      </c>
      <c r="S454" t="s">
        <v>33</v>
      </c>
      <c r="T454">
        <v>6</v>
      </c>
      <c r="U454" t="s">
        <v>31</v>
      </c>
      <c r="V454" s="1">
        <v>43080</v>
      </c>
      <c r="X454" s="1" t="str">
        <f t="shared" si="21"/>
        <v>Active</v>
      </c>
      <c r="Y454" t="str">
        <f t="shared" si="22"/>
        <v>36-45</v>
      </c>
      <c r="Z454" t="str">
        <f t="shared" si="23"/>
        <v>10+ Years</v>
      </c>
    </row>
    <row r="455" spans="1:26" x14ac:dyDescent="0.35">
      <c r="A455" t="s">
        <v>511</v>
      </c>
      <c r="B455">
        <v>39</v>
      </c>
      <c r="C455" t="s">
        <v>27</v>
      </c>
      <c r="D455" t="s">
        <v>39</v>
      </c>
      <c r="E455" t="s">
        <v>40</v>
      </c>
      <c r="F455" t="s">
        <v>78</v>
      </c>
      <c r="G455">
        <v>77215</v>
      </c>
      <c r="H455">
        <v>3</v>
      </c>
      <c r="I455">
        <v>18</v>
      </c>
      <c r="J455">
        <v>3</v>
      </c>
      <c r="K455">
        <v>2</v>
      </c>
      <c r="L455">
        <v>4</v>
      </c>
      <c r="M455">
        <v>3</v>
      </c>
      <c r="N455" t="s">
        <v>31</v>
      </c>
      <c r="O455" t="s">
        <v>32</v>
      </c>
      <c r="P455">
        <v>2</v>
      </c>
      <c r="Q455">
        <v>33</v>
      </c>
      <c r="R455">
        <v>3</v>
      </c>
      <c r="S455" t="s">
        <v>31</v>
      </c>
      <c r="T455">
        <v>6</v>
      </c>
      <c r="U455" t="s">
        <v>31</v>
      </c>
      <c r="V455" s="1">
        <v>43277</v>
      </c>
      <c r="X455" s="1" t="str">
        <f t="shared" si="21"/>
        <v>Active</v>
      </c>
      <c r="Y455" t="str">
        <f t="shared" si="22"/>
        <v>36-45</v>
      </c>
      <c r="Z455" t="str">
        <f t="shared" si="23"/>
        <v>2-3 Years</v>
      </c>
    </row>
    <row r="456" spans="1:26" x14ac:dyDescent="0.35">
      <c r="A456" t="s">
        <v>512</v>
      </c>
      <c r="B456">
        <v>48</v>
      </c>
      <c r="C456" t="s">
        <v>27</v>
      </c>
      <c r="D456" t="s">
        <v>45</v>
      </c>
      <c r="E456" t="s">
        <v>63</v>
      </c>
      <c r="F456" t="s">
        <v>37</v>
      </c>
      <c r="G456">
        <v>84691</v>
      </c>
      <c r="H456">
        <v>7</v>
      </c>
      <c r="I456">
        <v>25</v>
      </c>
      <c r="J456">
        <v>3</v>
      </c>
      <c r="K456">
        <v>3</v>
      </c>
      <c r="L456">
        <v>2</v>
      </c>
      <c r="M456">
        <v>1</v>
      </c>
      <c r="N456" t="s">
        <v>31</v>
      </c>
      <c r="O456" t="s">
        <v>42</v>
      </c>
      <c r="P456">
        <v>1</v>
      </c>
      <c r="Q456">
        <v>47</v>
      </c>
      <c r="R456">
        <v>3</v>
      </c>
      <c r="S456" t="s">
        <v>33</v>
      </c>
      <c r="T456">
        <v>7</v>
      </c>
      <c r="U456" t="s">
        <v>31</v>
      </c>
      <c r="V456" s="1">
        <v>45101</v>
      </c>
      <c r="X456" s="1" t="str">
        <f t="shared" si="21"/>
        <v>Active</v>
      </c>
      <c r="Y456" t="str">
        <f t="shared" si="22"/>
        <v>46-55</v>
      </c>
      <c r="Z456" t="str">
        <f t="shared" si="23"/>
        <v>6-10 Years</v>
      </c>
    </row>
    <row r="457" spans="1:26" x14ac:dyDescent="0.35">
      <c r="A457" t="s">
        <v>513</v>
      </c>
      <c r="B457">
        <v>47</v>
      </c>
      <c r="C457" t="s">
        <v>27</v>
      </c>
      <c r="D457" t="s">
        <v>28</v>
      </c>
      <c r="E457" t="s">
        <v>29</v>
      </c>
      <c r="F457" t="s">
        <v>30</v>
      </c>
      <c r="G457">
        <v>117921</v>
      </c>
      <c r="H457">
        <v>9</v>
      </c>
      <c r="I457">
        <v>23</v>
      </c>
      <c r="J457">
        <v>5</v>
      </c>
      <c r="K457">
        <v>1</v>
      </c>
      <c r="L457">
        <v>2</v>
      </c>
      <c r="M457">
        <v>2</v>
      </c>
      <c r="N457" t="s">
        <v>31</v>
      </c>
      <c r="O457" t="s">
        <v>32</v>
      </c>
      <c r="P457">
        <v>9</v>
      </c>
      <c r="Q457">
        <v>46</v>
      </c>
      <c r="R457">
        <v>3</v>
      </c>
      <c r="S457" t="s">
        <v>31</v>
      </c>
      <c r="T457">
        <v>5</v>
      </c>
      <c r="U457" t="s">
        <v>31</v>
      </c>
      <c r="V457" s="1">
        <v>41169</v>
      </c>
      <c r="X457" s="1" t="str">
        <f t="shared" si="21"/>
        <v>Active</v>
      </c>
      <c r="Y457" t="str">
        <f t="shared" si="22"/>
        <v>46-55</v>
      </c>
      <c r="Z457" t="str">
        <f t="shared" si="23"/>
        <v>6-10 Years</v>
      </c>
    </row>
    <row r="458" spans="1:26" x14ac:dyDescent="0.35">
      <c r="A458" t="s">
        <v>514</v>
      </c>
      <c r="B458">
        <v>46</v>
      </c>
      <c r="C458" t="s">
        <v>44</v>
      </c>
      <c r="D458" t="s">
        <v>28</v>
      </c>
      <c r="E458" t="s">
        <v>66</v>
      </c>
      <c r="F458" t="s">
        <v>61</v>
      </c>
      <c r="G458">
        <v>135370</v>
      </c>
      <c r="H458">
        <v>17</v>
      </c>
      <c r="I458">
        <v>24</v>
      </c>
      <c r="J458">
        <v>5</v>
      </c>
      <c r="K458">
        <v>2</v>
      </c>
      <c r="L458">
        <v>4</v>
      </c>
      <c r="M458">
        <v>1</v>
      </c>
      <c r="N458" t="s">
        <v>31</v>
      </c>
      <c r="O458" t="s">
        <v>42</v>
      </c>
      <c r="P458">
        <v>11</v>
      </c>
      <c r="Q458">
        <v>17</v>
      </c>
      <c r="R458">
        <v>4</v>
      </c>
      <c r="S458" t="s">
        <v>31</v>
      </c>
      <c r="T458">
        <v>3</v>
      </c>
      <c r="U458" t="s">
        <v>31</v>
      </c>
      <c r="V458" s="1">
        <v>43185</v>
      </c>
      <c r="X458" s="1" t="str">
        <f t="shared" si="21"/>
        <v>Active</v>
      </c>
      <c r="Y458" t="str">
        <f t="shared" si="22"/>
        <v>46-55</v>
      </c>
      <c r="Z458" t="str">
        <f t="shared" si="23"/>
        <v>10+ Years</v>
      </c>
    </row>
    <row r="459" spans="1:26" x14ac:dyDescent="0.35">
      <c r="A459" t="s">
        <v>515</v>
      </c>
      <c r="B459">
        <v>41</v>
      </c>
      <c r="C459" t="s">
        <v>27</v>
      </c>
      <c r="D459" t="s">
        <v>39</v>
      </c>
      <c r="E459" t="s">
        <v>40</v>
      </c>
      <c r="F459" t="s">
        <v>37</v>
      </c>
      <c r="G459">
        <v>85015</v>
      </c>
      <c r="H459">
        <v>7</v>
      </c>
      <c r="I459">
        <v>17</v>
      </c>
      <c r="J459">
        <v>3</v>
      </c>
      <c r="K459">
        <v>3</v>
      </c>
      <c r="L459">
        <v>1</v>
      </c>
      <c r="M459">
        <v>1</v>
      </c>
      <c r="N459" t="s">
        <v>33</v>
      </c>
      <c r="O459" t="s">
        <v>32</v>
      </c>
      <c r="P459">
        <v>2</v>
      </c>
      <c r="Q459">
        <v>18</v>
      </c>
      <c r="R459">
        <v>3</v>
      </c>
      <c r="S459" t="s">
        <v>33</v>
      </c>
      <c r="T459">
        <v>1</v>
      </c>
      <c r="U459" t="s">
        <v>33</v>
      </c>
      <c r="V459" s="1">
        <v>41680</v>
      </c>
      <c r="W459" s="1">
        <v>42519</v>
      </c>
      <c r="X459" s="1" t="str">
        <f t="shared" si="21"/>
        <v>2016-05-29</v>
      </c>
      <c r="Y459" t="str">
        <f t="shared" si="22"/>
        <v>36-45</v>
      </c>
      <c r="Z459" t="str">
        <f t="shared" si="23"/>
        <v>6-10 Years</v>
      </c>
    </row>
    <row r="460" spans="1:26" x14ac:dyDescent="0.35">
      <c r="A460" t="s">
        <v>516</v>
      </c>
      <c r="B460">
        <v>31</v>
      </c>
      <c r="C460" t="s">
        <v>44</v>
      </c>
      <c r="D460" t="s">
        <v>45</v>
      </c>
      <c r="E460" t="s">
        <v>63</v>
      </c>
      <c r="F460" t="s">
        <v>37</v>
      </c>
      <c r="G460">
        <v>79579</v>
      </c>
      <c r="H460">
        <v>3</v>
      </c>
      <c r="I460">
        <v>7</v>
      </c>
      <c r="J460">
        <v>3</v>
      </c>
      <c r="K460">
        <v>4</v>
      </c>
      <c r="L460">
        <v>3</v>
      </c>
      <c r="M460">
        <v>2</v>
      </c>
      <c r="N460" t="s">
        <v>31</v>
      </c>
      <c r="O460" t="s">
        <v>32</v>
      </c>
      <c r="P460">
        <v>14</v>
      </c>
      <c r="Q460">
        <v>57</v>
      </c>
      <c r="R460">
        <v>3</v>
      </c>
      <c r="S460" t="s">
        <v>31</v>
      </c>
      <c r="T460">
        <v>6</v>
      </c>
      <c r="U460" t="s">
        <v>31</v>
      </c>
      <c r="V460" s="1">
        <v>43852</v>
      </c>
      <c r="X460" s="1" t="str">
        <f t="shared" si="21"/>
        <v>Active</v>
      </c>
      <c r="Y460" t="str">
        <f t="shared" si="22"/>
        <v>26-35</v>
      </c>
      <c r="Z460" t="str">
        <f t="shared" si="23"/>
        <v>2-3 Years</v>
      </c>
    </row>
    <row r="461" spans="1:26" x14ac:dyDescent="0.35">
      <c r="A461" t="s">
        <v>517</v>
      </c>
      <c r="B461">
        <v>56</v>
      </c>
      <c r="C461" t="s">
        <v>44</v>
      </c>
      <c r="D461" t="s">
        <v>49</v>
      </c>
      <c r="E461" t="s">
        <v>68</v>
      </c>
      <c r="F461" t="s">
        <v>56</v>
      </c>
      <c r="G461">
        <v>135215</v>
      </c>
      <c r="H461">
        <v>18</v>
      </c>
      <c r="I461">
        <v>32</v>
      </c>
      <c r="J461">
        <v>5</v>
      </c>
      <c r="K461">
        <v>2</v>
      </c>
      <c r="L461">
        <v>1</v>
      </c>
      <c r="M461">
        <v>4</v>
      </c>
      <c r="N461" t="s">
        <v>31</v>
      </c>
      <c r="O461" t="s">
        <v>32</v>
      </c>
      <c r="P461">
        <v>24</v>
      </c>
      <c r="Q461">
        <v>45</v>
      </c>
      <c r="R461">
        <v>2</v>
      </c>
      <c r="S461" t="s">
        <v>33</v>
      </c>
      <c r="T461">
        <v>6</v>
      </c>
      <c r="U461" t="s">
        <v>33</v>
      </c>
      <c r="V461" s="1">
        <v>44156</v>
      </c>
      <c r="W461" s="1">
        <v>44962</v>
      </c>
      <c r="X461" s="1" t="str">
        <f t="shared" si="21"/>
        <v>2023-02-05</v>
      </c>
      <c r="Y461" t="str">
        <f t="shared" si="22"/>
        <v>56+</v>
      </c>
      <c r="Z461" t="str">
        <f t="shared" si="23"/>
        <v>10+ Years</v>
      </c>
    </row>
    <row r="462" spans="1:26" x14ac:dyDescent="0.35">
      <c r="A462" t="s">
        <v>518</v>
      </c>
      <c r="B462">
        <v>45</v>
      </c>
      <c r="C462" t="s">
        <v>27</v>
      </c>
      <c r="D462" t="s">
        <v>45</v>
      </c>
      <c r="E462" t="s">
        <v>63</v>
      </c>
      <c r="F462" t="s">
        <v>37</v>
      </c>
      <c r="G462">
        <v>142871</v>
      </c>
      <c r="H462">
        <v>20</v>
      </c>
      <c r="I462">
        <v>21</v>
      </c>
      <c r="J462">
        <v>5</v>
      </c>
      <c r="K462">
        <v>2</v>
      </c>
      <c r="L462">
        <v>1</v>
      </c>
      <c r="M462">
        <v>2</v>
      </c>
      <c r="N462" t="s">
        <v>31</v>
      </c>
      <c r="O462" t="s">
        <v>32</v>
      </c>
      <c r="P462">
        <v>18</v>
      </c>
      <c r="Q462">
        <v>40</v>
      </c>
      <c r="R462">
        <v>3</v>
      </c>
      <c r="S462" t="s">
        <v>31</v>
      </c>
      <c r="T462">
        <v>3</v>
      </c>
      <c r="U462" t="s">
        <v>31</v>
      </c>
      <c r="V462" s="1">
        <v>43435</v>
      </c>
      <c r="X462" s="1" t="str">
        <f t="shared" si="21"/>
        <v>Active</v>
      </c>
      <c r="Y462" t="str">
        <f t="shared" si="22"/>
        <v>36-45</v>
      </c>
      <c r="Z462" t="str">
        <f t="shared" si="23"/>
        <v>10+ Years</v>
      </c>
    </row>
    <row r="463" spans="1:26" x14ac:dyDescent="0.35">
      <c r="A463" t="s">
        <v>519</v>
      </c>
      <c r="B463">
        <v>50</v>
      </c>
      <c r="C463" t="s">
        <v>44</v>
      </c>
      <c r="D463" t="s">
        <v>49</v>
      </c>
      <c r="E463" t="s">
        <v>68</v>
      </c>
      <c r="F463" t="s">
        <v>41</v>
      </c>
      <c r="G463">
        <v>140896</v>
      </c>
      <c r="H463">
        <v>18</v>
      </c>
      <c r="I463">
        <v>28</v>
      </c>
      <c r="J463">
        <v>5</v>
      </c>
      <c r="K463">
        <v>4</v>
      </c>
      <c r="L463">
        <v>2</v>
      </c>
      <c r="M463">
        <v>4</v>
      </c>
      <c r="N463" t="s">
        <v>31</v>
      </c>
      <c r="O463" t="s">
        <v>32</v>
      </c>
      <c r="P463">
        <v>15</v>
      </c>
      <c r="Q463">
        <v>25</v>
      </c>
      <c r="R463">
        <v>3</v>
      </c>
      <c r="S463" t="s">
        <v>33</v>
      </c>
      <c r="T463">
        <v>7</v>
      </c>
      <c r="U463" t="s">
        <v>31</v>
      </c>
      <c r="V463" s="1">
        <v>41476</v>
      </c>
      <c r="X463" s="1" t="str">
        <f t="shared" si="21"/>
        <v>Active</v>
      </c>
      <c r="Y463" t="str">
        <f t="shared" si="22"/>
        <v>46-55</v>
      </c>
      <c r="Z463" t="str">
        <f t="shared" si="23"/>
        <v>10+ Years</v>
      </c>
    </row>
    <row r="464" spans="1:26" x14ac:dyDescent="0.35">
      <c r="A464" t="s">
        <v>520</v>
      </c>
      <c r="B464">
        <v>25</v>
      </c>
      <c r="C464" t="s">
        <v>27</v>
      </c>
      <c r="D464" t="s">
        <v>35</v>
      </c>
      <c r="E464" t="s">
        <v>36</v>
      </c>
      <c r="F464" t="s">
        <v>41</v>
      </c>
      <c r="G464">
        <v>60531</v>
      </c>
      <c r="H464">
        <v>3</v>
      </c>
      <c r="I464">
        <v>3</v>
      </c>
      <c r="J464">
        <v>2</v>
      </c>
      <c r="K464">
        <v>2</v>
      </c>
      <c r="L464">
        <v>1</v>
      </c>
      <c r="M464">
        <v>4</v>
      </c>
      <c r="N464" t="s">
        <v>31</v>
      </c>
      <c r="O464" t="s">
        <v>42</v>
      </c>
      <c r="P464">
        <v>29</v>
      </c>
      <c r="Q464">
        <v>23</v>
      </c>
      <c r="R464">
        <v>3</v>
      </c>
      <c r="S464" t="s">
        <v>31</v>
      </c>
      <c r="T464">
        <v>10</v>
      </c>
      <c r="U464" t="s">
        <v>31</v>
      </c>
      <c r="V464" s="1">
        <v>42349</v>
      </c>
      <c r="X464" s="1" t="str">
        <f t="shared" si="21"/>
        <v>Active</v>
      </c>
      <c r="Y464" t="str">
        <f t="shared" si="22"/>
        <v>18-25</v>
      </c>
      <c r="Z464" t="str">
        <f t="shared" si="23"/>
        <v>2-3 Years</v>
      </c>
    </row>
    <row r="465" spans="1:26" x14ac:dyDescent="0.35">
      <c r="A465" t="s">
        <v>521</v>
      </c>
      <c r="B465">
        <v>52</v>
      </c>
      <c r="C465" t="s">
        <v>27</v>
      </c>
      <c r="D465" t="s">
        <v>49</v>
      </c>
      <c r="E465" t="s">
        <v>68</v>
      </c>
      <c r="F465" t="s">
        <v>78</v>
      </c>
      <c r="G465">
        <v>150467</v>
      </c>
      <c r="H465">
        <v>25</v>
      </c>
      <c r="I465">
        <v>30</v>
      </c>
      <c r="J465">
        <v>5</v>
      </c>
      <c r="K465">
        <v>2</v>
      </c>
      <c r="L465">
        <v>1</v>
      </c>
      <c r="M465">
        <v>3</v>
      </c>
      <c r="N465" t="s">
        <v>33</v>
      </c>
      <c r="O465" t="s">
        <v>32</v>
      </c>
      <c r="P465">
        <v>11</v>
      </c>
      <c r="Q465">
        <v>10</v>
      </c>
      <c r="R465">
        <v>3</v>
      </c>
      <c r="S465" t="s">
        <v>31</v>
      </c>
      <c r="T465">
        <v>6</v>
      </c>
      <c r="U465" t="s">
        <v>33</v>
      </c>
      <c r="V465" s="1">
        <v>41937</v>
      </c>
      <c r="W465" s="1">
        <v>42630</v>
      </c>
      <c r="X465" s="1" t="str">
        <f t="shared" si="21"/>
        <v>2016-09-17</v>
      </c>
      <c r="Y465" t="str">
        <f t="shared" si="22"/>
        <v>46-55</v>
      </c>
      <c r="Z465" t="str">
        <f t="shared" si="23"/>
        <v>10+ Years</v>
      </c>
    </row>
    <row r="466" spans="1:26" x14ac:dyDescent="0.35">
      <c r="A466" t="s">
        <v>522</v>
      </c>
      <c r="B466">
        <v>24</v>
      </c>
      <c r="C466" t="s">
        <v>27</v>
      </c>
      <c r="D466" t="s">
        <v>35</v>
      </c>
      <c r="E466" t="s">
        <v>85</v>
      </c>
      <c r="F466" t="s">
        <v>56</v>
      </c>
      <c r="G466">
        <v>57773</v>
      </c>
      <c r="H466">
        <v>0</v>
      </c>
      <c r="I466">
        <v>1</v>
      </c>
      <c r="J466">
        <v>2</v>
      </c>
      <c r="K466">
        <v>2</v>
      </c>
      <c r="L466">
        <v>4</v>
      </c>
      <c r="M466">
        <v>3</v>
      </c>
      <c r="N466" t="s">
        <v>31</v>
      </c>
      <c r="O466" t="s">
        <v>32</v>
      </c>
      <c r="P466">
        <v>29</v>
      </c>
      <c r="Q466">
        <v>46</v>
      </c>
      <c r="R466">
        <v>3</v>
      </c>
      <c r="S466" t="s">
        <v>31</v>
      </c>
      <c r="T466">
        <v>7</v>
      </c>
      <c r="U466" t="s">
        <v>31</v>
      </c>
      <c r="V466" s="1">
        <v>45222</v>
      </c>
      <c r="X466" s="1" t="str">
        <f t="shared" si="21"/>
        <v>Active</v>
      </c>
      <c r="Y466" t="str">
        <f t="shared" si="22"/>
        <v>18-25</v>
      </c>
      <c r="Z466" t="str">
        <f t="shared" si="23"/>
        <v>0-1 Year</v>
      </c>
    </row>
    <row r="467" spans="1:26" x14ac:dyDescent="0.35">
      <c r="A467" t="s">
        <v>523</v>
      </c>
      <c r="B467">
        <v>48</v>
      </c>
      <c r="C467" t="s">
        <v>44</v>
      </c>
      <c r="D467" t="s">
        <v>35</v>
      </c>
      <c r="E467" t="s">
        <v>36</v>
      </c>
      <c r="F467" t="s">
        <v>78</v>
      </c>
      <c r="G467">
        <v>127367</v>
      </c>
      <c r="H467">
        <v>15</v>
      </c>
      <c r="I467">
        <v>26</v>
      </c>
      <c r="J467">
        <v>5</v>
      </c>
      <c r="K467">
        <v>3</v>
      </c>
      <c r="L467">
        <v>2</v>
      </c>
      <c r="M467">
        <v>4</v>
      </c>
      <c r="N467" t="s">
        <v>33</v>
      </c>
      <c r="O467" t="s">
        <v>32</v>
      </c>
      <c r="P467">
        <v>26</v>
      </c>
      <c r="Q467">
        <v>18</v>
      </c>
      <c r="R467">
        <v>4</v>
      </c>
      <c r="S467" t="s">
        <v>33</v>
      </c>
      <c r="T467">
        <v>6</v>
      </c>
      <c r="U467" t="s">
        <v>31</v>
      </c>
      <c r="V467" s="1">
        <v>44447</v>
      </c>
      <c r="X467" s="1" t="str">
        <f t="shared" si="21"/>
        <v>Active</v>
      </c>
      <c r="Y467" t="str">
        <f t="shared" si="22"/>
        <v>46-55</v>
      </c>
      <c r="Z467" t="str">
        <f t="shared" si="23"/>
        <v>10+ Years</v>
      </c>
    </row>
    <row r="468" spans="1:26" x14ac:dyDescent="0.35">
      <c r="A468" t="s">
        <v>524</v>
      </c>
      <c r="B468">
        <v>23</v>
      </c>
      <c r="C468" t="s">
        <v>44</v>
      </c>
      <c r="D468" t="s">
        <v>39</v>
      </c>
      <c r="E468" t="s">
        <v>40</v>
      </c>
      <c r="F468" t="s">
        <v>30</v>
      </c>
      <c r="G468">
        <v>46371</v>
      </c>
      <c r="H468">
        <v>1</v>
      </c>
      <c r="I468">
        <v>1</v>
      </c>
      <c r="J468">
        <v>1</v>
      </c>
      <c r="K468">
        <v>4</v>
      </c>
      <c r="L468">
        <v>3</v>
      </c>
      <c r="M468">
        <v>2</v>
      </c>
      <c r="N468" t="s">
        <v>31</v>
      </c>
      <c r="O468" t="s">
        <v>47</v>
      </c>
      <c r="P468">
        <v>13</v>
      </c>
      <c r="Q468">
        <v>45</v>
      </c>
      <c r="R468">
        <v>3</v>
      </c>
      <c r="S468" t="s">
        <v>31</v>
      </c>
      <c r="T468">
        <v>1</v>
      </c>
      <c r="U468" t="s">
        <v>33</v>
      </c>
      <c r="V468" s="1">
        <v>43942</v>
      </c>
      <c r="W468" s="1">
        <v>44112</v>
      </c>
      <c r="X468" s="1" t="str">
        <f t="shared" si="21"/>
        <v>2020-10-08</v>
      </c>
      <c r="Y468" t="str">
        <f t="shared" si="22"/>
        <v>18-25</v>
      </c>
      <c r="Z468" t="str">
        <f t="shared" si="23"/>
        <v>0-1 Year</v>
      </c>
    </row>
    <row r="469" spans="1:26" x14ac:dyDescent="0.35">
      <c r="A469" t="s">
        <v>525</v>
      </c>
      <c r="B469">
        <v>28</v>
      </c>
      <c r="C469" t="s">
        <v>44</v>
      </c>
      <c r="D469" t="s">
        <v>49</v>
      </c>
      <c r="E469" t="s">
        <v>50</v>
      </c>
      <c r="F469" t="s">
        <v>30</v>
      </c>
      <c r="G469">
        <v>81228</v>
      </c>
      <c r="H469">
        <v>6</v>
      </c>
      <c r="I469">
        <v>6</v>
      </c>
      <c r="J469">
        <v>3</v>
      </c>
      <c r="K469">
        <v>2</v>
      </c>
      <c r="L469">
        <v>1</v>
      </c>
      <c r="M469">
        <v>3</v>
      </c>
      <c r="N469" t="s">
        <v>31</v>
      </c>
      <c r="O469" t="s">
        <v>32</v>
      </c>
      <c r="P469">
        <v>25</v>
      </c>
      <c r="Q469">
        <v>36</v>
      </c>
      <c r="R469">
        <v>3</v>
      </c>
      <c r="S469" t="s">
        <v>31</v>
      </c>
      <c r="T469">
        <v>3</v>
      </c>
      <c r="U469" t="s">
        <v>33</v>
      </c>
      <c r="V469" s="1">
        <v>41611</v>
      </c>
      <c r="W469" s="1">
        <v>41791</v>
      </c>
      <c r="X469" s="1" t="str">
        <f t="shared" si="21"/>
        <v>2014-06-01</v>
      </c>
      <c r="Y469" t="str">
        <f t="shared" si="22"/>
        <v>26-35</v>
      </c>
      <c r="Z469" t="str">
        <f t="shared" si="23"/>
        <v>6-10 Years</v>
      </c>
    </row>
    <row r="470" spans="1:26" x14ac:dyDescent="0.35">
      <c r="A470" t="s">
        <v>526</v>
      </c>
      <c r="B470">
        <v>52</v>
      </c>
      <c r="C470" t="s">
        <v>27</v>
      </c>
      <c r="D470" t="s">
        <v>45</v>
      </c>
      <c r="E470" t="s">
        <v>63</v>
      </c>
      <c r="F470" t="s">
        <v>56</v>
      </c>
      <c r="G470">
        <v>140380</v>
      </c>
      <c r="H470">
        <v>20</v>
      </c>
      <c r="I470">
        <v>31</v>
      </c>
      <c r="J470">
        <v>5</v>
      </c>
      <c r="K470">
        <v>3</v>
      </c>
      <c r="L470">
        <v>2</v>
      </c>
      <c r="M470">
        <v>4</v>
      </c>
      <c r="N470" t="s">
        <v>31</v>
      </c>
      <c r="O470" t="s">
        <v>42</v>
      </c>
      <c r="P470">
        <v>10</v>
      </c>
      <c r="Q470">
        <v>16</v>
      </c>
      <c r="R470">
        <v>3</v>
      </c>
      <c r="S470" t="s">
        <v>31</v>
      </c>
      <c r="T470">
        <v>3</v>
      </c>
      <c r="U470" t="s">
        <v>31</v>
      </c>
      <c r="V470" s="1">
        <v>44292</v>
      </c>
      <c r="X470" s="1" t="str">
        <f t="shared" si="21"/>
        <v>Active</v>
      </c>
      <c r="Y470" t="str">
        <f t="shared" si="22"/>
        <v>46-55</v>
      </c>
      <c r="Z470" t="str">
        <f t="shared" si="23"/>
        <v>10+ Years</v>
      </c>
    </row>
    <row r="471" spans="1:26" x14ac:dyDescent="0.35">
      <c r="A471" t="s">
        <v>527</v>
      </c>
      <c r="B471">
        <v>28</v>
      </c>
      <c r="C471" t="s">
        <v>44</v>
      </c>
      <c r="D471" t="s">
        <v>35</v>
      </c>
      <c r="E471" t="s">
        <v>36</v>
      </c>
      <c r="F471" t="s">
        <v>56</v>
      </c>
      <c r="G471">
        <v>79666</v>
      </c>
      <c r="H471">
        <v>4</v>
      </c>
      <c r="I471">
        <v>7</v>
      </c>
      <c r="J471">
        <v>3</v>
      </c>
      <c r="K471">
        <v>1</v>
      </c>
      <c r="L471">
        <v>4</v>
      </c>
      <c r="M471">
        <v>4</v>
      </c>
      <c r="N471" t="s">
        <v>31</v>
      </c>
      <c r="O471" t="s">
        <v>42</v>
      </c>
      <c r="P471">
        <v>7</v>
      </c>
      <c r="Q471">
        <v>52</v>
      </c>
      <c r="R471">
        <v>3</v>
      </c>
      <c r="S471" t="s">
        <v>31</v>
      </c>
      <c r="T471">
        <v>5</v>
      </c>
      <c r="U471" t="s">
        <v>31</v>
      </c>
      <c r="V471" s="1">
        <v>41724</v>
      </c>
      <c r="X471" s="1" t="str">
        <f t="shared" si="21"/>
        <v>Active</v>
      </c>
      <c r="Y471" t="str">
        <f t="shared" si="22"/>
        <v>26-35</v>
      </c>
      <c r="Z471" t="str">
        <f t="shared" si="23"/>
        <v>4-5 Years</v>
      </c>
    </row>
    <row r="472" spans="1:26" x14ac:dyDescent="0.35">
      <c r="A472" t="s">
        <v>528</v>
      </c>
      <c r="B472">
        <v>27</v>
      </c>
      <c r="C472" t="s">
        <v>27</v>
      </c>
      <c r="D472" t="s">
        <v>45</v>
      </c>
      <c r="E472" t="s">
        <v>63</v>
      </c>
      <c r="F472" t="s">
        <v>56</v>
      </c>
      <c r="G472">
        <v>38579</v>
      </c>
      <c r="H472">
        <v>0</v>
      </c>
      <c r="I472">
        <v>3</v>
      </c>
      <c r="J472">
        <v>1</v>
      </c>
      <c r="K472">
        <v>1</v>
      </c>
      <c r="L472">
        <v>4</v>
      </c>
      <c r="M472">
        <v>2</v>
      </c>
      <c r="N472" t="s">
        <v>33</v>
      </c>
      <c r="O472" t="s">
        <v>42</v>
      </c>
      <c r="P472">
        <v>8</v>
      </c>
      <c r="Q472">
        <v>49</v>
      </c>
      <c r="R472">
        <v>2</v>
      </c>
      <c r="S472" t="s">
        <v>31</v>
      </c>
      <c r="T472">
        <v>3</v>
      </c>
      <c r="U472" t="s">
        <v>31</v>
      </c>
      <c r="V472" s="1">
        <v>44001</v>
      </c>
      <c r="X472" s="1" t="str">
        <f t="shared" si="21"/>
        <v>Active</v>
      </c>
      <c r="Y472" t="str">
        <f t="shared" si="22"/>
        <v>26-35</v>
      </c>
      <c r="Z472" t="str">
        <f t="shared" si="23"/>
        <v>0-1 Year</v>
      </c>
    </row>
    <row r="473" spans="1:26" x14ac:dyDescent="0.35">
      <c r="A473" t="s">
        <v>529</v>
      </c>
      <c r="B473">
        <v>48</v>
      </c>
      <c r="C473" t="s">
        <v>44</v>
      </c>
      <c r="D473" t="s">
        <v>39</v>
      </c>
      <c r="E473" t="s">
        <v>59</v>
      </c>
      <c r="F473" t="s">
        <v>30</v>
      </c>
      <c r="G473">
        <v>58131</v>
      </c>
      <c r="H473">
        <v>3</v>
      </c>
      <c r="I473">
        <v>27</v>
      </c>
      <c r="J473">
        <v>2</v>
      </c>
      <c r="K473">
        <v>4</v>
      </c>
      <c r="L473">
        <v>2</v>
      </c>
      <c r="M473">
        <v>4</v>
      </c>
      <c r="N473" t="s">
        <v>31</v>
      </c>
      <c r="O473" t="s">
        <v>42</v>
      </c>
      <c r="P473">
        <v>5</v>
      </c>
      <c r="Q473">
        <v>54</v>
      </c>
      <c r="R473">
        <v>3</v>
      </c>
      <c r="S473" t="s">
        <v>31</v>
      </c>
      <c r="T473">
        <v>9</v>
      </c>
      <c r="U473" t="s">
        <v>31</v>
      </c>
      <c r="V473" s="1">
        <v>41384</v>
      </c>
      <c r="X473" s="1" t="str">
        <f t="shared" si="21"/>
        <v>Active</v>
      </c>
      <c r="Y473" t="str">
        <f t="shared" si="22"/>
        <v>46-55</v>
      </c>
      <c r="Z473" t="str">
        <f t="shared" si="23"/>
        <v>2-3 Years</v>
      </c>
    </row>
    <row r="474" spans="1:26" x14ac:dyDescent="0.35">
      <c r="A474" t="s">
        <v>530</v>
      </c>
      <c r="B474">
        <v>31</v>
      </c>
      <c r="C474" t="s">
        <v>27</v>
      </c>
      <c r="D474" t="s">
        <v>49</v>
      </c>
      <c r="E474" t="s">
        <v>68</v>
      </c>
      <c r="F474" t="s">
        <v>61</v>
      </c>
      <c r="G474">
        <v>96063</v>
      </c>
      <c r="H474">
        <v>6</v>
      </c>
      <c r="I474">
        <v>9</v>
      </c>
      <c r="J474">
        <v>4</v>
      </c>
      <c r="K474">
        <v>1</v>
      </c>
      <c r="L474">
        <v>4</v>
      </c>
      <c r="M474">
        <v>4</v>
      </c>
      <c r="N474" t="s">
        <v>33</v>
      </c>
      <c r="O474" t="s">
        <v>32</v>
      </c>
      <c r="P474">
        <v>6</v>
      </c>
      <c r="Q474">
        <v>37</v>
      </c>
      <c r="R474">
        <v>3</v>
      </c>
      <c r="S474" t="s">
        <v>33</v>
      </c>
      <c r="T474">
        <v>7</v>
      </c>
      <c r="U474" t="s">
        <v>33</v>
      </c>
      <c r="V474" s="1">
        <v>43121</v>
      </c>
      <c r="W474" s="1">
        <v>44098</v>
      </c>
      <c r="X474" s="1" t="str">
        <f t="shared" si="21"/>
        <v>2020-09-24</v>
      </c>
      <c r="Y474" t="str">
        <f t="shared" si="22"/>
        <v>26-35</v>
      </c>
      <c r="Z474" t="str">
        <f t="shared" si="23"/>
        <v>6-10 Years</v>
      </c>
    </row>
    <row r="475" spans="1:26" x14ac:dyDescent="0.35">
      <c r="A475" t="s">
        <v>531</v>
      </c>
      <c r="B475">
        <v>59</v>
      </c>
      <c r="C475" t="s">
        <v>27</v>
      </c>
      <c r="D475" t="s">
        <v>45</v>
      </c>
      <c r="E475" t="s">
        <v>63</v>
      </c>
      <c r="F475" t="s">
        <v>61</v>
      </c>
      <c r="G475">
        <v>41811</v>
      </c>
      <c r="H475">
        <v>2</v>
      </c>
      <c r="I475">
        <v>37</v>
      </c>
      <c r="J475">
        <v>1</v>
      </c>
      <c r="K475">
        <v>3</v>
      </c>
      <c r="L475">
        <v>3</v>
      </c>
      <c r="M475">
        <v>1</v>
      </c>
      <c r="N475" t="s">
        <v>31</v>
      </c>
      <c r="O475" t="s">
        <v>42</v>
      </c>
      <c r="P475">
        <v>29</v>
      </c>
      <c r="Q475">
        <v>20</v>
      </c>
      <c r="R475">
        <v>2</v>
      </c>
      <c r="S475" t="s">
        <v>31</v>
      </c>
      <c r="T475">
        <v>4</v>
      </c>
      <c r="U475" t="s">
        <v>31</v>
      </c>
      <c r="V475" s="1">
        <v>44339</v>
      </c>
      <c r="X475" s="1" t="str">
        <f t="shared" si="21"/>
        <v>Active</v>
      </c>
      <c r="Y475" t="str">
        <f t="shared" si="22"/>
        <v>56+</v>
      </c>
      <c r="Z475" t="str">
        <f t="shared" si="23"/>
        <v>2-3 Years</v>
      </c>
    </row>
    <row r="476" spans="1:26" x14ac:dyDescent="0.35">
      <c r="A476" t="s">
        <v>532</v>
      </c>
      <c r="B476">
        <v>48</v>
      </c>
      <c r="C476" t="s">
        <v>27</v>
      </c>
      <c r="D476" t="s">
        <v>39</v>
      </c>
      <c r="E476" t="s">
        <v>74</v>
      </c>
      <c r="F476" t="s">
        <v>41</v>
      </c>
      <c r="G476">
        <v>39824</v>
      </c>
      <c r="H476">
        <v>1</v>
      </c>
      <c r="I476">
        <v>24</v>
      </c>
      <c r="J476">
        <v>1</v>
      </c>
      <c r="K476">
        <v>1</v>
      </c>
      <c r="L476">
        <v>2</v>
      </c>
      <c r="M476">
        <v>3</v>
      </c>
      <c r="N476" t="s">
        <v>33</v>
      </c>
      <c r="O476" t="s">
        <v>32</v>
      </c>
      <c r="P476">
        <v>11</v>
      </c>
      <c r="Q476">
        <v>57</v>
      </c>
      <c r="R476">
        <v>4</v>
      </c>
      <c r="S476" t="s">
        <v>31</v>
      </c>
      <c r="T476">
        <v>3</v>
      </c>
      <c r="U476" t="s">
        <v>31</v>
      </c>
      <c r="V476" s="1">
        <v>45225</v>
      </c>
      <c r="X476" s="1" t="str">
        <f t="shared" si="21"/>
        <v>Active</v>
      </c>
      <c r="Y476" t="str">
        <f t="shared" si="22"/>
        <v>46-55</v>
      </c>
      <c r="Z476" t="str">
        <f t="shared" si="23"/>
        <v>0-1 Year</v>
      </c>
    </row>
    <row r="477" spans="1:26" x14ac:dyDescent="0.35">
      <c r="A477" t="s">
        <v>533</v>
      </c>
      <c r="B477">
        <v>40</v>
      </c>
      <c r="C477" t="s">
        <v>27</v>
      </c>
      <c r="D477" t="s">
        <v>52</v>
      </c>
      <c r="E477" t="s">
        <v>55</v>
      </c>
      <c r="F477" t="s">
        <v>56</v>
      </c>
      <c r="G477">
        <v>63446</v>
      </c>
      <c r="H477">
        <v>4</v>
      </c>
      <c r="I477">
        <v>18</v>
      </c>
      <c r="J477">
        <v>2</v>
      </c>
      <c r="K477">
        <v>2</v>
      </c>
      <c r="L477">
        <v>2</v>
      </c>
      <c r="M477">
        <v>2</v>
      </c>
      <c r="N477" t="s">
        <v>33</v>
      </c>
      <c r="O477" t="s">
        <v>42</v>
      </c>
      <c r="P477">
        <v>27</v>
      </c>
      <c r="Q477">
        <v>27</v>
      </c>
      <c r="R477">
        <v>3</v>
      </c>
      <c r="S477" t="s">
        <v>31</v>
      </c>
      <c r="T477">
        <v>5</v>
      </c>
      <c r="U477" t="s">
        <v>31</v>
      </c>
      <c r="V477" s="1">
        <v>41499</v>
      </c>
      <c r="X477" s="1" t="str">
        <f t="shared" si="21"/>
        <v>Active</v>
      </c>
      <c r="Y477" t="str">
        <f t="shared" si="22"/>
        <v>36-45</v>
      </c>
      <c r="Z477" t="str">
        <f t="shared" si="23"/>
        <v>4-5 Years</v>
      </c>
    </row>
    <row r="478" spans="1:26" x14ac:dyDescent="0.35">
      <c r="A478" t="s">
        <v>534</v>
      </c>
      <c r="B478">
        <v>41</v>
      </c>
      <c r="C478" t="s">
        <v>27</v>
      </c>
      <c r="D478" t="s">
        <v>52</v>
      </c>
      <c r="E478" t="s">
        <v>53</v>
      </c>
      <c r="F478" t="s">
        <v>56</v>
      </c>
      <c r="G478">
        <v>119800</v>
      </c>
      <c r="H478">
        <v>11</v>
      </c>
      <c r="I478">
        <v>19</v>
      </c>
      <c r="J478">
        <v>5</v>
      </c>
      <c r="K478">
        <v>2</v>
      </c>
      <c r="L478">
        <v>2</v>
      </c>
      <c r="M478">
        <v>4</v>
      </c>
      <c r="N478" t="s">
        <v>31</v>
      </c>
      <c r="O478" t="s">
        <v>32</v>
      </c>
      <c r="P478">
        <v>11</v>
      </c>
      <c r="Q478">
        <v>11</v>
      </c>
      <c r="R478">
        <v>3</v>
      </c>
      <c r="S478" t="s">
        <v>31</v>
      </c>
      <c r="T478">
        <v>5</v>
      </c>
      <c r="U478" t="s">
        <v>33</v>
      </c>
      <c r="V478" s="1">
        <v>44444</v>
      </c>
      <c r="W478" s="1">
        <v>44677</v>
      </c>
      <c r="X478" s="1" t="str">
        <f t="shared" si="21"/>
        <v>2022-04-26</v>
      </c>
      <c r="Y478" t="str">
        <f t="shared" si="22"/>
        <v>36-45</v>
      </c>
      <c r="Z478" t="str">
        <f t="shared" si="23"/>
        <v>10+ Years</v>
      </c>
    </row>
    <row r="479" spans="1:26" x14ac:dyDescent="0.35">
      <c r="A479" t="s">
        <v>535</v>
      </c>
      <c r="B479">
        <v>24</v>
      </c>
      <c r="C479" t="s">
        <v>27</v>
      </c>
      <c r="D479" t="s">
        <v>28</v>
      </c>
      <c r="E479" t="s">
        <v>29</v>
      </c>
      <c r="F479" t="s">
        <v>30</v>
      </c>
      <c r="G479">
        <v>55623</v>
      </c>
      <c r="H479">
        <v>1</v>
      </c>
      <c r="I479">
        <v>2</v>
      </c>
      <c r="J479">
        <v>2</v>
      </c>
      <c r="K479">
        <v>3</v>
      </c>
      <c r="L479">
        <v>2</v>
      </c>
      <c r="M479">
        <v>4</v>
      </c>
      <c r="N479" t="s">
        <v>31</v>
      </c>
      <c r="O479" t="s">
        <v>32</v>
      </c>
      <c r="P479">
        <v>8</v>
      </c>
      <c r="Q479">
        <v>15</v>
      </c>
      <c r="R479">
        <v>3</v>
      </c>
      <c r="S479" t="s">
        <v>31</v>
      </c>
      <c r="T479">
        <v>5</v>
      </c>
      <c r="U479" t="s">
        <v>31</v>
      </c>
      <c r="V479" s="1">
        <v>44056</v>
      </c>
      <c r="X479" s="1" t="str">
        <f t="shared" si="21"/>
        <v>Active</v>
      </c>
      <c r="Y479" t="str">
        <f t="shared" si="22"/>
        <v>18-25</v>
      </c>
      <c r="Z479" t="str">
        <f t="shared" si="23"/>
        <v>0-1 Year</v>
      </c>
    </row>
    <row r="480" spans="1:26" x14ac:dyDescent="0.35">
      <c r="A480" t="s">
        <v>536</v>
      </c>
      <c r="B480">
        <v>30</v>
      </c>
      <c r="C480" t="s">
        <v>27</v>
      </c>
      <c r="D480" t="s">
        <v>28</v>
      </c>
      <c r="E480" t="s">
        <v>66</v>
      </c>
      <c r="F480" t="s">
        <v>30</v>
      </c>
      <c r="G480">
        <v>63460</v>
      </c>
      <c r="H480">
        <v>4</v>
      </c>
      <c r="I480">
        <v>7</v>
      </c>
      <c r="J480">
        <v>2</v>
      </c>
      <c r="K480">
        <v>3</v>
      </c>
      <c r="L480">
        <v>2</v>
      </c>
      <c r="M480">
        <v>4</v>
      </c>
      <c r="N480" t="s">
        <v>33</v>
      </c>
      <c r="O480" t="s">
        <v>42</v>
      </c>
      <c r="P480">
        <v>17</v>
      </c>
      <c r="Q480">
        <v>54</v>
      </c>
      <c r="R480">
        <v>3</v>
      </c>
      <c r="S480" t="s">
        <v>31</v>
      </c>
      <c r="T480">
        <v>8</v>
      </c>
      <c r="U480" t="s">
        <v>31</v>
      </c>
      <c r="V480" s="1">
        <v>42363</v>
      </c>
      <c r="X480" s="1" t="str">
        <f t="shared" si="21"/>
        <v>Active</v>
      </c>
      <c r="Y480" t="str">
        <f t="shared" si="22"/>
        <v>26-35</v>
      </c>
      <c r="Z480" t="str">
        <f t="shared" si="23"/>
        <v>4-5 Years</v>
      </c>
    </row>
    <row r="481" spans="1:26" x14ac:dyDescent="0.35">
      <c r="A481" t="s">
        <v>537</v>
      </c>
      <c r="B481">
        <v>34</v>
      </c>
      <c r="C481" t="s">
        <v>27</v>
      </c>
      <c r="D481" t="s">
        <v>49</v>
      </c>
      <c r="E481" t="s">
        <v>50</v>
      </c>
      <c r="F481" t="s">
        <v>56</v>
      </c>
      <c r="G481">
        <v>64426</v>
      </c>
      <c r="H481">
        <v>5</v>
      </c>
      <c r="I481">
        <v>10</v>
      </c>
      <c r="J481">
        <v>2</v>
      </c>
      <c r="K481">
        <v>4</v>
      </c>
      <c r="L481">
        <v>1</v>
      </c>
      <c r="M481">
        <v>4</v>
      </c>
      <c r="N481" t="s">
        <v>31</v>
      </c>
      <c r="O481" t="s">
        <v>32</v>
      </c>
      <c r="P481">
        <v>11</v>
      </c>
      <c r="Q481">
        <v>54</v>
      </c>
      <c r="R481">
        <v>3</v>
      </c>
      <c r="S481" t="s">
        <v>31</v>
      </c>
      <c r="T481">
        <v>2</v>
      </c>
      <c r="U481" t="s">
        <v>31</v>
      </c>
      <c r="V481" s="1">
        <v>42863</v>
      </c>
      <c r="X481" s="1" t="str">
        <f t="shared" si="21"/>
        <v>Active</v>
      </c>
      <c r="Y481" t="str">
        <f t="shared" si="22"/>
        <v>26-35</v>
      </c>
      <c r="Z481" t="str">
        <f t="shared" si="23"/>
        <v>4-5 Years</v>
      </c>
    </row>
    <row r="482" spans="1:26" x14ac:dyDescent="0.35">
      <c r="A482" t="s">
        <v>538</v>
      </c>
      <c r="B482">
        <v>45</v>
      </c>
      <c r="C482" t="s">
        <v>27</v>
      </c>
      <c r="D482" t="s">
        <v>39</v>
      </c>
      <c r="E482" t="s">
        <v>59</v>
      </c>
      <c r="F482" t="s">
        <v>41</v>
      </c>
      <c r="G482">
        <v>80220</v>
      </c>
      <c r="H482">
        <v>5</v>
      </c>
      <c r="I482">
        <v>22</v>
      </c>
      <c r="J482">
        <v>3</v>
      </c>
      <c r="K482">
        <v>3</v>
      </c>
      <c r="L482">
        <v>4</v>
      </c>
      <c r="M482">
        <v>3</v>
      </c>
      <c r="N482" t="s">
        <v>31</v>
      </c>
      <c r="O482" t="s">
        <v>32</v>
      </c>
      <c r="P482">
        <v>23</v>
      </c>
      <c r="Q482">
        <v>42</v>
      </c>
      <c r="R482">
        <v>3</v>
      </c>
      <c r="S482" t="s">
        <v>31</v>
      </c>
      <c r="T482">
        <v>5</v>
      </c>
      <c r="U482" t="s">
        <v>31</v>
      </c>
      <c r="V482" s="1">
        <v>42766</v>
      </c>
      <c r="X482" s="1" t="str">
        <f t="shared" si="21"/>
        <v>Active</v>
      </c>
      <c r="Y482" t="str">
        <f t="shared" si="22"/>
        <v>36-45</v>
      </c>
      <c r="Z482" t="str">
        <f t="shared" si="23"/>
        <v>4-5 Years</v>
      </c>
    </row>
    <row r="483" spans="1:26" x14ac:dyDescent="0.35">
      <c r="A483" t="s">
        <v>539</v>
      </c>
      <c r="B483">
        <v>27</v>
      </c>
      <c r="C483" t="s">
        <v>44</v>
      </c>
      <c r="D483" t="s">
        <v>39</v>
      </c>
      <c r="E483" t="s">
        <v>40</v>
      </c>
      <c r="F483" t="s">
        <v>37</v>
      </c>
      <c r="G483">
        <v>68349</v>
      </c>
      <c r="H483">
        <v>5</v>
      </c>
      <c r="I483">
        <v>6</v>
      </c>
      <c r="J483">
        <v>2</v>
      </c>
      <c r="K483">
        <v>2</v>
      </c>
      <c r="L483">
        <v>1</v>
      </c>
      <c r="M483">
        <v>4</v>
      </c>
      <c r="N483" t="s">
        <v>31</v>
      </c>
      <c r="O483" t="s">
        <v>42</v>
      </c>
      <c r="P483">
        <v>19</v>
      </c>
      <c r="Q483">
        <v>15</v>
      </c>
      <c r="R483">
        <v>3</v>
      </c>
      <c r="S483" t="s">
        <v>33</v>
      </c>
      <c r="T483">
        <v>5</v>
      </c>
      <c r="U483" t="s">
        <v>31</v>
      </c>
      <c r="V483" s="1">
        <v>44587</v>
      </c>
      <c r="X483" s="1" t="str">
        <f t="shared" si="21"/>
        <v>Active</v>
      </c>
      <c r="Y483" t="str">
        <f t="shared" si="22"/>
        <v>26-35</v>
      </c>
      <c r="Z483" t="str">
        <f t="shared" si="23"/>
        <v>4-5 Years</v>
      </c>
    </row>
    <row r="484" spans="1:26" x14ac:dyDescent="0.35">
      <c r="A484" t="s">
        <v>540</v>
      </c>
      <c r="B484">
        <v>44</v>
      </c>
      <c r="C484" t="s">
        <v>44</v>
      </c>
      <c r="D484" t="s">
        <v>52</v>
      </c>
      <c r="E484" t="s">
        <v>53</v>
      </c>
      <c r="F484" t="s">
        <v>56</v>
      </c>
      <c r="G484">
        <v>125057</v>
      </c>
      <c r="H484">
        <v>12</v>
      </c>
      <c r="I484">
        <v>20</v>
      </c>
      <c r="J484">
        <v>5</v>
      </c>
      <c r="K484">
        <v>2</v>
      </c>
      <c r="L484">
        <v>4</v>
      </c>
      <c r="M484">
        <v>2</v>
      </c>
      <c r="N484" t="s">
        <v>33</v>
      </c>
      <c r="O484" t="s">
        <v>32</v>
      </c>
      <c r="P484">
        <v>3</v>
      </c>
      <c r="Q484">
        <v>23</v>
      </c>
      <c r="R484">
        <v>3</v>
      </c>
      <c r="S484" t="s">
        <v>33</v>
      </c>
      <c r="T484">
        <v>5</v>
      </c>
      <c r="U484" t="s">
        <v>31</v>
      </c>
      <c r="V484" s="1">
        <v>41403</v>
      </c>
      <c r="X484" s="1" t="str">
        <f t="shared" si="21"/>
        <v>Active</v>
      </c>
      <c r="Y484" t="str">
        <f t="shared" si="22"/>
        <v>36-45</v>
      </c>
      <c r="Z484" t="str">
        <f t="shared" si="23"/>
        <v>10+ Years</v>
      </c>
    </row>
    <row r="485" spans="1:26" x14ac:dyDescent="0.35">
      <c r="A485" t="s">
        <v>541</v>
      </c>
      <c r="B485">
        <v>54</v>
      </c>
      <c r="C485" t="s">
        <v>27</v>
      </c>
      <c r="D485" t="s">
        <v>52</v>
      </c>
      <c r="E485" t="s">
        <v>55</v>
      </c>
      <c r="F485" t="s">
        <v>37</v>
      </c>
      <c r="G485">
        <v>160253</v>
      </c>
      <c r="H485">
        <v>28</v>
      </c>
      <c r="I485">
        <v>31</v>
      </c>
      <c r="J485">
        <v>5</v>
      </c>
      <c r="K485">
        <v>4</v>
      </c>
      <c r="L485">
        <v>2</v>
      </c>
      <c r="M485">
        <v>4</v>
      </c>
      <c r="N485" t="s">
        <v>31</v>
      </c>
      <c r="O485" t="s">
        <v>32</v>
      </c>
      <c r="P485">
        <v>18</v>
      </c>
      <c r="Q485">
        <v>31</v>
      </c>
      <c r="R485">
        <v>3</v>
      </c>
      <c r="S485" t="s">
        <v>33</v>
      </c>
      <c r="T485">
        <v>4</v>
      </c>
      <c r="U485" t="s">
        <v>31</v>
      </c>
      <c r="V485" s="1">
        <v>44336</v>
      </c>
      <c r="X485" s="1" t="str">
        <f t="shared" si="21"/>
        <v>Active</v>
      </c>
      <c r="Y485" t="str">
        <f t="shared" si="22"/>
        <v>46-55</v>
      </c>
      <c r="Z485" t="str">
        <f t="shared" si="23"/>
        <v>10+ Years</v>
      </c>
    </row>
    <row r="486" spans="1:26" x14ac:dyDescent="0.35">
      <c r="A486" t="s">
        <v>542</v>
      </c>
      <c r="B486">
        <v>46</v>
      </c>
      <c r="C486" t="s">
        <v>44</v>
      </c>
      <c r="D486" t="s">
        <v>45</v>
      </c>
      <c r="E486" t="s">
        <v>46</v>
      </c>
      <c r="F486" t="s">
        <v>78</v>
      </c>
      <c r="G486">
        <v>131772</v>
      </c>
      <c r="H486">
        <v>17</v>
      </c>
      <c r="I486">
        <v>24</v>
      </c>
      <c r="J486">
        <v>5</v>
      </c>
      <c r="K486">
        <v>4</v>
      </c>
      <c r="L486">
        <v>2</v>
      </c>
      <c r="M486">
        <v>1</v>
      </c>
      <c r="N486" t="s">
        <v>31</v>
      </c>
      <c r="O486" t="s">
        <v>32</v>
      </c>
      <c r="P486">
        <v>6</v>
      </c>
      <c r="Q486">
        <v>25</v>
      </c>
      <c r="R486">
        <v>4</v>
      </c>
      <c r="S486" t="s">
        <v>31</v>
      </c>
      <c r="T486">
        <v>7</v>
      </c>
      <c r="U486" t="s">
        <v>31</v>
      </c>
      <c r="V486" s="1">
        <v>45130</v>
      </c>
      <c r="X486" s="1" t="str">
        <f t="shared" si="21"/>
        <v>Active</v>
      </c>
      <c r="Y486" t="str">
        <f t="shared" si="22"/>
        <v>46-55</v>
      </c>
      <c r="Z486" t="str">
        <f t="shared" si="23"/>
        <v>10+ Years</v>
      </c>
    </row>
    <row r="487" spans="1:26" x14ac:dyDescent="0.35">
      <c r="A487" t="s">
        <v>543</v>
      </c>
      <c r="B487">
        <v>29</v>
      </c>
      <c r="C487" t="s">
        <v>27</v>
      </c>
      <c r="D487" t="s">
        <v>52</v>
      </c>
      <c r="E487" t="s">
        <v>55</v>
      </c>
      <c r="F487" t="s">
        <v>61</v>
      </c>
      <c r="G487">
        <v>81606</v>
      </c>
      <c r="H487">
        <v>5</v>
      </c>
      <c r="I487">
        <v>8</v>
      </c>
      <c r="J487">
        <v>3</v>
      </c>
      <c r="K487">
        <v>3</v>
      </c>
      <c r="L487">
        <v>1</v>
      </c>
      <c r="M487">
        <v>1</v>
      </c>
      <c r="N487" t="s">
        <v>31</v>
      </c>
      <c r="O487" t="s">
        <v>32</v>
      </c>
      <c r="P487">
        <v>3</v>
      </c>
      <c r="Q487">
        <v>53</v>
      </c>
      <c r="R487">
        <v>4</v>
      </c>
      <c r="S487" t="s">
        <v>31</v>
      </c>
      <c r="T487">
        <v>3</v>
      </c>
      <c r="U487" t="s">
        <v>31</v>
      </c>
      <c r="V487" s="1">
        <v>42133</v>
      </c>
      <c r="X487" s="1" t="str">
        <f t="shared" si="21"/>
        <v>Active</v>
      </c>
      <c r="Y487" t="str">
        <f t="shared" si="22"/>
        <v>26-35</v>
      </c>
      <c r="Z487" t="str">
        <f t="shared" si="23"/>
        <v>4-5 Years</v>
      </c>
    </row>
    <row r="488" spans="1:26" x14ac:dyDescent="0.35">
      <c r="A488" t="s">
        <v>544</v>
      </c>
      <c r="B488">
        <v>30</v>
      </c>
      <c r="C488" t="s">
        <v>44</v>
      </c>
      <c r="D488" t="s">
        <v>35</v>
      </c>
      <c r="E488" t="s">
        <v>36</v>
      </c>
      <c r="F488" t="s">
        <v>30</v>
      </c>
      <c r="G488">
        <v>59766</v>
      </c>
      <c r="H488">
        <v>2</v>
      </c>
      <c r="I488">
        <v>7</v>
      </c>
      <c r="J488">
        <v>2</v>
      </c>
      <c r="K488">
        <v>4</v>
      </c>
      <c r="L488">
        <v>2</v>
      </c>
      <c r="M488">
        <v>1</v>
      </c>
      <c r="N488" t="s">
        <v>33</v>
      </c>
      <c r="O488" t="s">
        <v>42</v>
      </c>
      <c r="P488">
        <v>11</v>
      </c>
      <c r="Q488">
        <v>43</v>
      </c>
      <c r="R488">
        <v>4</v>
      </c>
      <c r="S488" t="s">
        <v>31</v>
      </c>
      <c r="T488">
        <v>6</v>
      </c>
      <c r="U488" t="s">
        <v>31</v>
      </c>
      <c r="V488" s="1">
        <v>42141</v>
      </c>
      <c r="X488" s="1" t="str">
        <f t="shared" si="21"/>
        <v>Active</v>
      </c>
      <c r="Y488" t="str">
        <f t="shared" si="22"/>
        <v>26-35</v>
      </c>
      <c r="Z488" t="str">
        <f t="shared" si="23"/>
        <v>2-3 Years</v>
      </c>
    </row>
    <row r="489" spans="1:26" x14ac:dyDescent="0.35">
      <c r="A489" t="s">
        <v>545</v>
      </c>
      <c r="B489">
        <v>58</v>
      </c>
      <c r="C489" t="s">
        <v>27</v>
      </c>
      <c r="D489" t="s">
        <v>39</v>
      </c>
      <c r="E489" t="s">
        <v>74</v>
      </c>
      <c r="F489" t="s">
        <v>61</v>
      </c>
      <c r="G489">
        <v>142587</v>
      </c>
      <c r="H489">
        <v>19</v>
      </c>
      <c r="I489">
        <v>34</v>
      </c>
      <c r="J489">
        <v>5</v>
      </c>
      <c r="K489">
        <v>1</v>
      </c>
      <c r="L489">
        <v>3</v>
      </c>
      <c r="M489">
        <v>4</v>
      </c>
      <c r="N489" t="s">
        <v>33</v>
      </c>
      <c r="O489" t="s">
        <v>32</v>
      </c>
      <c r="P489">
        <v>13</v>
      </c>
      <c r="Q489">
        <v>41</v>
      </c>
      <c r="R489">
        <v>3</v>
      </c>
      <c r="S489" t="s">
        <v>31</v>
      </c>
      <c r="T489">
        <v>8</v>
      </c>
      <c r="U489" t="s">
        <v>31</v>
      </c>
      <c r="V489" s="1">
        <v>41125</v>
      </c>
      <c r="X489" s="1" t="str">
        <f t="shared" si="21"/>
        <v>Active</v>
      </c>
      <c r="Y489" t="str">
        <f t="shared" si="22"/>
        <v>56+</v>
      </c>
      <c r="Z489" t="str">
        <f t="shared" si="23"/>
        <v>10+ Years</v>
      </c>
    </row>
    <row r="490" spans="1:26" x14ac:dyDescent="0.35">
      <c r="A490" t="s">
        <v>546</v>
      </c>
      <c r="B490">
        <v>25</v>
      </c>
      <c r="C490" t="s">
        <v>27</v>
      </c>
      <c r="D490" t="s">
        <v>49</v>
      </c>
      <c r="E490" t="s">
        <v>50</v>
      </c>
      <c r="F490" t="s">
        <v>30</v>
      </c>
      <c r="G490">
        <v>78674</v>
      </c>
      <c r="H490">
        <v>3</v>
      </c>
      <c r="I490">
        <v>4</v>
      </c>
      <c r="J490">
        <v>3</v>
      </c>
      <c r="K490">
        <v>1</v>
      </c>
      <c r="L490">
        <v>4</v>
      </c>
      <c r="M490">
        <v>4</v>
      </c>
      <c r="N490" t="s">
        <v>33</v>
      </c>
      <c r="O490" t="s">
        <v>42</v>
      </c>
      <c r="P490">
        <v>10</v>
      </c>
      <c r="Q490">
        <v>46</v>
      </c>
      <c r="R490">
        <v>3</v>
      </c>
      <c r="S490" t="s">
        <v>31</v>
      </c>
      <c r="T490">
        <v>8</v>
      </c>
      <c r="U490" t="s">
        <v>31</v>
      </c>
      <c r="V490" s="1">
        <v>44096</v>
      </c>
      <c r="X490" s="1" t="str">
        <f t="shared" si="21"/>
        <v>Active</v>
      </c>
      <c r="Y490" t="str">
        <f t="shared" si="22"/>
        <v>18-25</v>
      </c>
      <c r="Z490" t="str">
        <f t="shared" si="23"/>
        <v>2-3 Years</v>
      </c>
    </row>
    <row r="491" spans="1:26" x14ac:dyDescent="0.35">
      <c r="A491" t="s">
        <v>547</v>
      </c>
      <c r="B491">
        <v>39</v>
      </c>
      <c r="C491" t="s">
        <v>44</v>
      </c>
      <c r="D491" t="s">
        <v>35</v>
      </c>
      <c r="E491" t="s">
        <v>85</v>
      </c>
      <c r="F491" t="s">
        <v>61</v>
      </c>
      <c r="G491">
        <v>55614</v>
      </c>
      <c r="H491">
        <v>1</v>
      </c>
      <c r="I491">
        <v>15</v>
      </c>
      <c r="J491">
        <v>2</v>
      </c>
      <c r="K491">
        <v>3</v>
      </c>
      <c r="L491">
        <v>4</v>
      </c>
      <c r="M491">
        <v>1</v>
      </c>
      <c r="N491" t="s">
        <v>31</v>
      </c>
      <c r="O491" t="s">
        <v>32</v>
      </c>
      <c r="P491">
        <v>13</v>
      </c>
      <c r="Q491">
        <v>10</v>
      </c>
      <c r="R491">
        <v>3</v>
      </c>
      <c r="S491" t="s">
        <v>31</v>
      </c>
      <c r="T491">
        <v>7</v>
      </c>
      <c r="U491" t="s">
        <v>31</v>
      </c>
      <c r="V491" s="1">
        <v>44061</v>
      </c>
      <c r="X491" s="1" t="str">
        <f t="shared" si="21"/>
        <v>Active</v>
      </c>
      <c r="Y491" t="str">
        <f t="shared" si="22"/>
        <v>36-45</v>
      </c>
      <c r="Z491" t="str">
        <f t="shared" si="23"/>
        <v>0-1 Year</v>
      </c>
    </row>
    <row r="492" spans="1:26" x14ac:dyDescent="0.35">
      <c r="A492" t="s">
        <v>548</v>
      </c>
      <c r="B492">
        <v>49</v>
      </c>
      <c r="C492" t="s">
        <v>44</v>
      </c>
      <c r="D492" t="s">
        <v>45</v>
      </c>
      <c r="E492" t="s">
        <v>63</v>
      </c>
      <c r="F492" t="s">
        <v>78</v>
      </c>
      <c r="G492">
        <v>99166</v>
      </c>
      <c r="H492">
        <v>6</v>
      </c>
      <c r="I492">
        <v>25</v>
      </c>
      <c r="J492">
        <v>4</v>
      </c>
      <c r="K492">
        <v>3</v>
      </c>
      <c r="L492">
        <v>2</v>
      </c>
      <c r="M492">
        <v>1</v>
      </c>
      <c r="N492" t="s">
        <v>31</v>
      </c>
      <c r="O492" t="s">
        <v>32</v>
      </c>
      <c r="P492">
        <v>6</v>
      </c>
      <c r="Q492">
        <v>46</v>
      </c>
      <c r="R492">
        <v>2</v>
      </c>
      <c r="S492" t="s">
        <v>33</v>
      </c>
      <c r="T492">
        <v>4</v>
      </c>
      <c r="U492" t="s">
        <v>31</v>
      </c>
      <c r="V492" s="1">
        <v>44313</v>
      </c>
      <c r="X492" s="1" t="str">
        <f t="shared" si="21"/>
        <v>Active</v>
      </c>
      <c r="Y492" t="str">
        <f t="shared" si="22"/>
        <v>46-55</v>
      </c>
      <c r="Z492" t="str">
        <f t="shared" si="23"/>
        <v>6-10 Years</v>
      </c>
    </row>
    <row r="493" spans="1:26" x14ac:dyDescent="0.35">
      <c r="A493" t="s">
        <v>549</v>
      </c>
      <c r="B493">
        <v>34</v>
      </c>
      <c r="C493" t="s">
        <v>27</v>
      </c>
      <c r="D493" t="s">
        <v>52</v>
      </c>
      <c r="E493" t="s">
        <v>55</v>
      </c>
      <c r="F493" t="s">
        <v>30</v>
      </c>
      <c r="G493">
        <v>60383</v>
      </c>
      <c r="H493">
        <v>2</v>
      </c>
      <c r="I493">
        <v>13</v>
      </c>
      <c r="J493">
        <v>2</v>
      </c>
      <c r="K493">
        <v>2</v>
      </c>
      <c r="L493">
        <v>2</v>
      </c>
      <c r="M493">
        <v>4</v>
      </c>
      <c r="N493" t="s">
        <v>33</v>
      </c>
      <c r="O493" t="s">
        <v>32</v>
      </c>
      <c r="P493">
        <v>1</v>
      </c>
      <c r="Q493">
        <v>33</v>
      </c>
      <c r="R493">
        <v>2</v>
      </c>
      <c r="S493" t="s">
        <v>31</v>
      </c>
      <c r="T493">
        <v>5</v>
      </c>
      <c r="U493" t="s">
        <v>31</v>
      </c>
      <c r="V493" s="1">
        <v>41792</v>
      </c>
      <c r="X493" s="1" t="str">
        <f t="shared" si="21"/>
        <v>Active</v>
      </c>
      <c r="Y493" t="str">
        <f t="shared" si="22"/>
        <v>26-35</v>
      </c>
      <c r="Z493" t="str">
        <f t="shared" si="23"/>
        <v>2-3 Years</v>
      </c>
    </row>
    <row r="494" spans="1:26" x14ac:dyDescent="0.35">
      <c r="A494" t="s">
        <v>550</v>
      </c>
      <c r="B494">
        <v>44</v>
      </c>
      <c r="C494" t="s">
        <v>27</v>
      </c>
      <c r="D494" t="s">
        <v>52</v>
      </c>
      <c r="E494" t="s">
        <v>55</v>
      </c>
      <c r="F494" t="s">
        <v>30</v>
      </c>
      <c r="G494">
        <v>134763</v>
      </c>
      <c r="H494">
        <v>17</v>
      </c>
      <c r="I494">
        <v>21</v>
      </c>
      <c r="J494">
        <v>5</v>
      </c>
      <c r="K494">
        <v>4</v>
      </c>
      <c r="L494">
        <v>1</v>
      </c>
      <c r="M494">
        <v>2</v>
      </c>
      <c r="N494" t="s">
        <v>33</v>
      </c>
      <c r="O494" t="s">
        <v>42</v>
      </c>
      <c r="P494">
        <v>29</v>
      </c>
      <c r="Q494">
        <v>45</v>
      </c>
      <c r="R494">
        <v>3</v>
      </c>
      <c r="S494" t="s">
        <v>31</v>
      </c>
      <c r="T494">
        <v>9</v>
      </c>
      <c r="U494" t="s">
        <v>31</v>
      </c>
      <c r="V494" s="1">
        <v>44436</v>
      </c>
      <c r="X494" s="1" t="str">
        <f t="shared" si="21"/>
        <v>Active</v>
      </c>
      <c r="Y494" t="str">
        <f t="shared" si="22"/>
        <v>36-45</v>
      </c>
      <c r="Z494" t="str">
        <f t="shared" si="23"/>
        <v>10+ Years</v>
      </c>
    </row>
    <row r="495" spans="1:26" x14ac:dyDescent="0.35">
      <c r="A495" t="s">
        <v>551</v>
      </c>
      <c r="B495">
        <v>40</v>
      </c>
      <c r="C495" t="s">
        <v>27</v>
      </c>
      <c r="D495" t="s">
        <v>39</v>
      </c>
      <c r="E495" t="s">
        <v>59</v>
      </c>
      <c r="F495" t="s">
        <v>56</v>
      </c>
      <c r="G495">
        <v>106811</v>
      </c>
      <c r="H495">
        <v>11</v>
      </c>
      <c r="I495">
        <v>18</v>
      </c>
      <c r="J495">
        <v>4</v>
      </c>
      <c r="K495">
        <v>3</v>
      </c>
      <c r="L495">
        <v>3</v>
      </c>
      <c r="M495">
        <v>2</v>
      </c>
      <c r="N495" t="s">
        <v>31</v>
      </c>
      <c r="O495" t="s">
        <v>32</v>
      </c>
      <c r="P495">
        <v>1</v>
      </c>
      <c r="Q495">
        <v>36</v>
      </c>
      <c r="R495">
        <v>3</v>
      </c>
      <c r="S495" t="s">
        <v>31</v>
      </c>
      <c r="T495">
        <v>6</v>
      </c>
      <c r="U495" t="s">
        <v>31</v>
      </c>
      <c r="V495" s="1">
        <v>41381</v>
      </c>
      <c r="X495" s="1" t="str">
        <f t="shared" si="21"/>
        <v>Active</v>
      </c>
      <c r="Y495" t="str">
        <f t="shared" si="22"/>
        <v>36-45</v>
      </c>
      <c r="Z495" t="str">
        <f t="shared" si="23"/>
        <v>10+ Years</v>
      </c>
    </row>
    <row r="496" spans="1:26" x14ac:dyDescent="0.35">
      <c r="A496" t="s">
        <v>552</v>
      </c>
      <c r="B496">
        <v>37</v>
      </c>
      <c r="C496" t="s">
        <v>44</v>
      </c>
      <c r="D496" t="s">
        <v>28</v>
      </c>
      <c r="E496" t="s">
        <v>66</v>
      </c>
      <c r="F496" t="s">
        <v>61</v>
      </c>
      <c r="G496">
        <v>127071</v>
      </c>
      <c r="H496">
        <v>12</v>
      </c>
      <c r="I496">
        <v>13</v>
      </c>
      <c r="J496">
        <v>5</v>
      </c>
      <c r="K496">
        <v>4</v>
      </c>
      <c r="L496">
        <v>4</v>
      </c>
      <c r="M496">
        <v>1</v>
      </c>
      <c r="N496" t="s">
        <v>33</v>
      </c>
      <c r="O496" t="s">
        <v>32</v>
      </c>
      <c r="P496">
        <v>22</v>
      </c>
      <c r="Q496">
        <v>43</v>
      </c>
      <c r="R496">
        <v>3</v>
      </c>
      <c r="S496" t="s">
        <v>31</v>
      </c>
      <c r="T496">
        <v>5</v>
      </c>
      <c r="U496" t="s">
        <v>31</v>
      </c>
      <c r="V496" s="1">
        <v>42822</v>
      </c>
      <c r="X496" s="1" t="str">
        <f t="shared" si="21"/>
        <v>Active</v>
      </c>
      <c r="Y496" t="str">
        <f t="shared" si="22"/>
        <v>36-45</v>
      </c>
      <c r="Z496" t="str">
        <f t="shared" si="23"/>
        <v>10+ Years</v>
      </c>
    </row>
    <row r="497" spans="1:26" x14ac:dyDescent="0.35">
      <c r="A497" t="s">
        <v>553</v>
      </c>
      <c r="B497">
        <v>31</v>
      </c>
      <c r="C497" t="s">
        <v>44</v>
      </c>
      <c r="D497" t="s">
        <v>28</v>
      </c>
      <c r="E497" t="s">
        <v>29</v>
      </c>
      <c r="F497" t="s">
        <v>41</v>
      </c>
      <c r="G497">
        <v>46066</v>
      </c>
      <c r="H497">
        <v>1</v>
      </c>
      <c r="I497">
        <v>8</v>
      </c>
      <c r="J497">
        <v>1</v>
      </c>
      <c r="K497">
        <v>2</v>
      </c>
      <c r="L497">
        <v>2</v>
      </c>
      <c r="M497">
        <v>2</v>
      </c>
      <c r="N497" t="s">
        <v>31</v>
      </c>
      <c r="O497" t="s">
        <v>42</v>
      </c>
      <c r="P497">
        <v>18</v>
      </c>
      <c r="Q497">
        <v>48</v>
      </c>
      <c r="R497">
        <v>2</v>
      </c>
      <c r="S497" t="s">
        <v>31</v>
      </c>
      <c r="T497">
        <v>6</v>
      </c>
      <c r="U497" t="s">
        <v>33</v>
      </c>
      <c r="V497" s="1">
        <v>45039</v>
      </c>
      <c r="W497" s="1">
        <v>45300</v>
      </c>
      <c r="X497" s="1" t="str">
        <f t="shared" si="21"/>
        <v>2024-01-09</v>
      </c>
      <c r="Y497" t="str">
        <f t="shared" si="22"/>
        <v>26-35</v>
      </c>
      <c r="Z497" t="str">
        <f t="shared" si="23"/>
        <v>0-1 Year</v>
      </c>
    </row>
    <row r="498" spans="1:26" x14ac:dyDescent="0.35">
      <c r="A498" t="s">
        <v>554</v>
      </c>
      <c r="B498">
        <v>43</v>
      </c>
      <c r="C498" t="s">
        <v>44</v>
      </c>
      <c r="D498" t="s">
        <v>49</v>
      </c>
      <c r="E498" t="s">
        <v>68</v>
      </c>
      <c r="F498" t="s">
        <v>41</v>
      </c>
      <c r="G498">
        <v>83242</v>
      </c>
      <c r="H498">
        <v>6</v>
      </c>
      <c r="I498">
        <v>20</v>
      </c>
      <c r="J498">
        <v>3</v>
      </c>
      <c r="K498">
        <v>2</v>
      </c>
      <c r="L498">
        <v>4</v>
      </c>
      <c r="M498">
        <v>3</v>
      </c>
      <c r="N498" t="s">
        <v>33</v>
      </c>
      <c r="O498" t="s">
        <v>32</v>
      </c>
      <c r="P498">
        <v>14</v>
      </c>
      <c r="Q498">
        <v>48</v>
      </c>
      <c r="R498">
        <v>3</v>
      </c>
      <c r="S498" t="s">
        <v>31</v>
      </c>
      <c r="T498">
        <v>7</v>
      </c>
      <c r="U498" t="s">
        <v>31</v>
      </c>
      <c r="V498" s="1">
        <v>44163</v>
      </c>
      <c r="X498" s="1" t="str">
        <f t="shared" si="21"/>
        <v>Active</v>
      </c>
      <c r="Y498" t="str">
        <f t="shared" si="22"/>
        <v>36-45</v>
      </c>
      <c r="Z498" t="str">
        <f t="shared" si="23"/>
        <v>6-10 Years</v>
      </c>
    </row>
    <row r="499" spans="1:26" x14ac:dyDescent="0.35">
      <c r="A499" t="s">
        <v>555</v>
      </c>
      <c r="B499">
        <v>53</v>
      </c>
      <c r="C499" t="s">
        <v>27</v>
      </c>
      <c r="D499" t="s">
        <v>28</v>
      </c>
      <c r="E499" t="s">
        <v>66</v>
      </c>
      <c r="F499" t="s">
        <v>56</v>
      </c>
      <c r="G499">
        <v>154278</v>
      </c>
      <c r="H499">
        <v>26</v>
      </c>
      <c r="I499">
        <v>30</v>
      </c>
      <c r="J499">
        <v>5</v>
      </c>
      <c r="K499">
        <v>2</v>
      </c>
      <c r="L499">
        <v>1</v>
      </c>
      <c r="M499">
        <v>2</v>
      </c>
      <c r="N499" t="s">
        <v>31</v>
      </c>
      <c r="O499" t="s">
        <v>42</v>
      </c>
      <c r="P499">
        <v>11</v>
      </c>
      <c r="Q499">
        <v>31</v>
      </c>
      <c r="R499">
        <v>3</v>
      </c>
      <c r="S499" t="s">
        <v>33</v>
      </c>
      <c r="T499">
        <v>3</v>
      </c>
      <c r="U499" t="s">
        <v>31</v>
      </c>
      <c r="V499" s="1">
        <v>45042</v>
      </c>
      <c r="X499" s="1" t="str">
        <f t="shared" si="21"/>
        <v>Active</v>
      </c>
      <c r="Y499" t="str">
        <f t="shared" si="22"/>
        <v>46-55</v>
      </c>
      <c r="Z499" t="str">
        <f t="shared" si="23"/>
        <v>10+ Years</v>
      </c>
    </row>
    <row r="500" spans="1:26" x14ac:dyDescent="0.35">
      <c r="A500" t="s">
        <v>556</v>
      </c>
      <c r="B500">
        <v>42</v>
      </c>
      <c r="C500" t="s">
        <v>44</v>
      </c>
      <c r="D500" t="s">
        <v>39</v>
      </c>
      <c r="E500" t="s">
        <v>59</v>
      </c>
      <c r="F500" t="s">
        <v>37</v>
      </c>
      <c r="G500">
        <v>97515</v>
      </c>
      <c r="H500">
        <v>6</v>
      </c>
      <c r="I500">
        <v>18</v>
      </c>
      <c r="J500">
        <v>4</v>
      </c>
      <c r="K500">
        <v>4</v>
      </c>
      <c r="L500">
        <v>3</v>
      </c>
      <c r="M500">
        <v>2</v>
      </c>
      <c r="N500" t="s">
        <v>31</v>
      </c>
      <c r="O500" t="s">
        <v>32</v>
      </c>
      <c r="P500">
        <v>12</v>
      </c>
      <c r="Q500">
        <v>36</v>
      </c>
      <c r="R500">
        <v>2</v>
      </c>
      <c r="S500" t="s">
        <v>31</v>
      </c>
      <c r="T500">
        <v>7</v>
      </c>
      <c r="U500" t="s">
        <v>31</v>
      </c>
      <c r="V500" s="1">
        <v>43762</v>
      </c>
      <c r="X500" s="1" t="str">
        <f t="shared" si="21"/>
        <v>Active</v>
      </c>
      <c r="Y500" t="str">
        <f t="shared" si="22"/>
        <v>36-45</v>
      </c>
      <c r="Z500" t="str">
        <f t="shared" si="23"/>
        <v>6-10 Years</v>
      </c>
    </row>
    <row r="501" spans="1:26" x14ac:dyDescent="0.35">
      <c r="A501" t="s">
        <v>557</v>
      </c>
      <c r="B501">
        <v>38</v>
      </c>
      <c r="C501" t="s">
        <v>27</v>
      </c>
      <c r="D501" t="s">
        <v>49</v>
      </c>
      <c r="E501" t="s">
        <v>68</v>
      </c>
      <c r="F501" t="s">
        <v>30</v>
      </c>
      <c r="G501">
        <v>84770</v>
      </c>
      <c r="H501">
        <v>7</v>
      </c>
      <c r="I501">
        <v>15</v>
      </c>
      <c r="J501">
        <v>3</v>
      </c>
      <c r="K501">
        <v>2</v>
      </c>
      <c r="L501">
        <v>4</v>
      </c>
      <c r="M501">
        <v>1</v>
      </c>
      <c r="N501" t="s">
        <v>31</v>
      </c>
      <c r="O501" t="s">
        <v>47</v>
      </c>
      <c r="P501">
        <v>16</v>
      </c>
      <c r="Q501">
        <v>22</v>
      </c>
      <c r="R501">
        <v>2</v>
      </c>
      <c r="S501" t="s">
        <v>31</v>
      </c>
      <c r="T501">
        <v>7</v>
      </c>
      <c r="U501" t="s">
        <v>31</v>
      </c>
      <c r="V501" s="1">
        <v>44744</v>
      </c>
      <c r="X501" s="1" t="str">
        <f t="shared" si="21"/>
        <v>Active</v>
      </c>
      <c r="Y501" t="str">
        <f t="shared" si="22"/>
        <v>36-45</v>
      </c>
      <c r="Z501" t="str">
        <f t="shared" si="23"/>
        <v>6-10 Years</v>
      </c>
    </row>
    <row r="502" spans="1:26" x14ac:dyDescent="0.35">
      <c r="A502" t="s">
        <v>558</v>
      </c>
      <c r="B502">
        <v>29</v>
      </c>
      <c r="C502" t="s">
        <v>44</v>
      </c>
      <c r="D502" t="s">
        <v>28</v>
      </c>
      <c r="E502" t="s">
        <v>29</v>
      </c>
      <c r="F502" t="s">
        <v>56</v>
      </c>
      <c r="G502">
        <v>77625</v>
      </c>
      <c r="H502">
        <v>4</v>
      </c>
      <c r="I502">
        <v>5</v>
      </c>
      <c r="J502">
        <v>3</v>
      </c>
      <c r="K502">
        <v>3</v>
      </c>
      <c r="L502">
        <v>3</v>
      </c>
      <c r="M502">
        <v>3</v>
      </c>
      <c r="N502" t="s">
        <v>31</v>
      </c>
      <c r="O502" t="s">
        <v>32</v>
      </c>
      <c r="P502">
        <v>14</v>
      </c>
      <c r="Q502">
        <v>13</v>
      </c>
      <c r="R502">
        <v>4</v>
      </c>
      <c r="S502" t="s">
        <v>31</v>
      </c>
      <c r="T502">
        <v>4</v>
      </c>
      <c r="U502" t="s">
        <v>33</v>
      </c>
      <c r="V502" s="1">
        <v>44316</v>
      </c>
      <c r="W502" s="1">
        <v>44824</v>
      </c>
      <c r="X502" s="1" t="str">
        <f t="shared" si="21"/>
        <v>2022-09-20</v>
      </c>
      <c r="Y502" t="str">
        <f t="shared" si="22"/>
        <v>26-35</v>
      </c>
      <c r="Z502" t="str">
        <f t="shared" si="23"/>
        <v>4-5 Years</v>
      </c>
    </row>
    <row r="503" spans="1:26" x14ac:dyDescent="0.35">
      <c r="A503" t="s">
        <v>559</v>
      </c>
      <c r="B503">
        <v>36</v>
      </c>
      <c r="C503" t="s">
        <v>44</v>
      </c>
      <c r="D503" t="s">
        <v>45</v>
      </c>
      <c r="E503" t="s">
        <v>63</v>
      </c>
      <c r="F503" t="s">
        <v>56</v>
      </c>
      <c r="G503">
        <v>127369</v>
      </c>
      <c r="H503">
        <v>13</v>
      </c>
      <c r="I503">
        <v>14</v>
      </c>
      <c r="J503">
        <v>5</v>
      </c>
      <c r="K503">
        <v>4</v>
      </c>
      <c r="L503">
        <v>3</v>
      </c>
      <c r="M503">
        <v>2</v>
      </c>
      <c r="N503" t="s">
        <v>33</v>
      </c>
      <c r="O503" t="s">
        <v>32</v>
      </c>
      <c r="P503">
        <v>28</v>
      </c>
      <c r="Q503">
        <v>53</v>
      </c>
      <c r="R503">
        <v>3</v>
      </c>
      <c r="S503" t="s">
        <v>33</v>
      </c>
      <c r="T503">
        <v>5</v>
      </c>
      <c r="U503" t="s">
        <v>33</v>
      </c>
      <c r="V503" s="1">
        <v>42260</v>
      </c>
      <c r="W503" s="1">
        <v>42766</v>
      </c>
      <c r="X503" s="1" t="str">
        <f t="shared" si="21"/>
        <v>2017-01-31</v>
      </c>
      <c r="Y503" t="str">
        <f t="shared" si="22"/>
        <v>36-45</v>
      </c>
      <c r="Z503" t="str">
        <f t="shared" si="23"/>
        <v>10+ Years</v>
      </c>
    </row>
    <row r="504" spans="1:26" x14ac:dyDescent="0.35">
      <c r="A504" t="s">
        <v>560</v>
      </c>
      <c r="B504">
        <v>41</v>
      </c>
      <c r="C504" t="s">
        <v>27</v>
      </c>
      <c r="D504" t="s">
        <v>52</v>
      </c>
      <c r="E504" t="s">
        <v>53</v>
      </c>
      <c r="F504" t="s">
        <v>61</v>
      </c>
      <c r="G504">
        <v>63968</v>
      </c>
      <c r="H504">
        <v>2</v>
      </c>
      <c r="I504">
        <v>18</v>
      </c>
      <c r="J504">
        <v>2</v>
      </c>
      <c r="K504">
        <v>2</v>
      </c>
      <c r="L504">
        <v>1</v>
      </c>
      <c r="M504">
        <v>1</v>
      </c>
      <c r="N504" t="s">
        <v>31</v>
      </c>
      <c r="O504" t="s">
        <v>32</v>
      </c>
      <c r="P504">
        <v>14</v>
      </c>
      <c r="Q504">
        <v>11</v>
      </c>
      <c r="R504">
        <v>2</v>
      </c>
      <c r="S504" t="s">
        <v>31</v>
      </c>
      <c r="T504">
        <v>3</v>
      </c>
      <c r="U504" t="s">
        <v>31</v>
      </c>
      <c r="V504" s="1">
        <v>43470</v>
      </c>
      <c r="X504" s="1" t="str">
        <f t="shared" si="21"/>
        <v>Active</v>
      </c>
      <c r="Y504" t="str">
        <f t="shared" si="22"/>
        <v>36-45</v>
      </c>
      <c r="Z504" t="str">
        <f t="shared" si="23"/>
        <v>2-3 Years</v>
      </c>
    </row>
    <row r="505" spans="1:26" x14ac:dyDescent="0.35">
      <c r="A505" t="s">
        <v>561</v>
      </c>
      <c r="B505">
        <v>54</v>
      </c>
      <c r="C505" t="s">
        <v>44</v>
      </c>
      <c r="D505" t="s">
        <v>45</v>
      </c>
      <c r="E505" t="s">
        <v>63</v>
      </c>
      <c r="F505" t="s">
        <v>37</v>
      </c>
      <c r="G505">
        <v>128453</v>
      </c>
      <c r="H505">
        <v>14</v>
      </c>
      <c r="I505">
        <v>31</v>
      </c>
      <c r="J505">
        <v>5</v>
      </c>
      <c r="K505">
        <v>4</v>
      </c>
      <c r="L505">
        <v>2</v>
      </c>
      <c r="M505">
        <v>2</v>
      </c>
      <c r="N505" t="s">
        <v>31</v>
      </c>
      <c r="O505" t="s">
        <v>32</v>
      </c>
      <c r="P505">
        <v>18</v>
      </c>
      <c r="Q505">
        <v>50</v>
      </c>
      <c r="R505">
        <v>2</v>
      </c>
      <c r="S505" t="s">
        <v>31</v>
      </c>
      <c r="T505">
        <v>5</v>
      </c>
      <c r="U505" t="s">
        <v>31</v>
      </c>
      <c r="V505" s="1">
        <v>45140</v>
      </c>
      <c r="X505" s="1" t="str">
        <f t="shared" si="21"/>
        <v>Active</v>
      </c>
      <c r="Y505" t="str">
        <f t="shared" si="22"/>
        <v>46-55</v>
      </c>
      <c r="Z505" t="str">
        <f t="shared" si="23"/>
        <v>10+ Years</v>
      </c>
    </row>
    <row r="506" spans="1:26" x14ac:dyDescent="0.35">
      <c r="A506" t="s">
        <v>562</v>
      </c>
      <c r="B506">
        <v>26</v>
      </c>
      <c r="C506" t="s">
        <v>27</v>
      </c>
      <c r="D506" t="s">
        <v>28</v>
      </c>
      <c r="E506" t="s">
        <v>66</v>
      </c>
      <c r="F506" t="s">
        <v>56</v>
      </c>
      <c r="G506">
        <v>40143</v>
      </c>
      <c r="H506">
        <v>1</v>
      </c>
      <c r="I506">
        <v>2</v>
      </c>
      <c r="J506">
        <v>1</v>
      </c>
      <c r="K506">
        <v>1</v>
      </c>
      <c r="L506">
        <v>4</v>
      </c>
      <c r="M506">
        <v>4</v>
      </c>
      <c r="N506" t="s">
        <v>33</v>
      </c>
      <c r="O506" t="s">
        <v>32</v>
      </c>
      <c r="P506">
        <v>16</v>
      </c>
      <c r="Q506">
        <v>33</v>
      </c>
      <c r="R506">
        <v>3</v>
      </c>
      <c r="S506" t="s">
        <v>31</v>
      </c>
      <c r="T506">
        <v>7</v>
      </c>
      <c r="U506" t="s">
        <v>31</v>
      </c>
      <c r="V506" s="1">
        <v>41468</v>
      </c>
      <c r="X506" s="1" t="str">
        <f t="shared" si="21"/>
        <v>Active</v>
      </c>
      <c r="Y506" t="str">
        <f t="shared" si="22"/>
        <v>26-35</v>
      </c>
      <c r="Z506" t="str">
        <f t="shared" si="23"/>
        <v>0-1 Year</v>
      </c>
    </row>
    <row r="507" spans="1:26" x14ac:dyDescent="0.35">
      <c r="A507" t="s">
        <v>563</v>
      </c>
      <c r="B507">
        <v>43</v>
      </c>
      <c r="C507" t="s">
        <v>44</v>
      </c>
      <c r="D507" t="s">
        <v>35</v>
      </c>
      <c r="E507" t="s">
        <v>85</v>
      </c>
      <c r="F507" t="s">
        <v>61</v>
      </c>
      <c r="G507">
        <v>98072</v>
      </c>
      <c r="H507">
        <v>7</v>
      </c>
      <c r="I507">
        <v>21</v>
      </c>
      <c r="J507">
        <v>4</v>
      </c>
      <c r="K507">
        <v>2</v>
      </c>
      <c r="L507">
        <v>4</v>
      </c>
      <c r="M507">
        <v>3</v>
      </c>
      <c r="N507" t="s">
        <v>31</v>
      </c>
      <c r="O507" t="s">
        <v>32</v>
      </c>
      <c r="P507">
        <v>19</v>
      </c>
      <c r="Q507">
        <v>24</v>
      </c>
      <c r="R507">
        <v>3</v>
      </c>
      <c r="S507" t="s">
        <v>33</v>
      </c>
      <c r="T507">
        <v>7</v>
      </c>
      <c r="U507" t="s">
        <v>31</v>
      </c>
      <c r="V507" s="1">
        <v>43003</v>
      </c>
      <c r="X507" s="1" t="str">
        <f t="shared" si="21"/>
        <v>Active</v>
      </c>
      <c r="Y507" t="str">
        <f t="shared" si="22"/>
        <v>36-45</v>
      </c>
      <c r="Z507" t="str">
        <f t="shared" si="23"/>
        <v>6-10 Years</v>
      </c>
    </row>
    <row r="508" spans="1:26" x14ac:dyDescent="0.35">
      <c r="A508" t="s">
        <v>564</v>
      </c>
      <c r="B508">
        <v>57</v>
      </c>
      <c r="C508" t="s">
        <v>27</v>
      </c>
      <c r="D508" t="s">
        <v>35</v>
      </c>
      <c r="E508" t="s">
        <v>36</v>
      </c>
      <c r="F508" t="s">
        <v>78</v>
      </c>
      <c r="G508">
        <v>137064</v>
      </c>
      <c r="H508">
        <v>20</v>
      </c>
      <c r="I508">
        <v>35</v>
      </c>
      <c r="J508">
        <v>5</v>
      </c>
      <c r="K508">
        <v>4</v>
      </c>
      <c r="L508">
        <v>2</v>
      </c>
      <c r="M508">
        <v>4</v>
      </c>
      <c r="N508" t="s">
        <v>31</v>
      </c>
      <c r="O508" t="s">
        <v>42</v>
      </c>
      <c r="P508">
        <v>21</v>
      </c>
      <c r="Q508">
        <v>30</v>
      </c>
      <c r="R508">
        <v>2</v>
      </c>
      <c r="S508" t="s">
        <v>33</v>
      </c>
      <c r="T508">
        <v>7</v>
      </c>
      <c r="U508" t="s">
        <v>31</v>
      </c>
      <c r="V508" s="1">
        <v>45257</v>
      </c>
      <c r="X508" s="1" t="str">
        <f t="shared" si="21"/>
        <v>Active</v>
      </c>
      <c r="Y508" t="str">
        <f t="shared" si="22"/>
        <v>56+</v>
      </c>
      <c r="Z508" t="str">
        <f t="shared" si="23"/>
        <v>10+ Years</v>
      </c>
    </row>
    <row r="509" spans="1:26" x14ac:dyDescent="0.35">
      <c r="A509" t="s">
        <v>565</v>
      </c>
      <c r="B509">
        <v>42</v>
      </c>
      <c r="C509" t="s">
        <v>27</v>
      </c>
      <c r="D509" t="s">
        <v>35</v>
      </c>
      <c r="E509" t="s">
        <v>85</v>
      </c>
      <c r="F509" t="s">
        <v>30</v>
      </c>
      <c r="G509">
        <v>122494</v>
      </c>
      <c r="H509">
        <v>12</v>
      </c>
      <c r="I509">
        <v>20</v>
      </c>
      <c r="J509">
        <v>5</v>
      </c>
      <c r="K509">
        <v>1</v>
      </c>
      <c r="L509">
        <v>2</v>
      </c>
      <c r="M509">
        <v>1</v>
      </c>
      <c r="N509" t="s">
        <v>31</v>
      </c>
      <c r="O509" t="s">
        <v>32</v>
      </c>
      <c r="P509">
        <v>23</v>
      </c>
      <c r="Q509">
        <v>51</v>
      </c>
      <c r="R509">
        <v>3</v>
      </c>
      <c r="S509" t="s">
        <v>33</v>
      </c>
      <c r="T509">
        <v>2</v>
      </c>
      <c r="U509" t="s">
        <v>31</v>
      </c>
      <c r="V509" s="1">
        <v>42183</v>
      </c>
      <c r="X509" s="1" t="str">
        <f t="shared" si="21"/>
        <v>Active</v>
      </c>
      <c r="Y509" t="str">
        <f t="shared" si="22"/>
        <v>36-45</v>
      </c>
      <c r="Z509" t="str">
        <f t="shared" si="23"/>
        <v>10+ Years</v>
      </c>
    </row>
    <row r="510" spans="1:26" x14ac:dyDescent="0.35">
      <c r="A510" t="s">
        <v>566</v>
      </c>
      <c r="B510">
        <v>22</v>
      </c>
      <c r="C510" t="s">
        <v>27</v>
      </c>
      <c r="D510" t="s">
        <v>52</v>
      </c>
      <c r="E510" t="s">
        <v>53</v>
      </c>
      <c r="F510" t="s">
        <v>78</v>
      </c>
      <c r="G510">
        <v>43266</v>
      </c>
      <c r="H510">
        <v>0</v>
      </c>
      <c r="I510">
        <v>1</v>
      </c>
      <c r="J510">
        <v>1</v>
      </c>
      <c r="K510">
        <v>3</v>
      </c>
      <c r="L510">
        <v>2</v>
      </c>
      <c r="M510">
        <v>4</v>
      </c>
      <c r="N510" t="s">
        <v>31</v>
      </c>
      <c r="O510" t="s">
        <v>32</v>
      </c>
      <c r="P510">
        <v>1</v>
      </c>
      <c r="Q510">
        <v>34</v>
      </c>
      <c r="R510">
        <v>3</v>
      </c>
      <c r="S510" t="s">
        <v>31</v>
      </c>
      <c r="T510">
        <v>4</v>
      </c>
      <c r="U510" t="s">
        <v>31</v>
      </c>
      <c r="V510" s="1">
        <v>42134</v>
      </c>
      <c r="X510" s="1" t="str">
        <f t="shared" si="21"/>
        <v>Active</v>
      </c>
      <c r="Y510" t="str">
        <f t="shared" si="22"/>
        <v>18-25</v>
      </c>
      <c r="Z510" t="str">
        <f t="shared" si="23"/>
        <v>0-1 Year</v>
      </c>
    </row>
    <row r="511" spans="1:26" x14ac:dyDescent="0.35">
      <c r="A511" t="s">
        <v>567</v>
      </c>
      <c r="B511">
        <v>58</v>
      </c>
      <c r="C511" t="s">
        <v>27</v>
      </c>
      <c r="D511" t="s">
        <v>35</v>
      </c>
      <c r="E511" t="s">
        <v>85</v>
      </c>
      <c r="F511" t="s">
        <v>30</v>
      </c>
      <c r="G511">
        <v>140863</v>
      </c>
      <c r="H511">
        <v>20</v>
      </c>
      <c r="I511">
        <v>36</v>
      </c>
      <c r="J511">
        <v>5</v>
      </c>
      <c r="K511">
        <v>1</v>
      </c>
      <c r="L511">
        <v>4</v>
      </c>
      <c r="M511">
        <v>2</v>
      </c>
      <c r="N511" t="s">
        <v>31</v>
      </c>
      <c r="O511" t="s">
        <v>32</v>
      </c>
      <c r="P511">
        <v>22</v>
      </c>
      <c r="Q511">
        <v>55</v>
      </c>
      <c r="R511">
        <v>4</v>
      </c>
      <c r="S511" t="s">
        <v>33</v>
      </c>
      <c r="T511">
        <v>6</v>
      </c>
      <c r="U511" t="s">
        <v>31</v>
      </c>
      <c r="V511" s="1">
        <v>41013</v>
      </c>
      <c r="X511" s="1" t="str">
        <f t="shared" si="21"/>
        <v>Active</v>
      </c>
      <c r="Y511" t="str">
        <f t="shared" si="22"/>
        <v>56+</v>
      </c>
      <c r="Z511" t="str">
        <f t="shared" si="23"/>
        <v>10+ Years</v>
      </c>
    </row>
    <row r="512" spans="1:26" x14ac:dyDescent="0.35">
      <c r="A512" t="s">
        <v>568</v>
      </c>
      <c r="B512">
        <v>47</v>
      </c>
      <c r="C512" t="s">
        <v>27</v>
      </c>
      <c r="D512" t="s">
        <v>45</v>
      </c>
      <c r="E512" t="s">
        <v>63</v>
      </c>
      <c r="F512" t="s">
        <v>41</v>
      </c>
      <c r="G512">
        <v>101988</v>
      </c>
      <c r="H512">
        <v>9</v>
      </c>
      <c r="I512">
        <v>24</v>
      </c>
      <c r="J512">
        <v>4</v>
      </c>
      <c r="K512">
        <v>2</v>
      </c>
      <c r="L512">
        <v>1</v>
      </c>
      <c r="M512">
        <v>1</v>
      </c>
      <c r="N512" t="s">
        <v>31</v>
      </c>
      <c r="O512" t="s">
        <v>32</v>
      </c>
      <c r="P512">
        <v>10</v>
      </c>
      <c r="Q512">
        <v>30</v>
      </c>
      <c r="R512">
        <v>4</v>
      </c>
      <c r="S512" t="s">
        <v>31</v>
      </c>
      <c r="T512">
        <v>5</v>
      </c>
      <c r="U512" t="s">
        <v>31</v>
      </c>
      <c r="V512" s="1">
        <v>43730</v>
      </c>
      <c r="X512" s="1" t="str">
        <f t="shared" si="21"/>
        <v>Active</v>
      </c>
      <c r="Y512" t="str">
        <f t="shared" si="22"/>
        <v>46-55</v>
      </c>
      <c r="Z512" t="str">
        <f t="shared" si="23"/>
        <v>6-10 Years</v>
      </c>
    </row>
    <row r="513" spans="1:26" x14ac:dyDescent="0.35">
      <c r="A513" t="s">
        <v>569</v>
      </c>
      <c r="B513">
        <v>44</v>
      </c>
      <c r="C513" t="s">
        <v>44</v>
      </c>
      <c r="D513" t="s">
        <v>45</v>
      </c>
      <c r="E513" t="s">
        <v>63</v>
      </c>
      <c r="F513" t="s">
        <v>37</v>
      </c>
      <c r="G513">
        <v>67452</v>
      </c>
      <c r="H513">
        <v>5</v>
      </c>
      <c r="I513">
        <v>21</v>
      </c>
      <c r="J513">
        <v>2</v>
      </c>
      <c r="K513">
        <v>3</v>
      </c>
      <c r="L513">
        <v>4</v>
      </c>
      <c r="M513">
        <v>2</v>
      </c>
      <c r="N513" t="s">
        <v>31</v>
      </c>
      <c r="O513" t="s">
        <v>42</v>
      </c>
      <c r="P513">
        <v>28</v>
      </c>
      <c r="Q513">
        <v>37</v>
      </c>
      <c r="R513">
        <v>3</v>
      </c>
      <c r="S513" t="s">
        <v>31</v>
      </c>
      <c r="T513">
        <v>8</v>
      </c>
      <c r="U513" t="s">
        <v>33</v>
      </c>
      <c r="V513" s="1">
        <v>44838</v>
      </c>
      <c r="W513" s="1">
        <v>45429</v>
      </c>
      <c r="X513" s="1" t="str">
        <f t="shared" si="21"/>
        <v>2024-05-17</v>
      </c>
      <c r="Y513" t="str">
        <f t="shared" si="22"/>
        <v>36-45</v>
      </c>
      <c r="Z513" t="str">
        <f t="shared" si="23"/>
        <v>4-5 Years</v>
      </c>
    </row>
    <row r="514" spans="1:26" x14ac:dyDescent="0.35">
      <c r="A514" t="s">
        <v>570</v>
      </c>
      <c r="B514">
        <v>33</v>
      </c>
      <c r="C514" t="s">
        <v>27</v>
      </c>
      <c r="D514" t="s">
        <v>35</v>
      </c>
      <c r="E514" t="s">
        <v>36</v>
      </c>
      <c r="F514" t="s">
        <v>61</v>
      </c>
      <c r="G514">
        <v>99946</v>
      </c>
      <c r="H514">
        <v>7</v>
      </c>
      <c r="I514">
        <v>12</v>
      </c>
      <c r="J514">
        <v>4</v>
      </c>
      <c r="K514">
        <v>4</v>
      </c>
      <c r="L514">
        <v>2</v>
      </c>
      <c r="M514">
        <v>4</v>
      </c>
      <c r="N514" t="s">
        <v>31</v>
      </c>
      <c r="O514" t="s">
        <v>32</v>
      </c>
      <c r="P514">
        <v>22</v>
      </c>
      <c r="Q514">
        <v>58</v>
      </c>
      <c r="R514">
        <v>3</v>
      </c>
      <c r="S514" t="s">
        <v>31</v>
      </c>
      <c r="T514">
        <v>5</v>
      </c>
      <c r="U514" t="s">
        <v>31</v>
      </c>
      <c r="V514" s="1">
        <v>43434</v>
      </c>
      <c r="X514" s="1" t="str">
        <f t="shared" si="21"/>
        <v>Active</v>
      </c>
      <c r="Y514" t="str">
        <f t="shared" si="22"/>
        <v>26-35</v>
      </c>
      <c r="Z514" t="str">
        <f t="shared" si="23"/>
        <v>6-10 Years</v>
      </c>
    </row>
    <row r="515" spans="1:26" x14ac:dyDescent="0.35">
      <c r="A515" t="s">
        <v>571</v>
      </c>
      <c r="B515">
        <v>34</v>
      </c>
      <c r="C515" t="s">
        <v>27</v>
      </c>
      <c r="D515" t="s">
        <v>39</v>
      </c>
      <c r="E515" t="s">
        <v>40</v>
      </c>
      <c r="F515" t="s">
        <v>41</v>
      </c>
      <c r="G515">
        <v>105181</v>
      </c>
      <c r="H515">
        <v>8</v>
      </c>
      <c r="I515">
        <v>11</v>
      </c>
      <c r="J515">
        <v>4</v>
      </c>
      <c r="K515">
        <v>2</v>
      </c>
      <c r="L515">
        <v>4</v>
      </c>
      <c r="M515">
        <v>4</v>
      </c>
      <c r="N515" t="s">
        <v>31</v>
      </c>
      <c r="O515" t="s">
        <v>42</v>
      </c>
      <c r="P515">
        <v>9</v>
      </c>
      <c r="Q515">
        <v>39</v>
      </c>
      <c r="R515">
        <v>3</v>
      </c>
      <c r="S515" t="s">
        <v>31</v>
      </c>
      <c r="T515">
        <v>4</v>
      </c>
      <c r="U515" t="s">
        <v>31</v>
      </c>
      <c r="V515" s="1">
        <v>41788</v>
      </c>
      <c r="X515" s="1" t="str">
        <f t="shared" ref="X515:X578" si="24">IF(ISBLANK(W515), "Active", TEXT(W515, "yyyy-mm-dd"))</f>
        <v>Active</v>
      </c>
      <c r="Y515" t="str">
        <f t="shared" ref="Y515:Y578" si="25">_xlfn.IFS(B515&lt;=25, "18-25", B515&lt;=35, "26-35", B515&lt;=45, "36-45", B515&lt;=55, "46-55", B515&gt;55, "56+")</f>
        <v>26-35</v>
      </c>
      <c r="Z515" t="str">
        <f t="shared" ref="Z515:Z578" si="26">_xlfn.IFS(H515&lt;=1, "0-1 Year", H515&lt;=3, "2-3 Years", H515&lt;=5, "4-5 Years", H515&lt;=10, "6-10 Years", H515&gt;10, "10+ Years")</f>
        <v>6-10 Years</v>
      </c>
    </row>
    <row r="516" spans="1:26" x14ac:dyDescent="0.35">
      <c r="A516" t="s">
        <v>572</v>
      </c>
      <c r="B516">
        <v>25</v>
      </c>
      <c r="C516" t="s">
        <v>27</v>
      </c>
      <c r="D516" t="s">
        <v>52</v>
      </c>
      <c r="E516" t="s">
        <v>53</v>
      </c>
      <c r="F516" t="s">
        <v>56</v>
      </c>
      <c r="G516">
        <v>59704</v>
      </c>
      <c r="H516">
        <v>0</v>
      </c>
      <c r="I516">
        <v>1</v>
      </c>
      <c r="J516">
        <v>2</v>
      </c>
      <c r="K516">
        <v>3</v>
      </c>
      <c r="L516">
        <v>1</v>
      </c>
      <c r="M516">
        <v>2</v>
      </c>
      <c r="N516" t="s">
        <v>31</v>
      </c>
      <c r="O516" t="s">
        <v>32</v>
      </c>
      <c r="P516">
        <v>7</v>
      </c>
      <c r="Q516">
        <v>39</v>
      </c>
      <c r="R516">
        <v>3</v>
      </c>
      <c r="S516" t="s">
        <v>31</v>
      </c>
      <c r="T516">
        <v>4</v>
      </c>
      <c r="U516" t="s">
        <v>31</v>
      </c>
      <c r="V516" s="1">
        <v>44520</v>
      </c>
      <c r="X516" s="1" t="str">
        <f t="shared" si="24"/>
        <v>Active</v>
      </c>
      <c r="Y516" t="str">
        <f t="shared" si="25"/>
        <v>18-25</v>
      </c>
      <c r="Z516" t="str">
        <f t="shared" si="26"/>
        <v>0-1 Year</v>
      </c>
    </row>
    <row r="517" spans="1:26" x14ac:dyDescent="0.35">
      <c r="A517" t="s">
        <v>573</v>
      </c>
      <c r="B517">
        <v>35</v>
      </c>
      <c r="C517" t="s">
        <v>27</v>
      </c>
      <c r="D517" t="s">
        <v>52</v>
      </c>
      <c r="E517" t="s">
        <v>53</v>
      </c>
      <c r="F517" t="s">
        <v>41</v>
      </c>
      <c r="G517">
        <v>56776</v>
      </c>
      <c r="H517">
        <v>0</v>
      </c>
      <c r="I517">
        <v>12</v>
      </c>
      <c r="J517">
        <v>2</v>
      </c>
      <c r="K517">
        <v>3</v>
      </c>
      <c r="L517">
        <v>3</v>
      </c>
      <c r="M517">
        <v>4</v>
      </c>
      <c r="N517" t="s">
        <v>31</v>
      </c>
      <c r="O517" t="s">
        <v>32</v>
      </c>
      <c r="P517">
        <v>29</v>
      </c>
      <c r="Q517">
        <v>13</v>
      </c>
      <c r="R517">
        <v>4</v>
      </c>
      <c r="S517" t="s">
        <v>31</v>
      </c>
      <c r="T517">
        <v>8</v>
      </c>
      <c r="U517" t="s">
        <v>33</v>
      </c>
      <c r="V517" s="1">
        <v>45009</v>
      </c>
      <c r="W517" s="1">
        <v>45339</v>
      </c>
      <c r="X517" s="1" t="str">
        <f t="shared" si="24"/>
        <v>2024-02-17</v>
      </c>
      <c r="Y517" t="str">
        <f t="shared" si="25"/>
        <v>26-35</v>
      </c>
      <c r="Z517" t="str">
        <f t="shared" si="26"/>
        <v>0-1 Year</v>
      </c>
    </row>
    <row r="518" spans="1:26" x14ac:dyDescent="0.35">
      <c r="A518" t="s">
        <v>574</v>
      </c>
      <c r="B518">
        <v>30</v>
      </c>
      <c r="C518" t="s">
        <v>44</v>
      </c>
      <c r="D518" t="s">
        <v>28</v>
      </c>
      <c r="E518" t="s">
        <v>66</v>
      </c>
      <c r="F518" t="s">
        <v>41</v>
      </c>
      <c r="G518">
        <v>57890</v>
      </c>
      <c r="H518">
        <v>1</v>
      </c>
      <c r="I518">
        <v>6</v>
      </c>
      <c r="J518">
        <v>2</v>
      </c>
      <c r="K518">
        <v>1</v>
      </c>
      <c r="L518">
        <v>1</v>
      </c>
      <c r="M518">
        <v>4</v>
      </c>
      <c r="N518" t="s">
        <v>31</v>
      </c>
      <c r="O518" t="s">
        <v>32</v>
      </c>
      <c r="P518">
        <v>6</v>
      </c>
      <c r="Q518">
        <v>53</v>
      </c>
      <c r="R518">
        <v>3</v>
      </c>
      <c r="S518" t="s">
        <v>31</v>
      </c>
      <c r="T518">
        <v>6</v>
      </c>
      <c r="U518" t="s">
        <v>31</v>
      </c>
      <c r="V518" s="1">
        <v>45179</v>
      </c>
      <c r="X518" s="1" t="str">
        <f t="shared" si="24"/>
        <v>Active</v>
      </c>
      <c r="Y518" t="str">
        <f t="shared" si="25"/>
        <v>26-35</v>
      </c>
      <c r="Z518" t="str">
        <f t="shared" si="26"/>
        <v>0-1 Year</v>
      </c>
    </row>
    <row r="519" spans="1:26" x14ac:dyDescent="0.35">
      <c r="A519" t="s">
        <v>575</v>
      </c>
      <c r="B519">
        <v>41</v>
      </c>
      <c r="C519" t="s">
        <v>44</v>
      </c>
      <c r="D519" t="s">
        <v>35</v>
      </c>
      <c r="E519" t="s">
        <v>85</v>
      </c>
      <c r="F519" t="s">
        <v>41</v>
      </c>
      <c r="G519">
        <v>79700</v>
      </c>
      <c r="H519">
        <v>3</v>
      </c>
      <c r="I519">
        <v>17</v>
      </c>
      <c r="J519">
        <v>3</v>
      </c>
      <c r="K519">
        <v>2</v>
      </c>
      <c r="L519">
        <v>4</v>
      </c>
      <c r="M519">
        <v>2</v>
      </c>
      <c r="N519" t="s">
        <v>31</v>
      </c>
      <c r="O519" t="s">
        <v>32</v>
      </c>
      <c r="P519">
        <v>7</v>
      </c>
      <c r="Q519">
        <v>47</v>
      </c>
      <c r="R519">
        <v>3</v>
      </c>
      <c r="S519" t="s">
        <v>31</v>
      </c>
      <c r="T519">
        <v>5</v>
      </c>
      <c r="U519" t="s">
        <v>33</v>
      </c>
      <c r="V519" s="1">
        <v>43473</v>
      </c>
      <c r="W519" s="1">
        <v>43640</v>
      </c>
      <c r="X519" s="1" t="str">
        <f t="shared" si="24"/>
        <v>2019-06-24</v>
      </c>
      <c r="Y519" t="str">
        <f t="shared" si="25"/>
        <v>36-45</v>
      </c>
      <c r="Z519" t="str">
        <f t="shared" si="26"/>
        <v>2-3 Years</v>
      </c>
    </row>
    <row r="520" spans="1:26" x14ac:dyDescent="0.35">
      <c r="A520" t="s">
        <v>576</v>
      </c>
      <c r="B520">
        <v>57</v>
      </c>
      <c r="C520" t="s">
        <v>44</v>
      </c>
      <c r="D520" t="s">
        <v>35</v>
      </c>
      <c r="E520" t="s">
        <v>85</v>
      </c>
      <c r="F520" t="s">
        <v>37</v>
      </c>
      <c r="G520">
        <v>169029</v>
      </c>
      <c r="H520">
        <v>33</v>
      </c>
      <c r="I520">
        <v>36</v>
      </c>
      <c r="J520">
        <v>5</v>
      </c>
      <c r="K520">
        <v>4</v>
      </c>
      <c r="L520">
        <v>4</v>
      </c>
      <c r="M520">
        <v>3</v>
      </c>
      <c r="N520" t="s">
        <v>31</v>
      </c>
      <c r="O520" t="s">
        <v>32</v>
      </c>
      <c r="P520">
        <v>16</v>
      </c>
      <c r="Q520">
        <v>47</v>
      </c>
      <c r="R520">
        <v>3</v>
      </c>
      <c r="S520" t="s">
        <v>33</v>
      </c>
      <c r="T520">
        <v>3</v>
      </c>
      <c r="U520" t="s">
        <v>31</v>
      </c>
      <c r="V520" s="1">
        <v>44917</v>
      </c>
      <c r="X520" s="1" t="str">
        <f t="shared" si="24"/>
        <v>Active</v>
      </c>
      <c r="Y520" t="str">
        <f t="shared" si="25"/>
        <v>56+</v>
      </c>
      <c r="Z520" t="str">
        <f t="shared" si="26"/>
        <v>10+ Years</v>
      </c>
    </row>
    <row r="521" spans="1:26" x14ac:dyDescent="0.35">
      <c r="A521" t="s">
        <v>577</v>
      </c>
      <c r="B521">
        <v>36</v>
      </c>
      <c r="C521" t="s">
        <v>44</v>
      </c>
      <c r="D521" t="s">
        <v>39</v>
      </c>
      <c r="E521" t="s">
        <v>40</v>
      </c>
      <c r="F521" t="s">
        <v>37</v>
      </c>
      <c r="G521">
        <v>82337</v>
      </c>
      <c r="H521">
        <v>6</v>
      </c>
      <c r="I521">
        <v>15</v>
      </c>
      <c r="J521">
        <v>3</v>
      </c>
      <c r="K521">
        <v>2</v>
      </c>
      <c r="L521">
        <v>2</v>
      </c>
      <c r="M521">
        <v>2</v>
      </c>
      <c r="N521" t="s">
        <v>33</v>
      </c>
      <c r="O521" t="s">
        <v>32</v>
      </c>
      <c r="P521">
        <v>13</v>
      </c>
      <c r="Q521">
        <v>18</v>
      </c>
      <c r="R521">
        <v>3</v>
      </c>
      <c r="S521" t="s">
        <v>31</v>
      </c>
      <c r="T521">
        <v>2</v>
      </c>
      <c r="U521" t="s">
        <v>31</v>
      </c>
      <c r="V521" s="1">
        <v>42043</v>
      </c>
      <c r="X521" s="1" t="str">
        <f t="shared" si="24"/>
        <v>Active</v>
      </c>
      <c r="Y521" t="str">
        <f t="shared" si="25"/>
        <v>36-45</v>
      </c>
      <c r="Z521" t="str">
        <f t="shared" si="26"/>
        <v>6-10 Years</v>
      </c>
    </row>
    <row r="522" spans="1:26" x14ac:dyDescent="0.35">
      <c r="A522" t="s">
        <v>578</v>
      </c>
      <c r="B522">
        <v>54</v>
      </c>
      <c r="C522" t="s">
        <v>27</v>
      </c>
      <c r="D522" t="s">
        <v>49</v>
      </c>
      <c r="E522" t="s">
        <v>68</v>
      </c>
      <c r="F522" t="s">
        <v>56</v>
      </c>
      <c r="G522">
        <v>139962</v>
      </c>
      <c r="H522">
        <v>18</v>
      </c>
      <c r="I522">
        <v>32</v>
      </c>
      <c r="J522">
        <v>5</v>
      </c>
      <c r="K522">
        <v>2</v>
      </c>
      <c r="L522">
        <v>3</v>
      </c>
      <c r="M522">
        <v>2</v>
      </c>
      <c r="N522" t="s">
        <v>33</v>
      </c>
      <c r="O522" t="s">
        <v>32</v>
      </c>
      <c r="P522">
        <v>20</v>
      </c>
      <c r="Q522">
        <v>28</v>
      </c>
      <c r="R522">
        <v>3</v>
      </c>
      <c r="S522" t="s">
        <v>33</v>
      </c>
      <c r="T522">
        <v>3</v>
      </c>
      <c r="U522" t="s">
        <v>31</v>
      </c>
      <c r="V522" s="1">
        <v>43860</v>
      </c>
      <c r="X522" s="1" t="str">
        <f t="shared" si="24"/>
        <v>Active</v>
      </c>
      <c r="Y522" t="str">
        <f t="shared" si="25"/>
        <v>46-55</v>
      </c>
      <c r="Z522" t="str">
        <f t="shared" si="26"/>
        <v>10+ Years</v>
      </c>
    </row>
    <row r="523" spans="1:26" x14ac:dyDescent="0.35">
      <c r="A523" t="s">
        <v>579</v>
      </c>
      <c r="B523">
        <v>33</v>
      </c>
      <c r="C523" t="s">
        <v>44</v>
      </c>
      <c r="D523" t="s">
        <v>39</v>
      </c>
      <c r="E523" t="s">
        <v>59</v>
      </c>
      <c r="F523" t="s">
        <v>30</v>
      </c>
      <c r="G523">
        <v>64867</v>
      </c>
      <c r="H523">
        <v>3</v>
      </c>
      <c r="I523">
        <v>10</v>
      </c>
      <c r="J523">
        <v>2</v>
      </c>
      <c r="K523">
        <v>4</v>
      </c>
      <c r="L523">
        <v>1</v>
      </c>
      <c r="M523">
        <v>3</v>
      </c>
      <c r="N523" t="s">
        <v>33</v>
      </c>
      <c r="O523" t="s">
        <v>32</v>
      </c>
      <c r="P523">
        <v>13</v>
      </c>
      <c r="Q523">
        <v>31</v>
      </c>
      <c r="R523">
        <v>3</v>
      </c>
      <c r="S523" t="s">
        <v>31</v>
      </c>
      <c r="T523">
        <v>2</v>
      </c>
      <c r="U523" t="s">
        <v>31</v>
      </c>
      <c r="V523" s="1">
        <v>42501</v>
      </c>
      <c r="X523" s="1" t="str">
        <f t="shared" si="24"/>
        <v>Active</v>
      </c>
      <c r="Y523" t="str">
        <f t="shared" si="25"/>
        <v>26-35</v>
      </c>
      <c r="Z523" t="str">
        <f t="shared" si="26"/>
        <v>2-3 Years</v>
      </c>
    </row>
    <row r="524" spans="1:26" x14ac:dyDescent="0.35">
      <c r="A524" t="s">
        <v>580</v>
      </c>
      <c r="B524">
        <v>44</v>
      </c>
      <c r="C524" t="s">
        <v>27</v>
      </c>
      <c r="D524" t="s">
        <v>35</v>
      </c>
      <c r="E524" t="s">
        <v>85</v>
      </c>
      <c r="F524" t="s">
        <v>78</v>
      </c>
      <c r="G524">
        <v>129004</v>
      </c>
      <c r="H524">
        <v>13</v>
      </c>
      <c r="I524">
        <v>23</v>
      </c>
      <c r="J524">
        <v>5</v>
      </c>
      <c r="K524">
        <v>4</v>
      </c>
      <c r="L524">
        <v>3</v>
      </c>
      <c r="M524">
        <v>4</v>
      </c>
      <c r="N524" t="s">
        <v>31</v>
      </c>
      <c r="O524" t="s">
        <v>32</v>
      </c>
      <c r="P524">
        <v>13</v>
      </c>
      <c r="Q524">
        <v>18</v>
      </c>
      <c r="R524">
        <v>3</v>
      </c>
      <c r="S524" t="s">
        <v>33</v>
      </c>
      <c r="T524">
        <v>6</v>
      </c>
      <c r="U524" t="s">
        <v>33</v>
      </c>
      <c r="V524" s="1">
        <v>44176</v>
      </c>
      <c r="W524" s="1">
        <v>44478</v>
      </c>
      <c r="X524" s="1" t="str">
        <f t="shared" si="24"/>
        <v>2021-10-09</v>
      </c>
      <c r="Y524" t="str">
        <f t="shared" si="25"/>
        <v>36-45</v>
      </c>
      <c r="Z524" t="str">
        <f t="shared" si="26"/>
        <v>10+ Years</v>
      </c>
    </row>
    <row r="525" spans="1:26" x14ac:dyDescent="0.35">
      <c r="A525" t="s">
        <v>581</v>
      </c>
      <c r="B525">
        <v>42</v>
      </c>
      <c r="C525" t="s">
        <v>27</v>
      </c>
      <c r="D525" t="s">
        <v>39</v>
      </c>
      <c r="E525" t="s">
        <v>40</v>
      </c>
      <c r="F525" t="s">
        <v>37</v>
      </c>
      <c r="G525">
        <v>109108</v>
      </c>
      <c r="H525">
        <v>11</v>
      </c>
      <c r="I525">
        <v>20</v>
      </c>
      <c r="J525">
        <v>4</v>
      </c>
      <c r="K525">
        <v>2</v>
      </c>
      <c r="L525">
        <v>1</v>
      </c>
      <c r="M525">
        <v>2</v>
      </c>
      <c r="N525" t="s">
        <v>31</v>
      </c>
      <c r="O525" t="s">
        <v>47</v>
      </c>
      <c r="P525">
        <v>20</v>
      </c>
      <c r="Q525">
        <v>38</v>
      </c>
      <c r="R525">
        <v>3</v>
      </c>
      <c r="S525" t="s">
        <v>31</v>
      </c>
      <c r="T525">
        <v>4</v>
      </c>
      <c r="U525" t="s">
        <v>31</v>
      </c>
      <c r="V525" s="1">
        <v>42428</v>
      </c>
      <c r="X525" s="1" t="str">
        <f t="shared" si="24"/>
        <v>Active</v>
      </c>
      <c r="Y525" t="str">
        <f t="shared" si="25"/>
        <v>36-45</v>
      </c>
      <c r="Z525" t="str">
        <f t="shared" si="26"/>
        <v>10+ Years</v>
      </c>
    </row>
    <row r="526" spans="1:26" x14ac:dyDescent="0.35">
      <c r="A526" t="s">
        <v>582</v>
      </c>
      <c r="B526">
        <v>41</v>
      </c>
      <c r="C526" t="s">
        <v>27</v>
      </c>
      <c r="D526" t="s">
        <v>39</v>
      </c>
      <c r="E526" t="s">
        <v>40</v>
      </c>
      <c r="F526" t="s">
        <v>78</v>
      </c>
      <c r="G526">
        <v>98338</v>
      </c>
      <c r="H526">
        <v>8</v>
      </c>
      <c r="I526">
        <v>18</v>
      </c>
      <c r="J526">
        <v>4</v>
      </c>
      <c r="K526">
        <v>1</v>
      </c>
      <c r="L526">
        <v>3</v>
      </c>
      <c r="M526">
        <v>3</v>
      </c>
      <c r="N526" t="s">
        <v>31</v>
      </c>
      <c r="O526" t="s">
        <v>32</v>
      </c>
      <c r="P526">
        <v>27</v>
      </c>
      <c r="Q526">
        <v>48</v>
      </c>
      <c r="R526">
        <v>3</v>
      </c>
      <c r="S526" t="s">
        <v>31</v>
      </c>
      <c r="T526">
        <v>2</v>
      </c>
      <c r="U526" t="s">
        <v>31</v>
      </c>
      <c r="V526" s="1">
        <v>43646</v>
      </c>
      <c r="X526" s="1" t="str">
        <f t="shared" si="24"/>
        <v>Active</v>
      </c>
      <c r="Y526" t="str">
        <f t="shared" si="25"/>
        <v>36-45</v>
      </c>
      <c r="Z526" t="str">
        <f t="shared" si="26"/>
        <v>6-10 Years</v>
      </c>
    </row>
    <row r="527" spans="1:26" x14ac:dyDescent="0.35">
      <c r="A527" t="s">
        <v>583</v>
      </c>
      <c r="B527">
        <v>41</v>
      </c>
      <c r="C527" t="s">
        <v>27</v>
      </c>
      <c r="D527" t="s">
        <v>39</v>
      </c>
      <c r="E527" t="s">
        <v>40</v>
      </c>
      <c r="F527" t="s">
        <v>56</v>
      </c>
      <c r="G527">
        <v>123952</v>
      </c>
      <c r="H527">
        <v>12</v>
      </c>
      <c r="I527">
        <v>19</v>
      </c>
      <c r="J527">
        <v>5</v>
      </c>
      <c r="K527">
        <v>4</v>
      </c>
      <c r="L527">
        <v>1</v>
      </c>
      <c r="M527">
        <v>3</v>
      </c>
      <c r="N527" t="s">
        <v>31</v>
      </c>
      <c r="O527" t="s">
        <v>32</v>
      </c>
      <c r="P527">
        <v>2</v>
      </c>
      <c r="Q527">
        <v>35</v>
      </c>
      <c r="R527">
        <v>3</v>
      </c>
      <c r="S527" t="s">
        <v>33</v>
      </c>
      <c r="T527">
        <v>8</v>
      </c>
      <c r="U527" t="s">
        <v>33</v>
      </c>
      <c r="V527" s="1">
        <v>42901</v>
      </c>
      <c r="W527" s="1">
        <v>43898</v>
      </c>
      <c r="X527" s="1" t="str">
        <f t="shared" si="24"/>
        <v>2020-03-08</v>
      </c>
      <c r="Y527" t="str">
        <f t="shared" si="25"/>
        <v>36-45</v>
      </c>
      <c r="Z527" t="str">
        <f t="shared" si="26"/>
        <v>10+ Years</v>
      </c>
    </row>
    <row r="528" spans="1:26" x14ac:dyDescent="0.35">
      <c r="A528" t="s">
        <v>584</v>
      </c>
      <c r="B528">
        <v>38</v>
      </c>
      <c r="C528" t="s">
        <v>44</v>
      </c>
      <c r="D528" t="s">
        <v>28</v>
      </c>
      <c r="E528" t="s">
        <v>66</v>
      </c>
      <c r="F528" t="s">
        <v>41</v>
      </c>
      <c r="G528">
        <v>64427</v>
      </c>
      <c r="H528">
        <v>5</v>
      </c>
      <c r="I528">
        <v>17</v>
      </c>
      <c r="J528">
        <v>2</v>
      </c>
      <c r="K528">
        <v>3</v>
      </c>
      <c r="L528">
        <v>3</v>
      </c>
      <c r="M528">
        <v>2</v>
      </c>
      <c r="N528" t="s">
        <v>31</v>
      </c>
      <c r="O528" t="s">
        <v>32</v>
      </c>
      <c r="P528">
        <v>25</v>
      </c>
      <c r="Q528">
        <v>18</v>
      </c>
      <c r="R528">
        <v>3</v>
      </c>
      <c r="S528" t="s">
        <v>33</v>
      </c>
      <c r="T528">
        <v>5</v>
      </c>
      <c r="U528" t="s">
        <v>31</v>
      </c>
      <c r="V528" s="1">
        <v>41613</v>
      </c>
      <c r="X528" s="1" t="str">
        <f t="shared" si="24"/>
        <v>Active</v>
      </c>
      <c r="Y528" t="str">
        <f t="shared" si="25"/>
        <v>36-45</v>
      </c>
      <c r="Z528" t="str">
        <f t="shared" si="26"/>
        <v>4-5 Years</v>
      </c>
    </row>
    <row r="529" spans="1:26" x14ac:dyDescent="0.35">
      <c r="A529" t="s">
        <v>585</v>
      </c>
      <c r="B529">
        <v>34</v>
      </c>
      <c r="C529" t="s">
        <v>27</v>
      </c>
      <c r="D529" t="s">
        <v>39</v>
      </c>
      <c r="E529" t="s">
        <v>40</v>
      </c>
      <c r="F529" t="s">
        <v>78</v>
      </c>
      <c r="G529">
        <v>68413</v>
      </c>
      <c r="H529">
        <v>5</v>
      </c>
      <c r="I529">
        <v>11</v>
      </c>
      <c r="J529">
        <v>2</v>
      </c>
      <c r="K529">
        <v>4</v>
      </c>
      <c r="L529">
        <v>3</v>
      </c>
      <c r="M529">
        <v>1</v>
      </c>
      <c r="N529" t="s">
        <v>33</v>
      </c>
      <c r="O529" t="s">
        <v>47</v>
      </c>
      <c r="P529">
        <v>5</v>
      </c>
      <c r="Q529">
        <v>52</v>
      </c>
      <c r="R529">
        <v>4</v>
      </c>
      <c r="S529" t="s">
        <v>33</v>
      </c>
      <c r="T529">
        <v>5</v>
      </c>
      <c r="U529" t="s">
        <v>31</v>
      </c>
      <c r="V529" s="1">
        <v>42195</v>
      </c>
      <c r="X529" s="1" t="str">
        <f t="shared" si="24"/>
        <v>Active</v>
      </c>
      <c r="Y529" t="str">
        <f t="shared" si="25"/>
        <v>26-35</v>
      </c>
      <c r="Z529" t="str">
        <f t="shared" si="26"/>
        <v>4-5 Years</v>
      </c>
    </row>
    <row r="530" spans="1:26" x14ac:dyDescent="0.35">
      <c r="A530" t="s">
        <v>586</v>
      </c>
      <c r="B530">
        <v>38</v>
      </c>
      <c r="C530" t="s">
        <v>44</v>
      </c>
      <c r="D530" t="s">
        <v>45</v>
      </c>
      <c r="E530" t="s">
        <v>63</v>
      </c>
      <c r="F530" t="s">
        <v>41</v>
      </c>
      <c r="G530">
        <v>127863</v>
      </c>
      <c r="H530">
        <v>13</v>
      </c>
      <c r="I530">
        <v>16</v>
      </c>
      <c r="J530">
        <v>5</v>
      </c>
      <c r="K530">
        <v>3</v>
      </c>
      <c r="L530">
        <v>1</v>
      </c>
      <c r="M530">
        <v>4</v>
      </c>
      <c r="N530" t="s">
        <v>31</v>
      </c>
      <c r="O530" t="s">
        <v>47</v>
      </c>
      <c r="P530">
        <v>9</v>
      </c>
      <c r="Q530">
        <v>36</v>
      </c>
      <c r="R530">
        <v>3</v>
      </c>
      <c r="S530" t="s">
        <v>33</v>
      </c>
      <c r="T530">
        <v>4</v>
      </c>
      <c r="U530" t="s">
        <v>31</v>
      </c>
      <c r="V530" s="1">
        <v>41698</v>
      </c>
      <c r="X530" s="1" t="str">
        <f t="shared" si="24"/>
        <v>Active</v>
      </c>
      <c r="Y530" t="str">
        <f t="shared" si="25"/>
        <v>36-45</v>
      </c>
      <c r="Z530" t="str">
        <f t="shared" si="26"/>
        <v>10+ Years</v>
      </c>
    </row>
    <row r="531" spans="1:26" x14ac:dyDescent="0.35">
      <c r="A531" t="s">
        <v>587</v>
      </c>
      <c r="B531">
        <v>33</v>
      </c>
      <c r="C531" t="s">
        <v>44</v>
      </c>
      <c r="D531" t="s">
        <v>39</v>
      </c>
      <c r="E531" t="s">
        <v>40</v>
      </c>
      <c r="F531" t="s">
        <v>78</v>
      </c>
      <c r="G531">
        <v>42706</v>
      </c>
      <c r="H531">
        <v>1</v>
      </c>
      <c r="I531">
        <v>10</v>
      </c>
      <c r="J531">
        <v>1</v>
      </c>
      <c r="K531">
        <v>2</v>
      </c>
      <c r="L531">
        <v>3</v>
      </c>
      <c r="M531">
        <v>1</v>
      </c>
      <c r="N531" t="s">
        <v>31</v>
      </c>
      <c r="O531" t="s">
        <v>47</v>
      </c>
      <c r="P531">
        <v>20</v>
      </c>
      <c r="Q531">
        <v>24</v>
      </c>
      <c r="R531">
        <v>3</v>
      </c>
      <c r="S531" t="s">
        <v>31</v>
      </c>
      <c r="T531">
        <v>4</v>
      </c>
      <c r="U531" t="s">
        <v>33</v>
      </c>
      <c r="V531" s="1">
        <v>43726</v>
      </c>
      <c r="W531" s="1">
        <v>44449</v>
      </c>
      <c r="X531" s="1" t="str">
        <f t="shared" si="24"/>
        <v>2021-09-10</v>
      </c>
      <c r="Y531" t="str">
        <f t="shared" si="25"/>
        <v>26-35</v>
      </c>
      <c r="Z531" t="str">
        <f t="shared" si="26"/>
        <v>0-1 Year</v>
      </c>
    </row>
    <row r="532" spans="1:26" x14ac:dyDescent="0.35">
      <c r="A532" t="s">
        <v>588</v>
      </c>
      <c r="B532">
        <v>34</v>
      </c>
      <c r="C532" t="s">
        <v>27</v>
      </c>
      <c r="D532" t="s">
        <v>39</v>
      </c>
      <c r="E532" t="s">
        <v>59</v>
      </c>
      <c r="F532" t="s">
        <v>61</v>
      </c>
      <c r="G532">
        <v>85383</v>
      </c>
      <c r="H532">
        <v>6</v>
      </c>
      <c r="I532">
        <v>12</v>
      </c>
      <c r="J532">
        <v>3</v>
      </c>
      <c r="K532">
        <v>1</v>
      </c>
      <c r="L532">
        <v>3</v>
      </c>
      <c r="M532">
        <v>4</v>
      </c>
      <c r="N532" t="s">
        <v>33</v>
      </c>
      <c r="O532" t="s">
        <v>32</v>
      </c>
      <c r="P532">
        <v>7</v>
      </c>
      <c r="Q532">
        <v>37</v>
      </c>
      <c r="R532">
        <v>3</v>
      </c>
      <c r="S532" t="s">
        <v>33</v>
      </c>
      <c r="T532">
        <v>5</v>
      </c>
      <c r="U532" t="s">
        <v>31</v>
      </c>
      <c r="V532" s="1">
        <v>44445</v>
      </c>
      <c r="X532" s="1" t="str">
        <f t="shared" si="24"/>
        <v>Active</v>
      </c>
      <c r="Y532" t="str">
        <f t="shared" si="25"/>
        <v>26-35</v>
      </c>
      <c r="Z532" t="str">
        <f t="shared" si="26"/>
        <v>6-10 Years</v>
      </c>
    </row>
    <row r="533" spans="1:26" x14ac:dyDescent="0.35">
      <c r="A533" t="s">
        <v>589</v>
      </c>
      <c r="B533">
        <v>43</v>
      </c>
      <c r="C533" t="s">
        <v>27</v>
      </c>
      <c r="D533" t="s">
        <v>35</v>
      </c>
      <c r="E533" t="s">
        <v>36</v>
      </c>
      <c r="F533" t="s">
        <v>30</v>
      </c>
      <c r="G533">
        <v>120825</v>
      </c>
      <c r="H533">
        <v>9</v>
      </c>
      <c r="I533">
        <v>19</v>
      </c>
      <c r="J533">
        <v>5</v>
      </c>
      <c r="K533">
        <v>3</v>
      </c>
      <c r="L533">
        <v>2</v>
      </c>
      <c r="M533">
        <v>4</v>
      </c>
      <c r="N533" t="s">
        <v>31</v>
      </c>
      <c r="O533" t="s">
        <v>47</v>
      </c>
      <c r="P533">
        <v>28</v>
      </c>
      <c r="Q533">
        <v>37</v>
      </c>
      <c r="R533">
        <v>4</v>
      </c>
      <c r="S533" t="s">
        <v>31</v>
      </c>
      <c r="T533">
        <v>1</v>
      </c>
      <c r="U533" t="s">
        <v>31</v>
      </c>
      <c r="V533" s="1">
        <v>42643</v>
      </c>
      <c r="X533" s="1" t="str">
        <f t="shared" si="24"/>
        <v>Active</v>
      </c>
      <c r="Y533" t="str">
        <f t="shared" si="25"/>
        <v>36-45</v>
      </c>
      <c r="Z533" t="str">
        <f t="shared" si="26"/>
        <v>6-10 Years</v>
      </c>
    </row>
    <row r="534" spans="1:26" x14ac:dyDescent="0.35">
      <c r="A534" t="s">
        <v>590</v>
      </c>
      <c r="B534">
        <v>26</v>
      </c>
      <c r="C534" t="s">
        <v>44</v>
      </c>
      <c r="D534" t="s">
        <v>45</v>
      </c>
      <c r="E534" t="s">
        <v>63</v>
      </c>
      <c r="F534" t="s">
        <v>37</v>
      </c>
      <c r="G534">
        <v>45118</v>
      </c>
      <c r="H534">
        <v>1</v>
      </c>
      <c r="I534">
        <v>5</v>
      </c>
      <c r="J534">
        <v>1</v>
      </c>
      <c r="K534">
        <v>3</v>
      </c>
      <c r="L534">
        <v>1</v>
      </c>
      <c r="M534">
        <v>2</v>
      </c>
      <c r="N534" t="s">
        <v>31</v>
      </c>
      <c r="O534" t="s">
        <v>32</v>
      </c>
      <c r="P534">
        <v>14</v>
      </c>
      <c r="Q534">
        <v>23</v>
      </c>
      <c r="R534">
        <v>2</v>
      </c>
      <c r="S534" t="s">
        <v>31</v>
      </c>
      <c r="T534">
        <v>5</v>
      </c>
      <c r="U534" t="s">
        <v>33</v>
      </c>
      <c r="V534" s="1">
        <v>43172</v>
      </c>
      <c r="W534" s="1">
        <v>43561</v>
      </c>
      <c r="X534" s="1" t="str">
        <f t="shared" si="24"/>
        <v>2019-04-06</v>
      </c>
      <c r="Y534" t="str">
        <f t="shared" si="25"/>
        <v>26-35</v>
      </c>
      <c r="Z534" t="str">
        <f t="shared" si="26"/>
        <v>0-1 Year</v>
      </c>
    </row>
    <row r="535" spans="1:26" x14ac:dyDescent="0.35">
      <c r="A535" t="s">
        <v>591</v>
      </c>
      <c r="B535">
        <v>49</v>
      </c>
      <c r="C535" t="s">
        <v>44</v>
      </c>
      <c r="D535" t="s">
        <v>35</v>
      </c>
      <c r="E535" t="s">
        <v>36</v>
      </c>
      <c r="F535" t="s">
        <v>61</v>
      </c>
      <c r="G535">
        <v>80167</v>
      </c>
      <c r="H535">
        <v>6</v>
      </c>
      <c r="I535">
        <v>25</v>
      </c>
      <c r="J535">
        <v>3</v>
      </c>
      <c r="K535">
        <v>1</v>
      </c>
      <c r="L535">
        <v>2</v>
      </c>
      <c r="M535">
        <v>4</v>
      </c>
      <c r="N535" t="s">
        <v>31</v>
      </c>
      <c r="O535" t="s">
        <v>42</v>
      </c>
      <c r="P535">
        <v>13</v>
      </c>
      <c r="Q535">
        <v>33</v>
      </c>
      <c r="R535">
        <v>2</v>
      </c>
      <c r="S535" t="s">
        <v>31</v>
      </c>
      <c r="T535">
        <v>3</v>
      </c>
      <c r="U535" t="s">
        <v>31</v>
      </c>
      <c r="V535" s="1">
        <v>42708</v>
      </c>
      <c r="X535" s="1" t="str">
        <f t="shared" si="24"/>
        <v>Active</v>
      </c>
      <c r="Y535" t="str">
        <f t="shared" si="25"/>
        <v>46-55</v>
      </c>
      <c r="Z535" t="str">
        <f t="shared" si="26"/>
        <v>6-10 Years</v>
      </c>
    </row>
    <row r="536" spans="1:26" x14ac:dyDescent="0.35">
      <c r="A536" t="s">
        <v>592</v>
      </c>
      <c r="B536">
        <v>50</v>
      </c>
      <c r="C536" t="s">
        <v>44</v>
      </c>
      <c r="D536" t="s">
        <v>45</v>
      </c>
      <c r="E536" t="s">
        <v>63</v>
      </c>
      <c r="F536" t="s">
        <v>41</v>
      </c>
      <c r="G536">
        <v>128172</v>
      </c>
      <c r="H536">
        <v>15</v>
      </c>
      <c r="I536">
        <v>27</v>
      </c>
      <c r="J536">
        <v>5</v>
      </c>
      <c r="K536">
        <v>1</v>
      </c>
      <c r="L536">
        <v>4</v>
      </c>
      <c r="M536">
        <v>2</v>
      </c>
      <c r="N536" t="s">
        <v>31</v>
      </c>
      <c r="O536" t="s">
        <v>42</v>
      </c>
      <c r="P536">
        <v>16</v>
      </c>
      <c r="Q536">
        <v>10</v>
      </c>
      <c r="R536">
        <v>3</v>
      </c>
      <c r="S536" t="s">
        <v>33</v>
      </c>
      <c r="T536">
        <v>2</v>
      </c>
      <c r="U536" t="s">
        <v>31</v>
      </c>
      <c r="V536" s="1">
        <v>44410</v>
      </c>
      <c r="X536" s="1" t="str">
        <f t="shared" si="24"/>
        <v>Active</v>
      </c>
      <c r="Y536" t="str">
        <f t="shared" si="25"/>
        <v>46-55</v>
      </c>
      <c r="Z536" t="str">
        <f t="shared" si="26"/>
        <v>10+ Years</v>
      </c>
    </row>
    <row r="537" spans="1:26" x14ac:dyDescent="0.35">
      <c r="A537" t="s">
        <v>593</v>
      </c>
      <c r="B537">
        <v>42</v>
      </c>
      <c r="C537" t="s">
        <v>27</v>
      </c>
      <c r="D537" t="s">
        <v>28</v>
      </c>
      <c r="E537" t="s">
        <v>29</v>
      </c>
      <c r="F537" t="s">
        <v>37</v>
      </c>
      <c r="G537">
        <v>83800</v>
      </c>
      <c r="H537">
        <v>6</v>
      </c>
      <c r="I537">
        <v>18</v>
      </c>
      <c r="J537">
        <v>3</v>
      </c>
      <c r="K537">
        <v>1</v>
      </c>
      <c r="L537">
        <v>1</v>
      </c>
      <c r="M537">
        <v>2</v>
      </c>
      <c r="N537" t="s">
        <v>31</v>
      </c>
      <c r="O537" t="s">
        <v>32</v>
      </c>
      <c r="P537">
        <v>22</v>
      </c>
      <c r="Q537">
        <v>14</v>
      </c>
      <c r="R537">
        <v>3</v>
      </c>
      <c r="S537" t="s">
        <v>31</v>
      </c>
      <c r="T537">
        <v>2</v>
      </c>
      <c r="U537" t="s">
        <v>31</v>
      </c>
      <c r="V537" s="1">
        <v>45276</v>
      </c>
      <c r="X537" s="1" t="str">
        <f t="shared" si="24"/>
        <v>Active</v>
      </c>
      <c r="Y537" t="str">
        <f t="shared" si="25"/>
        <v>36-45</v>
      </c>
      <c r="Z537" t="str">
        <f t="shared" si="26"/>
        <v>6-10 Years</v>
      </c>
    </row>
    <row r="538" spans="1:26" x14ac:dyDescent="0.35">
      <c r="A538" t="s">
        <v>594</v>
      </c>
      <c r="B538">
        <v>41</v>
      </c>
      <c r="C538" t="s">
        <v>44</v>
      </c>
      <c r="D538" t="s">
        <v>39</v>
      </c>
      <c r="E538" t="s">
        <v>59</v>
      </c>
      <c r="F538" t="s">
        <v>30</v>
      </c>
      <c r="G538">
        <v>45554</v>
      </c>
      <c r="H538">
        <v>2</v>
      </c>
      <c r="I538">
        <v>17</v>
      </c>
      <c r="J538">
        <v>1</v>
      </c>
      <c r="K538">
        <v>3</v>
      </c>
      <c r="L538">
        <v>1</v>
      </c>
      <c r="M538">
        <v>2</v>
      </c>
      <c r="N538" t="s">
        <v>33</v>
      </c>
      <c r="O538" t="s">
        <v>32</v>
      </c>
      <c r="P538">
        <v>21</v>
      </c>
      <c r="Q538">
        <v>19</v>
      </c>
      <c r="R538">
        <v>2</v>
      </c>
      <c r="S538" t="s">
        <v>31</v>
      </c>
      <c r="T538">
        <v>5</v>
      </c>
      <c r="U538" t="s">
        <v>31</v>
      </c>
      <c r="V538" s="1">
        <v>41226</v>
      </c>
      <c r="X538" s="1" t="str">
        <f t="shared" si="24"/>
        <v>Active</v>
      </c>
      <c r="Y538" t="str">
        <f t="shared" si="25"/>
        <v>36-45</v>
      </c>
      <c r="Z538" t="str">
        <f t="shared" si="26"/>
        <v>2-3 Years</v>
      </c>
    </row>
    <row r="539" spans="1:26" x14ac:dyDescent="0.35">
      <c r="A539" t="s">
        <v>595</v>
      </c>
      <c r="B539">
        <v>26</v>
      </c>
      <c r="C539" t="s">
        <v>27</v>
      </c>
      <c r="D539" t="s">
        <v>39</v>
      </c>
      <c r="E539" t="s">
        <v>74</v>
      </c>
      <c r="F539" t="s">
        <v>56</v>
      </c>
      <c r="G539">
        <v>58542</v>
      </c>
      <c r="H539">
        <v>2</v>
      </c>
      <c r="I539">
        <v>2</v>
      </c>
      <c r="J539">
        <v>2</v>
      </c>
      <c r="K539">
        <v>3</v>
      </c>
      <c r="L539">
        <v>3</v>
      </c>
      <c r="M539">
        <v>2</v>
      </c>
      <c r="N539" t="s">
        <v>33</v>
      </c>
      <c r="O539" t="s">
        <v>32</v>
      </c>
      <c r="P539">
        <v>3</v>
      </c>
      <c r="Q539">
        <v>11</v>
      </c>
      <c r="R539">
        <v>2</v>
      </c>
      <c r="S539" t="s">
        <v>31</v>
      </c>
      <c r="T539">
        <v>4</v>
      </c>
      <c r="U539" t="s">
        <v>33</v>
      </c>
      <c r="V539" s="1">
        <v>42155</v>
      </c>
      <c r="W539" s="1">
        <v>43003</v>
      </c>
      <c r="X539" s="1" t="str">
        <f t="shared" si="24"/>
        <v>2017-09-25</v>
      </c>
      <c r="Y539" t="str">
        <f t="shared" si="25"/>
        <v>26-35</v>
      </c>
      <c r="Z539" t="str">
        <f t="shared" si="26"/>
        <v>2-3 Years</v>
      </c>
    </row>
    <row r="540" spans="1:26" x14ac:dyDescent="0.35">
      <c r="A540" t="s">
        <v>596</v>
      </c>
      <c r="B540">
        <v>29</v>
      </c>
      <c r="C540" t="s">
        <v>44</v>
      </c>
      <c r="D540" t="s">
        <v>39</v>
      </c>
      <c r="E540" t="s">
        <v>59</v>
      </c>
      <c r="F540" t="s">
        <v>41</v>
      </c>
      <c r="G540">
        <v>56531</v>
      </c>
      <c r="H540">
        <v>2</v>
      </c>
      <c r="I540">
        <v>7</v>
      </c>
      <c r="J540">
        <v>2</v>
      </c>
      <c r="K540">
        <v>2</v>
      </c>
      <c r="L540">
        <v>1</v>
      </c>
      <c r="M540">
        <v>4</v>
      </c>
      <c r="N540" t="s">
        <v>31</v>
      </c>
      <c r="O540" t="s">
        <v>32</v>
      </c>
      <c r="P540">
        <v>13</v>
      </c>
      <c r="Q540">
        <v>50</v>
      </c>
      <c r="R540">
        <v>3</v>
      </c>
      <c r="S540" t="s">
        <v>31</v>
      </c>
      <c r="T540">
        <v>3</v>
      </c>
      <c r="U540" t="s">
        <v>33</v>
      </c>
      <c r="V540" s="1">
        <v>41850</v>
      </c>
      <c r="W540" s="1">
        <v>42477</v>
      </c>
      <c r="X540" s="1" t="str">
        <f t="shared" si="24"/>
        <v>2016-04-17</v>
      </c>
      <c r="Y540" t="str">
        <f t="shared" si="25"/>
        <v>26-35</v>
      </c>
      <c r="Z540" t="str">
        <f t="shared" si="26"/>
        <v>2-3 Years</v>
      </c>
    </row>
    <row r="541" spans="1:26" x14ac:dyDescent="0.35">
      <c r="A541" t="s">
        <v>597</v>
      </c>
      <c r="B541">
        <v>35</v>
      </c>
      <c r="C541" t="s">
        <v>27</v>
      </c>
      <c r="D541" t="s">
        <v>45</v>
      </c>
      <c r="E541" t="s">
        <v>63</v>
      </c>
      <c r="F541" t="s">
        <v>78</v>
      </c>
      <c r="G541">
        <v>77001</v>
      </c>
      <c r="H541">
        <v>3</v>
      </c>
      <c r="I541">
        <v>12</v>
      </c>
      <c r="J541">
        <v>3</v>
      </c>
      <c r="K541">
        <v>4</v>
      </c>
      <c r="L541">
        <v>1</v>
      </c>
      <c r="M541">
        <v>4</v>
      </c>
      <c r="N541" t="s">
        <v>33</v>
      </c>
      <c r="O541" t="s">
        <v>32</v>
      </c>
      <c r="P541">
        <v>20</v>
      </c>
      <c r="Q541">
        <v>25</v>
      </c>
      <c r="R541">
        <v>4</v>
      </c>
      <c r="S541" t="s">
        <v>31</v>
      </c>
      <c r="T541">
        <v>5</v>
      </c>
      <c r="U541" t="s">
        <v>31</v>
      </c>
      <c r="V541" s="1">
        <v>43700</v>
      </c>
      <c r="X541" s="1" t="str">
        <f t="shared" si="24"/>
        <v>Active</v>
      </c>
      <c r="Y541" t="str">
        <f t="shared" si="25"/>
        <v>26-35</v>
      </c>
      <c r="Z541" t="str">
        <f t="shared" si="26"/>
        <v>2-3 Years</v>
      </c>
    </row>
    <row r="542" spans="1:26" x14ac:dyDescent="0.35">
      <c r="A542" t="s">
        <v>598</v>
      </c>
      <c r="B542">
        <v>26</v>
      </c>
      <c r="C542" t="s">
        <v>27</v>
      </c>
      <c r="D542" t="s">
        <v>49</v>
      </c>
      <c r="E542" t="s">
        <v>50</v>
      </c>
      <c r="F542" t="s">
        <v>61</v>
      </c>
      <c r="G542">
        <v>59298</v>
      </c>
      <c r="H542">
        <v>3</v>
      </c>
      <c r="I542">
        <v>4</v>
      </c>
      <c r="J542">
        <v>2</v>
      </c>
      <c r="K542">
        <v>4</v>
      </c>
      <c r="L542">
        <v>2</v>
      </c>
      <c r="M542">
        <v>2</v>
      </c>
      <c r="N542" t="s">
        <v>33</v>
      </c>
      <c r="O542" t="s">
        <v>32</v>
      </c>
      <c r="P542">
        <v>10</v>
      </c>
      <c r="Q542">
        <v>37</v>
      </c>
      <c r="R542">
        <v>3</v>
      </c>
      <c r="S542" t="s">
        <v>31</v>
      </c>
      <c r="T542">
        <v>6</v>
      </c>
      <c r="U542" t="s">
        <v>33</v>
      </c>
      <c r="V542" s="1">
        <v>44115</v>
      </c>
      <c r="W542" s="1">
        <v>45058</v>
      </c>
      <c r="X542" s="1" t="str">
        <f t="shared" si="24"/>
        <v>2023-05-12</v>
      </c>
      <c r="Y542" t="str">
        <f t="shared" si="25"/>
        <v>26-35</v>
      </c>
      <c r="Z542" t="str">
        <f t="shared" si="26"/>
        <v>2-3 Years</v>
      </c>
    </row>
    <row r="543" spans="1:26" x14ac:dyDescent="0.35">
      <c r="A543" t="s">
        <v>599</v>
      </c>
      <c r="B543">
        <v>55</v>
      </c>
      <c r="C543" t="s">
        <v>44</v>
      </c>
      <c r="D543" t="s">
        <v>28</v>
      </c>
      <c r="E543" t="s">
        <v>29</v>
      </c>
      <c r="F543" t="s">
        <v>37</v>
      </c>
      <c r="G543">
        <v>172053</v>
      </c>
      <c r="H543">
        <v>34</v>
      </c>
      <c r="I543">
        <v>34</v>
      </c>
      <c r="J543">
        <v>5</v>
      </c>
      <c r="K543">
        <v>4</v>
      </c>
      <c r="L543">
        <v>1</v>
      </c>
      <c r="M543">
        <v>3</v>
      </c>
      <c r="N543" t="s">
        <v>31</v>
      </c>
      <c r="O543" t="s">
        <v>32</v>
      </c>
      <c r="P543">
        <v>20</v>
      </c>
      <c r="Q543">
        <v>33</v>
      </c>
      <c r="R543">
        <v>3</v>
      </c>
      <c r="S543" t="s">
        <v>31</v>
      </c>
      <c r="T543">
        <v>5</v>
      </c>
      <c r="U543" t="s">
        <v>31</v>
      </c>
      <c r="V543" s="1">
        <v>42879</v>
      </c>
      <c r="X543" s="1" t="str">
        <f t="shared" si="24"/>
        <v>Active</v>
      </c>
      <c r="Y543" t="str">
        <f t="shared" si="25"/>
        <v>46-55</v>
      </c>
      <c r="Z543" t="str">
        <f t="shared" si="26"/>
        <v>10+ Years</v>
      </c>
    </row>
    <row r="544" spans="1:26" x14ac:dyDescent="0.35">
      <c r="A544" t="s">
        <v>600</v>
      </c>
      <c r="B544">
        <v>45</v>
      </c>
      <c r="C544" t="s">
        <v>44</v>
      </c>
      <c r="D544" t="s">
        <v>35</v>
      </c>
      <c r="E544" t="s">
        <v>36</v>
      </c>
      <c r="F544" t="s">
        <v>61</v>
      </c>
      <c r="G544">
        <v>136190</v>
      </c>
      <c r="H544">
        <v>17</v>
      </c>
      <c r="I544">
        <v>23</v>
      </c>
      <c r="J544">
        <v>5</v>
      </c>
      <c r="K544">
        <v>1</v>
      </c>
      <c r="L544">
        <v>3</v>
      </c>
      <c r="M544">
        <v>4</v>
      </c>
      <c r="N544" t="s">
        <v>31</v>
      </c>
      <c r="O544" t="s">
        <v>42</v>
      </c>
      <c r="P544">
        <v>4</v>
      </c>
      <c r="Q544">
        <v>47</v>
      </c>
      <c r="R544">
        <v>3</v>
      </c>
      <c r="S544" t="s">
        <v>31</v>
      </c>
      <c r="T544">
        <v>4</v>
      </c>
      <c r="U544" t="s">
        <v>31</v>
      </c>
      <c r="V544" s="1">
        <v>44948</v>
      </c>
      <c r="X544" s="1" t="str">
        <f t="shared" si="24"/>
        <v>Active</v>
      </c>
      <c r="Y544" t="str">
        <f t="shared" si="25"/>
        <v>36-45</v>
      </c>
      <c r="Z544" t="str">
        <f t="shared" si="26"/>
        <v>10+ Years</v>
      </c>
    </row>
    <row r="545" spans="1:26" x14ac:dyDescent="0.35">
      <c r="A545" t="s">
        <v>601</v>
      </c>
      <c r="B545">
        <v>46</v>
      </c>
      <c r="C545" t="s">
        <v>44</v>
      </c>
      <c r="D545" t="s">
        <v>39</v>
      </c>
      <c r="E545" t="s">
        <v>40</v>
      </c>
      <c r="F545" t="s">
        <v>41</v>
      </c>
      <c r="G545">
        <v>135294</v>
      </c>
      <c r="H545">
        <v>17</v>
      </c>
      <c r="I545">
        <v>22</v>
      </c>
      <c r="J545">
        <v>5</v>
      </c>
      <c r="K545">
        <v>4</v>
      </c>
      <c r="L545">
        <v>2</v>
      </c>
      <c r="M545">
        <v>4</v>
      </c>
      <c r="N545" t="s">
        <v>31</v>
      </c>
      <c r="O545" t="s">
        <v>32</v>
      </c>
      <c r="P545">
        <v>18</v>
      </c>
      <c r="Q545">
        <v>40</v>
      </c>
      <c r="R545">
        <v>3</v>
      </c>
      <c r="S545" t="s">
        <v>31</v>
      </c>
      <c r="T545">
        <v>8</v>
      </c>
      <c r="U545" t="s">
        <v>31</v>
      </c>
      <c r="V545" s="1">
        <v>41001</v>
      </c>
      <c r="X545" s="1" t="str">
        <f t="shared" si="24"/>
        <v>Active</v>
      </c>
      <c r="Y545" t="str">
        <f t="shared" si="25"/>
        <v>46-55</v>
      </c>
      <c r="Z545" t="str">
        <f t="shared" si="26"/>
        <v>10+ Years</v>
      </c>
    </row>
    <row r="546" spans="1:26" x14ac:dyDescent="0.35">
      <c r="A546" t="s">
        <v>602</v>
      </c>
      <c r="B546">
        <v>28</v>
      </c>
      <c r="C546" t="s">
        <v>27</v>
      </c>
      <c r="D546" t="s">
        <v>45</v>
      </c>
      <c r="E546" t="s">
        <v>63</v>
      </c>
      <c r="F546" t="s">
        <v>30</v>
      </c>
      <c r="G546">
        <v>82476</v>
      </c>
      <c r="H546">
        <v>4</v>
      </c>
      <c r="I546">
        <v>4</v>
      </c>
      <c r="J546">
        <v>3</v>
      </c>
      <c r="K546">
        <v>2</v>
      </c>
      <c r="L546">
        <v>1</v>
      </c>
      <c r="M546">
        <v>3</v>
      </c>
      <c r="N546" t="s">
        <v>31</v>
      </c>
      <c r="O546" t="s">
        <v>47</v>
      </c>
      <c r="P546">
        <v>11</v>
      </c>
      <c r="Q546">
        <v>59</v>
      </c>
      <c r="R546">
        <v>4</v>
      </c>
      <c r="S546" t="s">
        <v>31</v>
      </c>
      <c r="T546">
        <v>6</v>
      </c>
      <c r="U546" t="s">
        <v>31</v>
      </c>
      <c r="V546" s="1">
        <v>41863</v>
      </c>
      <c r="X546" s="1" t="str">
        <f t="shared" si="24"/>
        <v>Active</v>
      </c>
      <c r="Y546" t="str">
        <f t="shared" si="25"/>
        <v>26-35</v>
      </c>
      <c r="Z546" t="str">
        <f t="shared" si="26"/>
        <v>4-5 Years</v>
      </c>
    </row>
    <row r="547" spans="1:26" x14ac:dyDescent="0.35">
      <c r="A547" t="s">
        <v>603</v>
      </c>
      <c r="B547">
        <v>26</v>
      </c>
      <c r="C547" t="s">
        <v>44</v>
      </c>
      <c r="D547" t="s">
        <v>45</v>
      </c>
      <c r="E547" t="s">
        <v>63</v>
      </c>
      <c r="F547" t="s">
        <v>41</v>
      </c>
      <c r="G547">
        <v>40266</v>
      </c>
      <c r="H547">
        <v>1</v>
      </c>
      <c r="I547">
        <v>4</v>
      </c>
      <c r="J547">
        <v>1</v>
      </c>
      <c r="K547">
        <v>1</v>
      </c>
      <c r="L547">
        <v>4</v>
      </c>
      <c r="M547">
        <v>2</v>
      </c>
      <c r="N547" t="s">
        <v>31</v>
      </c>
      <c r="O547" t="s">
        <v>32</v>
      </c>
      <c r="P547">
        <v>26</v>
      </c>
      <c r="Q547">
        <v>59</v>
      </c>
      <c r="R547">
        <v>3</v>
      </c>
      <c r="S547" t="s">
        <v>31</v>
      </c>
      <c r="T547">
        <v>5</v>
      </c>
      <c r="U547" t="s">
        <v>31</v>
      </c>
      <c r="V547" s="1">
        <v>44588</v>
      </c>
      <c r="X547" s="1" t="str">
        <f t="shared" si="24"/>
        <v>Active</v>
      </c>
      <c r="Y547" t="str">
        <f t="shared" si="25"/>
        <v>26-35</v>
      </c>
      <c r="Z547" t="str">
        <f t="shared" si="26"/>
        <v>0-1 Year</v>
      </c>
    </row>
    <row r="548" spans="1:26" x14ac:dyDescent="0.35">
      <c r="A548" t="s">
        <v>604</v>
      </c>
      <c r="B548">
        <v>57</v>
      </c>
      <c r="C548" t="s">
        <v>27</v>
      </c>
      <c r="D548" t="s">
        <v>39</v>
      </c>
      <c r="E548" t="s">
        <v>59</v>
      </c>
      <c r="F548" t="s">
        <v>56</v>
      </c>
      <c r="G548">
        <v>141939</v>
      </c>
      <c r="H548">
        <v>20</v>
      </c>
      <c r="I548">
        <v>36</v>
      </c>
      <c r="J548">
        <v>5</v>
      </c>
      <c r="K548">
        <v>1</v>
      </c>
      <c r="L548">
        <v>2</v>
      </c>
      <c r="M548">
        <v>2</v>
      </c>
      <c r="N548" t="s">
        <v>31</v>
      </c>
      <c r="O548" t="s">
        <v>32</v>
      </c>
      <c r="P548">
        <v>26</v>
      </c>
      <c r="Q548">
        <v>34</v>
      </c>
      <c r="R548">
        <v>3</v>
      </c>
      <c r="S548" t="s">
        <v>33</v>
      </c>
      <c r="T548">
        <v>9</v>
      </c>
      <c r="U548" t="s">
        <v>31</v>
      </c>
      <c r="V548" s="1">
        <v>42269</v>
      </c>
      <c r="X548" s="1" t="str">
        <f t="shared" si="24"/>
        <v>Active</v>
      </c>
      <c r="Y548" t="str">
        <f t="shared" si="25"/>
        <v>56+</v>
      </c>
      <c r="Z548" t="str">
        <f t="shared" si="26"/>
        <v>10+ Years</v>
      </c>
    </row>
    <row r="549" spans="1:26" x14ac:dyDescent="0.35">
      <c r="A549" t="s">
        <v>605</v>
      </c>
      <c r="B549">
        <v>40</v>
      </c>
      <c r="C549" t="s">
        <v>27</v>
      </c>
      <c r="D549" t="s">
        <v>49</v>
      </c>
      <c r="E549" t="s">
        <v>50</v>
      </c>
      <c r="F549" t="s">
        <v>30</v>
      </c>
      <c r="G549">
        <v>56386</v>
      </c>
      <c r="H549">
        <v>2</v>
      </c>
      <c r="I549">
        <v>17</v>
      </c>
      <c r="J549">
        <v>2</v>
      </c>
      <c r="K549">
        <v>2</v>
      </c>
      <c r="L549">
        <v>1</v>
      </c>
      <c r="M549">
        <v>3</v>
      </c>
      <c r="N549" t="s">
        <v>31</v>
      </c>
      <c r="O549" t="s">
        <v>47</v>
      </c>
      <c r="P549">
        <v>15</v>
      </c>
      <c r="Q549">
        <v>48</v>
      </c>
      <c r="R549">
        <v>3</v>
      </c>
      <c r="S549" t="s">
        <v>31</v>
      </c>
      <c r="T549">
        <v>7</v>
      </c>
      <c r="U549" t="s">
        <v>33</v>
      </c>
      <c r="V549" s="1">
        <v>43208</v>
      </c>
      <c r="W549" s="1">
        <v>43648</v>
      </c>
      <c r="X549" s="1" t="str">
        <f t="shared" si="24"/>
        <v>2019-07-02</v>
      </c>
      <c r="Y549" t="str">
        <f t="shared" si="25"/>
        <v>36-45</v>
      </c>
      <c r="Z549" t="str">
        <f t="shared" si="26"/>
        <v>2-3 Years</v>
      </c>
    </row>
    <row r="550" spans="1:26" x14ac:dyDescent="0.35">
      <c r="A550" t="s">
        <v>606</v>
      </c>
      <c r="B550">
        <v>23</v>
      </c>
      <c r="C550" t="s">
        <v>44</v>
      </c>
      <c r="D550" t="s">
        <v>35</v>
      </c>
      <c r="E550" t="s">
        <v>36</v>
      </c>
      <c r="F550" t="s">
        <v>56</v>
      </c>
      <c r="G550">
        <v>53598</v>
      </c>
      <c r="H550">
        <v>0</v>
      </c>
      <c r="I550">
        <v>1</v>
      </c>
      <c r="J550">
        <v>2</v>
      </c>
      <c r="K550">
        <v>1</v>
      </c>
      <c r="L550">
        <v>3</v>
      </c>
      <c r="M550">
        <v>3</v>
      </c>
      <c r="N550" t="s">
        <v>31</v>
      </c>
      <c r="O550" t="s">
        <v>42</v>
      </c>
      <c r="P550">
        <v>28</v>
      </c>
      <c r="Q550">
        <v>23</v>
      </c>
      <c r="R550">
        <v>3</v>
      </c>
      <c r="S550" t="s">
        <v>31</v>
      </c>
      <c r="T550">
        <v>10</v>
      </c>
      <c r="U550" t="s">
        <v>31</v>
      </c>
      <c r="V550" s="1">
        <v>43291</v>
      </c>
      <c r="X550" s="1" t="str">
        <f t="shared" si="24"/>
        <v>Active</v>
      </c>
      <c r="Y550" t="str">
        <f t="shared" si="25"/>
        <v>18-25</v>
      </c>
      <c r="Z550" t="str">
        <f t="shared" si="26"/>
        <v>0-1 Year</v>
      </c>
    </row>
    <row r="551" spans="1:26" x14ac:dyDescent="0.35">
      <c r="A551" t="s">
        <v>607</v>
      </c>
      <c r="B551">
        <v>53</v>
      </c>
      <c r="C551" t="s">
        <v>27</v>
      </c>
      <c r="D551" t="s">
        <v>39</v>
      </c>
      <c r="E551" t="s">
        <v>74</v>
      </c>
      <c r="F551" t="s">
        <v>78</v>
      </c>
      <c r="G551">
        <v>40281</v>
      </c>
      <c r="H551">
        <v>0</v>
      </c>
      <c r="I551">
        <v>29</v>
      </c>
      <c r="J551">
        <v>1</v>
      </c>
      <c r="K551">
        <v>4</v>
      </c>
      <c r="L551">
        <v>3</v>
      </c>
      <c r="M551">
        <v>2</v>
      </c>
      <c r="N551" t="s">
        <v>31</v>
      </c>
      <c r="O551" t="s">
        <v>47</v>
      </c>
      <c r="P551">
        <v>5</v>
      </c>
      <c r="Q551">
        <v>43</v>
      </c>
      <c r="R551">
        <v>3</v>
      </c>
      <c r="S551" t="s">
        <v>31</v>
      </c>
      <c r="T551">
        <v>5</v>
      </c>
      <c r="U551" t="s">
        <v>31</v>
      </c>
      <c r="V551" s="1">
        <v>40961</v>
      </c>
      <c r="X551" s="1" t="str">
        <f t="shared" si="24"/>
        <v>Active</v>
      </c>
      <c r="Y551" t="str">
        <f t="shared" si="25"/>
        <v>46-55</v>
      </c>
      <c r="Z551" t="str">
        <f t="shared" si="26"/>
        <v>0-1 Year</v>
      </c>
    </row>
    <row r="552" spans="1:26" x14ac:dyDescent="0.35">
      <c r="A552" t="s">
        <v>608</v>
      </c>
      <c r="B552">
        <v>42</v>
      </c>
      <c r="C552" t="s">
        <v>27</v>
      </c>
      <c r="D552" t="s">
        <v>39</v>
      </c>
      <c r="E552" t="s">
        <v>40</v>
      </c>
      <c r="F552" t="s">
        <v>61</v>
      </c>
      <c r="G552">
        <v>79226</v>
      </c>
      <c r="H552">
        <v>3</v>
      </c>
      <c r="I552">
        <v>18</v>
      </c>
      <c r="J552">
        <v>3</v>
      </c>
      <c r="K552">
        <v>2</v>
      </c>
      <c r="L552">
        <v>2</v>
      </c>
      <c r="M552">
        <v>2</v>
      </c>
      <c r="N552" t="s">
        <v>31</v>
      </c>
      <c r="O552" t="s">
        <v>32</v>
      </c>
      <c r="P552">
        <v>9</v>
      </c>
      <c r="Q552">
        <v>16</v>
      </c>
      <c r="R552">
        <v>3</v>
      </c>
      <c r="S552" t="s">
        <v>31</v>
      </c>
      <c r="T552">
        <v>6</v>
      </c>
      <c r="U552" t="s">
        <v>31</v>
      </c>
      <c r="V552" s="1">
        <v>44239</v>
      </c>
      <c r="X552" s="1" t="str">
        <f t="shared" si="24"/>
        <v>Active</v>
      </c>
      <c r="Y552" t="str">
        <f t="shared" si="25"/>
        <v>36-45</v>
      </c>
      <c r="Z552" t="str">
        <f t="shared" si="26"/>
        <v>2-3 Years</v>
      </c>
    </row>
    <row r="553" spans="1:26" x14ac:dyDescent="0.35">
      <c r="A553" t="s">
        <v>609</v>
      </c>
      <c r="B553">
        <v>55</v>
      </c>
      <c r="C553" t="s">
        <v>27</v>
      </c>
      <c r="D553" t="s">
        <v>35</v>
      </c>
      <c r="E553" t="s">
        <v>36</v>
      </c>
      <c r="F553" t="s">
        <v>61</v>
      </c>
      <c r="G553">
        <v>153813</v>
      </c>
      <c r="H553">
        <v>28</v>
      </c>
      <c r="I553">
        <v>31</v>
      </c>
      <c r="J553">
        <v>5</v>
      </c>
      <c r="K553">
        <v>3</v>
      </c>
      <c r="L553">
        <v>3</v>
      </c>
      <c r="M553">
        <v>3</v>
      </c>
      <c r="N553" t="s">
        <v>31</v>
      </c>
      <c r="O553" t="s">
        <v>42</v>
      </c>
      <c r="P553">
        <v>19</v>
      </c>
      <c r="Q553">
        <v>13</v>
      </c>
      <c r="R553">
        <v>3</v>
      </c>
      <c r="S553" t="s">
        <v>31</v>
      </c>
      <c r="T553">
        <v>7</v>
      </c>
      <c r="U553" t="s">
        <v>31</v>
      </c>
      <c r="V553" s="1">
        <v>43847</v>
      </c>
      <c r="X553" s="1" t="str">
        <f t="shared" si="24"/>
        <v>Active</v>
      </c>
      <c r="Y553" t="str">
        <f t="shared" si="25"/>
        <v>46-55</v>
      </c>
      <c r="Z553" t="str">
        <f t="shared" si="26"/>
        <v>10+ Years</v>
      </c>
    </row>
    <row r="554" spans="1:26" x14ac:dyDescent="0.35">
      <c r="A554" t="s">
        <v>610</v>
      </c>
      <c r="B554">
        <v>31</v>
      </c>
      <c r="C554" t="s">
        <v>44</v>
      </c>
      <c r="D554" t="s">
        <v>49</v>
      </c>
      <c r="E554" t="s">
        <v>50</v>
      </c>
      <c r="F554" t="s">
        <v>41</v>
      </c>
      <c r="G554">
        <v>100920</v>
      </c>
      <c r="H554">
        <v>7</v>
      </c>
      <c r="I554">
        <v>10</v>
      </c>
      <c r="J554">
        <v>4</v>
      </c>
      <c r="K554">
        <v>4</v>
      </c>
      <c r="L554">
        <v>4</v>
      </c>
      <c r="M554">
        <v>4</v>
      </c>
      <c r="N554" t="s">
        <v>33</v>
      </c>
      <c r="O554" t="s">
        <v>47</v>
      </c>
      <c r="P554">
        <v>12</v>
      </c>
      <c r="Q554">
        <v>30</v>
      </c>
      <c r="R554">
        <v>4</v>
      </c>
      <c r="S554" t="s">
        <v>33</v>
      </c>
      <c r="T554">
        <v>3</v>
      </c>
      <c r="U554" t="s">
        <v>31</v>
      </c>
      <c r="V554" s="1">
        <v>41298</v>
      </c>
      <c r="X554" s="1" t="str">
        <f t="shared" si="24"/>
        <v>Active</v>
      </c>
      <c r="Y554" t="str">
        <f t="shared" si="25"/>
        <v>26-35</v>
      </c>
      <c r="Z554" t="str">
        <f t="shared" si="26"/>
        <v>6-10 Years</v>
      </c>
    </row>
    <row r="555" spans="1:26" x14ac:dyDescent="0.35">
      <c r="A555" t="s">
        <v>611</v>
      </c>
      <c r="B555">
        <v>22</v>
      </c>
      <c r="C555" t="s">
        <v>44</v>
      </c>
      <c r="D555" t="s">
        <v>49</v>
      </c>
      <c r="E555" t="s">
        <v>50</v>
      </c>
      <c r="F555" t="s">
        <v>30</v>
      </c>
      <c r="G555">
        <v>54190</v>
      </c>
      <c r="H555">
        <v>1</v>
      </c>
      <c r="I555">
        <v>1</v>
      </c>
      <c r="J555">
        <v>2</v>
      </c>
      <c r="K555">
        <v>4</v>
      </c>
      <c r="L555">
        <v>1</v>
      </c>
      <c r="M555">
        <v>2</v>
      </c>
      <c r="N555" t="s">
        <v>31</v>
      </c>
      <c r="O555" t="s">
        <v>32</v>
      </c>
      <c r="P555">
        <v>23</v>
      </c>
      <c r="Q555">
        <v>15</v>
      </c>
      <c r="R555">
        <v>3</v>
      </c>
      <c r="S555" t="s">
        <v>31</v>
      </c>
      <c r="T555">
        <v>3</v>
      </c>
      <c r="U555" t="s">
        <v>31</v>
      </c>
      <c r="V555" s="1">
        <v>41454</v>
      </c>
      <c r="X555" s="1" t="str">
        <f t="shared" si="24"/>
        <v>Active</v>
      </c>
      <c r="Y555" t="str">
        <f t="shared" si="25"/>
        <v>18-25</v>
      </c>
      <c r="Z555" t="str">
        <f t="shared" si="26"/>
        <v>0-1 Year</v>
      </c>
    </row>
    <row r="556" spans="1:26" x14ac:dyDescent="0.35">
      <c r="A556" t="s">
        <v>612</v>
      </c>
      <c r="B556">
        <v>43</v>
      </c>
      <c r="C556" t="s">
        <v>44</v>
      </c>
      <c r="D556" t="s">
        <v>35</v>
      </c>
      <c r="E556" t="s">
        <v>36</v>
      </c>
      <c r="F556" t="s">
        <v>41</v>
      </c>
      <c r="G556">
        <v>104625</v>
      </c>
      <c r="H556">
        <v>11</v>
      </c>
      <c r="I556">
        <v>20</v>
      </c>
      <c r="J556">
        <v>4</v>
      </c>
      <c r="K556">
        <v>3</v>
      </c>
      <c r="L556">
        <v>4</v>
      </c>
      <c r="M556">
        <v>4</v>
      </c>
      <c r="N556" t="s">
        <v>31</v>
      </c>
      <c r="O556" t="s">
        <v>32</v>
      </c>
      <c r="P556">
        <v>13</v>
      </c>
      <c r="Q556">
        <v>13</v>
      </c>
      <c r="R556">
        <v>3</v>
      </c>
      <c r="S556" t="s">
        <v>33</v>
      </c>
      <c r="T556">
        <v>6</v>
      </c>
      <c r="U556" t="s">
        <v>31</v>
      </c>
      <c r="V556" s="1">
        <v>42395</v>
      </c>
      <c r="X556" s="1" t="str">
        <f t="shared" si="24"/>
        <v>Active</v>
      </c>
      <c r="Y556" t="str">
        <f t="shared" si="25"/>
        <v>36-45</v>
      </c>
      <c r="Z556" t="str">
        <f t="shared" si="26"/>
        <v>10+ Years</v>
      </c>
    </row>
    <row r="557" spans="1:26" x14ac:dyDescent="0.35">
      <c r="A557" t="s">
        <v>613</v>
      </c>
      <c r="B557">
        <v>36</v>
      </c>
      <c r="C557" t="s">
        <v>44</v>
      </c>
      <c r="D557" t="s">
        <v>52</v>
      </c>
      <c r="E557" t="s">
        <v>55</v>
      </c>
      <c r="F557" t="s">
        <v>56</v>
      </c>
      <c r="G557">
        <v>116532</v>
      </c>
      <c r="H557">
        <v>9</v>
      </c>
      <c r="I557">
        <v>14</v>
      </c>
      <c r="J557">
        <v>5</v>
      </c>
      <c r="K557">
        <v>3</v>
      </c>
      <c r="L557">
        <v>3</v>
      </c>
      <c r="M557">
        <v>2</v>
      </c>
      <c r="N557" t="s">
        <v>33</v>
      </c>
      <c r="O557" t="s">
        <v>32</v>
      </c>
      <c r="P557">
        <v>9</v>
      </c>
      <c r="Q557">
        <v>45</v>
      </c>
      <c r="R557">
        <v>3</v>
      </c>
      <c r="S557" t="s">
        <v>33</v>
      </c>
      <c r="T557">
        <v>5</v>
      </c>
      <c r="U557" t="s">
        <v>31</v>
      </c>
      <c r="V557" s="1">
        <v>43402</v>
      </c>
      <c r="X557" s="1" t="str">
        <f t="shared" si="24"/>
        <v>Active</v>
      </c>
      <c r="Y557" t="str">
        <f t="shared" si="25"/>
        <v>36-45</v>
      </c>
      <c r="Z557" t="str">
        <f t="shared" si="26"/>
        <v>6-10 Years</v>
      </c>
    </row>
    <row r="558" spans="1:26" x14ac:dyDescent="0.35">
      <c r="A558" t="s">
        <v>614</v>
      </c>
      <c r="B558">
        <v>25</v>
      </c>
      <c r="C558" t="s">
        <v>44</v>
      </c>
      <c r="D558" t="s">
        <v>35</v>
      </c>
      <c r="E558" t="s">
        <v>85</v>
      </c>
      <c r="F558" t="s">
        <v>56</v>
      </c>
      <c r="G558">
        <v>38284</v>
      </c>
      <c r="H558">
        <v>0</v>
      </c>
      <c r="I558">
        <v>2</v>
      </c>
      <c r="J558">
        <v>1</v>
      </c>
      <c r="K558">
        <v>2</v>
      </c>
      <c r="L558">
        <v>4</v>
      </c>
      <c r="M558">
        <v>3</v>
      </c>
      <c r="N558" t="s">
        <v>31</v>
      </c>
      <c r="O558" t="s">
        <v>42</v>
      </c>
      <c r="P558">
        <v>1</v>
      </c>
      <c r="Q558">
        <v>31</v>
      </c>
      <c r="R558">
        <v>3</v>
      </c>
      <c r="S558" t="s">
        <v>31</v>
      </c>
      <c r="T558">
        <v>2</v>
      </c>
      <c r="U558" t="s">
        <v>31</v>
      </c>
      <c r="V558" s="1">
        <v>42827</v>
      </c>
      <c r="X558" s="1" t="str">
        <f t="shared" si="24"/>
        <v>Active</v>
      </c>
      <c r="Y558" t="str">
        <f t="shared" si="25"/>
        <v>18-25</v>
      </c>
      <c r="Z558" t="str">
        <f t="shared" si="26"/>
        <v>0-1 Year</v>
      </c>
    </row>
    <row r="559" spans="1:26" x14ac:dyDescent="0.35">
      <c r="A559" t="s">
        <v>615</v>
      </c>
      <c r="B559">
        <v>49</v>
      </c>
      <c r="C559" t="s">
        <v>27</v>
      </c>
      <c r="D559" t="s">
        <v>28</v>
      </c>
      <c r="E559" t="s">
        <v>66</v>
      </c>
      <c r="F559" t="s">
        <v>41</v>
      </c>
      <c r="G559">
        <v>45580</v>
      </c>
      <c r="H559">
        <v>1</v>
      </c>
      <c r="I559">
        <v>27</v>
      </c>
      <c r="J559">
        <v>1</v>
      </c>
      <c r="K559">
        <v>4</v>
      </c>
      <c r="L559">
        <v>3</v>
      </c>
      <c r="M559">
        <v>1</v>
      </c>
      <c r="N559" t="s">
        <v>31</v>
      </c>
      <c r="O559" t="s">
        <v>32</v>
      </c>
      <c r="P559">
        <v>8</v>
      </c>
      <c r="Q559">
        <v>40</v>
      </c>
      <c r="R559">
        <v>3</v>
      </c>
      <c r="S559" t="s">
        <v>31</v>
      </c>
      <c r="T559">
        <v>3</v>
      </c>
      <c r="U559" t="s">
        <v>31</v>
      </c>
      <c r="V559" s="1">
        <v>42374</v>
      </c>
      <c r="X559" s="1" t="str">
        <f t="shared" si="24"/>
        <v>Active</v>
      </c>
      <c r="Y559" t="str">
        <f t="shared" si="25"/>
        <v>46-55</v>
      </c>
      <c r="Z559" t="str">
        <f t="shared" si="26"/>
        <v>0-1 Year</v>
      </c>
    </row>
    <row r="560" spans="1:26" x14ac:dyDescent="0.35">
      <c r="A560" t="s">
        <v>616</v>
      </c>
      <c r="B560">
        <v>29</v>
      </c>
      <c r="C560" t="s">
        <v>44</v>
      </c>
      <c r="D560" t="s">
        <v>28</v>
      </c>
      <c r="E560" t="s">
        <v>29</v>
      </c>
      <c r="F560" t="s">
        <v>30</v>
      </c>
      <c r="G560">
        <v>37742</v>
      </c>
      <c r="H560">
        <v>0</v>
      </c>
      <c r="I560">
        <v>6</v>
      </c>
      <c r="J560">
        <v>1</v>
      </c>
      <c r="K560">
        <v>1</v>
      </c>
      <c r="L560">
        <v>3</v>
      </c>
      <c r="M560">
        <v>1</v>
      </c>
      <c r="N560" t="s">
        <v>31</v>
      </c>
      <c r="O560" t="s">
        <v>32</v>
      </c>
      <c r="P560">
        <v>11</v>
      </c>
      <c r="Q560">
        <v>31</v>
      </c>
      <c r="R560">
        <v>3</v>
      </c>
      <c r="S560" t="s">
        <v>31</v>
      </c>
      <c r="T560">
        <v>4</v>
      </c>
      <c r="U560" t="s">
        <v>31</v>
      </c>
      <c r="V560" s="1">
        <v>41161</v>
      </c>
      <c r="X560" s="1" t="str">
        <f t="shared" si="24"/>
        <v>Active</v>
      </c>
      <c r="Y560" t="str">
        <f t="shared" si="25"/>
        <v>26-35</v>
      </c>
      <c r="Z560" t="str">
        <f t="shared" si="26"/>
        <v>0-1 Year</v>
      </c>
    </row>
    <row r="561" spans="1:26" x14ac:dyDescent="0.35">
      <c r="A561" t="s">
        <v>617</v>
      </c>
      <c r="B561">
        <v>59</v>
      </c>
      <c r="C561" t="s">
        <v>27</v>
      </c>
      <c r="D561" t="s">
        <v>28</v>
      </c>
      <c r="E561" t="s">
        <v>29</v>
      </c>
      <c r="F561" t="s">
        <v>56</v>
      </c>
      <c r="G561">
        <v>77304</v>
      </c>
      <c r="H561">
        <v>5</v>
      </c>
      <c r="I561">
        <v>37</v>
      </c>
      <c r="J561">
        <v>3</v>
      </c>
      <c r="K561">
        <v>3</v>
      </c>
      <c r="L561">
        <v>3</v>
      </c>
      <c r="M561">
        <v>1</v>
      </c>
      <c r="N561" t="s">
        <v>31</v>
      </c>
      <c r="O561" t="s">
        <v>32</v>
      </c>
      <c r="P561">
        <v>21</v>
      </c>
      <c r="Q561">
        <v>10</v>
      </c>
      <c r="R561">
        <v>4</v>
      </c>
      <c r="S561" t="s">
        <v>31</v>
      </c>
      <c r="T561">
        <v>4</v>
      </c>
      <c r="U561" t="s">
        <v>31</v>
      </c>
      <c r="V561" s="1">
        <v>43803</v>
      </c>
      <c r="X561" s="1" t="str">
        <f t="shared" si="24"/>
        <v>Active</v>
      </c>
      <c r="Y561" t="str">
        <f t="shared" si="25"/>
        <v>56+</v>
      </c>
      <c r="Z561" t="str">
        <f t="shared" si="26"/>
        <v>4-5 Years</v>
      </c>
    </row>
    <row r="562" spans="1:26" x14ac:dyDescent="0.35">
      <c r="A562" t="s">
        <v>618</v>
      </c>
      <c r="B562">
        <v>57</v>
      </c>
      <c r="C562" t="s">
        <v>44</v>
      </c>
      <c r="D562" t="s">
        <v>49</v>
      </c>
      <c r="E562" t="s">
        <v>50</v>
      </c>
      <c r="F562" t="s">
        <v>56</v>
      </c>
      <c r="G562">
        <v>161382</v>
      </c>
      <c r="H562">
        <v>29</v>
      </c>
      <c r="I562">
        <v>36</v>
      </c>
      <c r="J562">
        <v>5</v>
      </c>
      <c r="K562">
        <v>1</v>
      </c>
      <c r="L562">
        <v>2</v>
      </c>
      <c r="M562">
        <v>4</v>
      </c>
      <c r="N562" t="s">
        <v>33</v>
      </c>
      <c r="O562" t="s">
        <v>32</v>
      </c>
      <c r="P562">
        <v>13</v>
      </c>
      <c r="Q562">
        <v>44</v>
      </c>
      <c r="R562">
        <v>3</v>
      </c>
      <c r="S562" t="s">
        <v>33</v>
      </c>
      <c r="T562">
        <v>5</v>
      </c>
      <c r="U562" t="s">
        <v>33</v>
      </c>
      <c r="V562" s="1">
        <v>43110</v>
      </c>
      <c r="W562" s="1">
        <v>43779</v>
      </c>
      <c r="X562" s="1" t="str">
        <f t="shared" si="24"/>
        <v>2019-11-10</v>
      </c>
      <c r="Y562" t="str">
        <f t="shared" si="25"/>
        <v>56+</v>
      </c>
      <c r="Z562" t="str">
        <f t="shared" si="26"/>
        <v>10+ Years</v>
      </c>
    </row>
    <row r="563" spans="1:26" x14ac:dyDescent="0.35">
      <c r="A563" t="s">
        <v>619</v>
      </c>
      <c r="B563">
        <v>41</v>
      </c>
      <c r="C563" t="s">
        <v>27</v>
      </c>
      <c r="D563" t="s">
        <v>52</v>
      </c>
      <c r="E563" t="s">
        <v>55</v>
      </c>
      <c r="F563" t="s">
        <v>37</v>
      </c>
      <c r="G563">
        <v>55908</v>
      </c>
      <c r="H563">
        <v>1</v>
      </c>
      <c r="I563">
        <v>19</v>
      </c>
      <c r="J563">
        <v>2</v>
      </c>
      <c r="K563">
        <v>3</v>
      </c>
      <c r="L563">
        <v>2</v>
      </c>
      <c r="M563">
        <v>3</v>
      </c>
      <c r="N563" t="s">
        <v>31</v>
      </c>
      <c r="O563" t="s">
        <v>42</v>
      </c>
      <c r="P563">
        <v>7</v>
      </c>
      <c r="Q563">
        <v>50</v>
      </c>
      <c r="R563">
        <v>3</v>
      </c>
      <c r="S563" t="s">
        <v>31</v>
      </c>
      <c r="T563">
        <v>3</v>
      </c>
      <c r="U563" t="s">
        <v>31</v>
      </c>
      <c r="V563" s="1">
        <v>42074</v>
      </c>
      <c r="X563" s="1" t="str">
        <f t="shared" si="24"/>
        <v>Active</v>
      </c>
      <c r="Y563" t="str">
        <f t="shared" si="25"/>
        <v>36-45</v>
      </c>
      <c r="Z563" t="str">
        <f t="shared" si="26"/>
        <v>0-1 Year</v>
      </c>
    </row>
    <row r="564" spans="1:26" x14ac:dyDescent="0.35">
      <c r="A564" t="s">
        <v>620</v>
      </c>
      <c r="B564">
        <v>41</v>
      </c>
      <c r="C564" t="s">
        <v>27</v>
      </c>
      <c r="D564" t="s">
        <v>35</v>
      </c>
      <c r="E564" t="s">
        <v>85</v>
      </c>
      <c r="F564" t="s">
        <v>41</v>
      </c>
      <c r="G564">
        <v>129742</v>
      </c>
      <c r="H564">
        <v>13</v>
      </c>
      <c r="I564">
        <v>18</v>
      </c>
      <c r="J564">
        <v>5</v>
      </c>
      <c r="K564">
        <v>4</v>
      </c>
      <c r="L564">
        <v>4</v>
      </c>
      <c r="M564">
        <v>3</v>
      </c>
      <c r="N564" t="s">
        <v>33</v>
      </c>
      <c r="O564" t="s">
        <v>32</v>
      </c>
      <c r="P564">
        <v>9</v>
      </c>
      <c r="Q564">
        <v>27</v>
      </c>
      <c r="R564">
        <v>3</v>
      </c>
      <c r="S564" t="s">
        <v>33</v>
      </c>
      <c r="T564">
        <v>5</v>
      </c>
      <c r="U564" t="s">
        <v>31</v>
      </c>
      <c r="V564" s="1">
        <v>41141</v>
      </c>
      <c r="X564" s="1" t="str">
        <f t="shared" si="24"/>
        <v>Active</v>
      </c>
      <c r="Y564" t="str">
        <f t="shared" si="25"/>
        <v>36-45</v>
      </c>
      <c r="Z564" t="str">
        <f t="shared" si="26"/>
        <v>10+ Years</v>
      </c>
    </row>
    <row r="565" spans="1:26" x14ac:dyDescent="0.35">
      <c r="A565" t="s">
        <v>621</v>
      </c>
      <c r="B565">
        <v>55</v>
      </c>
      <c r="C565" t="s">
        <v>27</v>
      </c>
      <c r="D565" t="s">
        <v>49</v>
      </c>
      <c r="E565" t="s">
        <v>50</v>
      </c>
      <c r="F565" t="s">
        <v>61</v>
      </c>
      <c r="G565">
        <v>130845</v>
      </c>
      <c r="H565">
        <v>13</v>
      </c>
      <c r="I565">
        <v>33</v>
      </c>
      <c r="J565">
        <v>5</v>
      </c>
      <c r="K565">
        <v>3</v>
      </c>
      <c r="L565">
        <v>1</v>
      </c>
      <c r="M565">
        <v>2</v>
      </c>
      <c r="N565" t="s">
        <v>31</v>
      </c>
      <c r="O565" t="s">
        <v>32</v>
      </c>
      <c r="P565">
        <v>28</v>
      </c>
      <c r="Q565">
        <v>59</v>
      </c>
      <c r="R565">
        <v>3</v>
      </c>
      <c r="S565" t="s">
        <v>31</v>
      </c>
      <c r="T565">
        <v>9</v>
      </c>
      <c r="U565" t="s">
        <v>31</v>
      </c>
      <c r="V565" s="1">
        <v>41941</v>
      </c>
      <c r="X565" s="1" t="str">
        <f t="shared" si="24"/>
        <v>Active</v>
      </c>
      <c r="Y565" t="str">
        <f t="shared" si="25"/>
        <v>46-55</v>
      </c>
      <c r="Z565" t="str">
        <f t="shared" si="26"/>
        <v>10+ Years</v>
      </c>
    </row>
    <row r="566" spans="1:26" x14ac:dyDescent="0.35">
      <c r="A566" t="s">
        <v>622</v>
      </c>
      <c r="B566">
        <v>58</v>
      </c>
      <c r="C566" t="s">
        <v>27</v>
      </c>
      <c r="D566" t="s">
        <v>35</v>
      </c>
      <c r="E566" t="s">
        <v>85</v>
      </c>
      <c r="F566" t="s">
        <v>37</v>
      </c>
      <c r="G566">
        <v>96443</v>
      </c>
      <c r="H566">
        <v>7</v>
      </c>
      <c r="I566">
        <v>35</v>
      </c>
      <c r="J566">
        <v>4</v>
      </c>
      <c r="K566">
        <v>3</v>
      </c>
      <c r="L566">
        <v>3</v>
      </c>
      <c r="M566">
        <v>3</v>
      </c>
      <c r="N566" t="s">
        <v>31</v>
      </c>
      <c r="O566" t="s">
        <v>32</v>
      </c>
      <c r="P566">
        <v>23</v>
      </c>
      <c r="Q566">
        <v>51</v>
      </c>
      <c r="R566">
        <v>4</v>
      </c>
      <c r="S566" t="s">
        <v>31</v>
      </c>
      <c r="T566">
        <v>7</v>
      </c>
      <c r="U566" t="s">
        <v>33</v>
      </c>
      <c r="V566" s="1">
        <v>42838</v>
      </c>
      <c r="W566" s="1">
        <v>43235</v>
      </c>
      <c r="X566" s="1" t="str">
        <f t="shared" si="24"/>
        <v>2018-05-15</v>
      </c>
      <c r="Y566" t="str">
        <f t="shared" si="25"/>
        <v>56+</v>
      </c>
      <c r="Z566" t="str">
        <f t="shared" si="26"/>
        <v>6-10 Years</v>
      </c>
    </row>
    <row r="567" spans="1:26" x14ac:dyDescent="0.35">
      <c r="A567" t="s">
        <v>623</v>
      </c>
      <c r="B567">
        <v>58</v>
      </c>
      <c r="C567" t="s">
        <v>27</v>
      </c>
      <c r="D567" t="s">
        <v>52</v>
      </c>
      <c r="E567" t="s">
        <v>55</v>
      </c>
      <c r="F567" t="s">
        <v>61</v>
      </c>
      <c r="G567">
        <v>171923</v>
      </c>
      <c r="H567">
        <v>34</v>
      </c>
      <c r="I567">
        <v>36</v>
      </c>
      <c r="J567">
        <v>5</v>
      </c>
      <c r="K567">
        <v>4</v>
      </c>
      <c r="L567">
        <v>2</v>
      </c>
      <c r="M567">
        <v>4</v>
      </c>
      <c r="N567" t="s">
        <v>31</v>
      </c>
      <c r="O567" t="s">
        <v>32</v>
      </c>
      <c r="P567">
        <v>22</v>
      </c>
      <c r="Q567">
        <v>28</v>
      </c>
      <c r="R567">
        <v>3</v>
      </c>
      <c r="S567" t="s">
        <v>33</v>
      </c>
      <c r="T567">
        <v>6</v>
      </c>
      <c r="U567" t="s">
        <v>31</v>
      </c>
      <c r="V567" s="1">
        <v>41401</v>
      </c>
      <c r="X567" s="1" t="str">
        <f t="shared" si="24"/>
        <v>Active</v>
      </c>
      <c r="Y567" t="str">
        <f t="shared" si="25"/>
        <v>56+</v>
      </c>
      <c r="Z567" t="str">
        <f t="shared" si="26"/>
        <v>10+ Years</v>
      </c>
    </row>
    <row r="568" spans="1:26" x14ac:dyDescent="0.35">
      <c r="A568" t="s">
        <v>624</v>
      </c>
      <c r="B568">
        <v>43</v>
      </c>
      <c r="C568" t="s">
        <v>44</v>
      </c>
      <c r="D568" t="s">
        <v>39</v>
      </c>
      <c r="E568" t="s">
        <v>40</v>
      </c>
      <c r="F568" t="s">
        <v>41</v>
      </c>
      <c r="G568">
        <v>128288</v>
      </c>
      <c r="H568">
        <v>12</v>
      </c>
      <c r="I568">
        <v>22</v>
      </c>
      <c r="J568">
        <v>5</v>
      </c>
      <c r="K568">
        <v>3</v>
      </c>
      <c r="L568">
        <v>4</v>
      </c>
      <c r="M568">
        <v>4</v>
      </c>
      <c r="N568" t="s">
        <v>31</v>
      </c>
      <c r="O568" t="s">
        <v>42</v>
      </c>
      <c r="P568">
        <v>5</v>
      </c>
      <c r="Q568">
        <v>14</v>
      </c>
      <c r="R568">
        <v>4</v>
      </c>
      <c r="S568" t="s">
        <v>31</v>
      </c>
      <c r="T568">
        <v>7</v>
      </c>
      <c r="U568" t="s">
        <v>31</v>
      </c>
      <c r="V568" s="1">
        <v>43285</v>
      </c>
      <c r="X568" s="1" t="str">
        <f t="shared" si="24"/>
        <v>Active</v>
      </c>
      <c r="Y568" t="str">
        <f t="shared" si="25"/>
        <v>36-45</v>
      </c>
      <c r="Z568" t="str">
        <f t="shared" si="26"/>
        <v>10+ Years</v>
      </c>
    </row>
    <row r="569" spans="1:26" x14ac:dyDescent="0.35">
      <c r="A569" t="s">
        <v>625</v>
      </c>
      <c r="B569">
        <v>56</v>
      </c>
      <c r="C569" t="s">
        <v>44</v>
      </c>
      <c r="D569" t="s">
        <v>28</v>
      </c>
      <c r="E569" t="s">
        <v>29</v>
      </c>
      <c r="F569" t="s">
        <v>78</v>
      </c>
      <c r="G569">
        <v>168738</v>
      </c>
      <c r="H569">
        <v>32</v>
      </c>
      <c r="I569">
        <v>34</v>
      </c>
      <c r="J569">
        <v>5</v>
      </c>
      <c r="K569">
        <v>4</v>
      </c>
      <c r="L569">
        <v>2</v>
      </c>
      <c r="M569">
        <v>2</v>
      </c>
      <c r="N569" t="s">
        <v>31</v>
      </c>
      <c r="O569" t="s">
        <v>32</v>
      </c>
      <c r="P569">
        <v>27</v>
      </c>
      <c r="Q569">
        <v>13</v>
      </c>
      <c r="R569">
        <v>2</v>
      </c>
      <c r="S569" t="s">
        <v>31</v>
      </c>
      <c r="T569">
        <v>7</v>
      </c>
      <c r="U569" t="s">
        <v>31</v>
      </c>
      <c r="V569" s="1">
        <v>43687</v>
      </c>
      <c r="X569" s="1" t="str">
        <f t="shared" si="24"/>
        <v>Active</v>
      </c>
      <c r="Y569" t="str">
        <f t="shared" si="25"/>
        <v>56+</v>
      </c>
      <c r="Z569" t="str">
        <f t="shared" si="26"/>
        <v>10+ Years</v>
      </c>
    </row>
    <row r="570" spans="1:26" x14ac:dyDescent="0.35">
      <c r="A570" t="s">
        <v>626</v>
      </c>
      <c r="B570">
        <v>43</v>
      </c>
      <c r="C570" t="s">
        <v>27</v>
      </c>
      <c r="D570" t="s">
        <v>39</v>
      </c>
      <c r="E570" t="s">
        <v>40</v>
      </c>
      <c r="F570" t="s">
        <v>37</v>
      </c>
      <c r="G570">
        <v>48366</v>
      </c>
      <c r="H570">
        <v>2</v>
      </c>
      <c r="I570">
        <v>22</v>
      </c>
      <c r="J570">
        <v>1</v>
      </c>
      <c r="K570">
        <v>1</v>
      </c>
      <c r="L570">
        <v>4</v>
      </c>
      <c r="M570">
        <v>3</v>
      </c>
      <c r="N570" t="s">
        <v>31</v>
      </c>
      <c r="O570" t="s">
        <v>32</v>
      </c>
      <c r="P570">
        <v>23</v>
      </c>
      <c r="Q570">
        <v>48</v>
      </c>
      <c r="R570">
        <v>3</v>
      </c>
      <c r="S570" t="s">
        <v>31</v>
      </c>
      <c r="T570">
        <v>5</v>
      </c>
      <c r="U570" t="s">
        <v>31</v>
      </c>
      <c r="V570" s="1">
        <v>44973</v>
      </c>
      <c r="X570" s="1" t="str">
        <f t="shared" si="24"/>
        <v>Active</v>
      </c>
      <c r="Y570" t="str">
        <f t="shared" si="25"/>
        <v>36-45</v>
      </c>
      <c r="Z570" t="str">
        <f t="shared" si="26"/>
        <v>2-3 Years</v>
      </c>
    </row>
    <row r="571" spans="1:26" x14ac:dyDescent="0.35">
      <c r="A571" t="s">
        <v>627</v>
      </c>
      <c r="B571">
        <v>49</v>
      </c>
      <c r="C571" t="s">
        <v>27</v>
      </c>
      <c r="D571" t="s">
        <v>35</v>
      </c>
      <c r="E571" t="s">
        <v>85</v>
      </c>
      <c r="F571" t="s">
        <v>30</v>
      </c>
      <c r="G571">
        <v>134078</v>
      </c>
      <c r="H571">
        <v>16</v>
      </c>
      <c r="I571">
        <v>26</v>
      </c>
      <c r="J571">
        <v>5</v>
      </c>
      <c r="K571">
        <v>1</v>
      </c>
      <c r="L571">
        <v>3</v>
      </c>
      <c r="M571">
        <v>2</v>
      </c>
      <c r="N571" t="s">
        <v>31</v>
      </c>
      <c r="O571" t="s">
        <v>32</v>
      </c>
      <c r="P571">
        <v>3</v>
      </c>
      <c r="Q571">
        <v>37</v>
      </c>
      <c r="R571">
        <v>3</v>
      </c>
      <c r="S571" t="s">
        <v>33</v>
      </c>
      <c r="T571">
        <v>6</v>
      </c>
      <c r="U571" t="s">
        <v>31</v>
      </c>
      <c r="V571" s="1">
        <v>45224</v>
      </c>
      <c r="X571" s="1" t="str">
        <f t="shared" si="24"/>
        <v>Active</v>
      </c>
      <c r="Y571" t="str">
        <f t="shared" si="25"/>
        <v>46-55</v>
      </c>
      <c r="Z571" t="str">
        <f t="shared" si="26"/>
        <v>10+ Years</v>
      </c>
    </row>
    <row r="572" spans="1:26" x14ac:dyDescent="0.35">
      <c r="A572" t="s">
        <v>628</v>
      </c>
      <c r="B572">
        <v>36</v>
      </c>
      <c r="C572" t="s">
        <v>44</v>
      </c>
      <c r="D572" t="s">
        <v>49</v>
      </c>
      <c r="E572" t="s">
        <v>68</v>
      </c>
      <c r="F572" t="s">
        <v>41</v>
      </c>
      <c r="G572">
        <v>57546</v>
      </c>
      <c r="H572">
        <v>1</v>
      </c>
      <c r="I572">
        <v>13</v>
      </c>
      <c r="J572">
        <v>2</v>
      </c>
      <c r="K572">
        <v>2</v>
      </c>
      <c r="L572">
        <v>2</v>
      </c>
      <c r="M572">
        <v>1</v>
      </c>
      <c r="N572" t="s">
        <v>31</v>
      </c>
      <c r="O572" t="s">
        <v>32</v>
      </c>
      <c r="P572">
        <v>25</v>
      </c>
      <c r="Q572">
        <v>59</v>
      </c>
      <c r="R572">
        <v>4</v>
      </c>
      <c r="S572" t="s">
        <v>31</v>
      </c>
      <c r="T572">
        <v>5</v>
      </c>
      <c r="U572" t="s">
        <v>31</v>
      </c>
      <c r="V572" s="1">
        <v>42465</v>
      </c>
      <c r="X572" s="1" t="str">
        <f t="shared" si="24"/>
        <v>Active</v>
      </c>
      <c r="Y572" t="str">
        <f t="shared" si="25"/>
        <v>36-45</v>
      </c>
      <c r="Z572" t="str">
        <f t="shared" si="26"/>
        <v>0-1 Year</v>
      </c>
    </row>
    <row r="573" spans="1:26" x14ac:dyDescent="0.35">
      <c r="A573" t="s">
        <v>629</v>
      </c>
      <c r="B573">
        <v>22</v>
      </c>
      <c r="C573" t="s">
        <v>44</v>
      </c>
      <c r="D573" t="s">
        <v>52</v>
      </c>
      <c r="E573" t="s">
        <v>55</v>
      </c>
      <c r="F573" t="s">
        <v>41</v>
      </c>
      <c r="G573">
        <v>61199</v>
      </c>
      <c r="H573">
        <v>1</v>
      </c>
      <c r="I573">
        <v>1</v>
      </c>
      <c r="J573">
        <v>2</v>
      </c>
      <c r="K573">
        <v>2</v>
      </c>
      <c r="L573">
        <v>2</v>
      </c>
      <c r="M573">
        <v>2</v>
      </c>
      <c r="N573" t="s">
        <v>31</v>
      </c>
      <c r="O573" t="s">
        <v>32</v>
      </c>
      <c r="P573">
        <v>11</v>
      </c>
      <c r="Q573">
        <v>11</v>
      </c>
      <c r="R573">
        <v>3</v>
      </c>
      <c r="S573" t="s">
        <v>31</v>
      </c>
      <c r="T573">
        <v>6</v>
      </c>
      <c r="U573" t="s">
        <v>33</v>
      </c>
      <c r="V573" s="1">
        <v>43974</v>
      </c>
      <c r="W573" s="1">
        <v>44301</v>
      </c>
      <c r="X573" s="1" t="str">
        <f t="shared" si="24"/>
        <v>2021-04-15</v>
      </c>
      <c r="Y573" t="str">
        <f t="shared" si="25"/>
        <v>18-25</v>
      </c>
      <c r="Z573" t="str">
        <f t="shared" si="26"/>
        <v>0-1 Year</v>
      </c>
    </row>
    <row r="574" spans="1:26" x14ac:dyDescent="0.35">
      <c r="A574" t="s">
        <v>630</v>
      </c>
      <c r="B574">
        <v>44</v>
      </c>
      <c r="C574" t="s">
        <v>27</v>
      </c>
      <c r="D574" t="s">
        <v>39</v>
      </c>
      <c r="E574" t="s">
        <v>59</v>
      </c>
      <c r="F574" t="s">
        <v>61</v>
      </c>
      <c r="G574">
        <v>84767</v>
      </c>
      <c r="H574">
        <v>7</v>
      </c>
      <c r="I574">
        <v>22</v>
      </c>
      <c r="J574">
        <v>3</v>
      </c>
      <c r="K574">
        <v>4</v>
      </c>
      <c r="L574">
        <v>3</v>
      </c>
      <c r="M574">
        <v>4</v>
      </c>
      <c r="N574" t="s">
        <v>31</v>
      </c>
      <c r="O574" t="s">
        <v>32</v>
      </c>
      <c r="P574">
        <v>8</v>
      </c>
      <c r="Q574">
        <v>54</v>
      </c>
      <c r="R574">
        <v>3</v>
      </c>
      <c r="S574" t="s">
        <v>31</v>
      </c>
      <c r="T574">
        <v>7</v>
      </c>
      <c r="U574" t="s">
        <v>31</v>
      </c>
      <c r="V574" s="1">
        <v>43451</v>
      </c>
      <c r="X574" s="1" t="str">
        <f t="shared" si="24"/>
        <v>Active</v>
      </c>
      <c r="Y574" t="str">
        <f t="shared" si="25"/>
        <v>36-45</v>
      </c>
      <c r="Z574" t="str">
        <f t="shared" si="26"/>
        <v>6-10 Years</v>
      </c>
    </row>
    <row r="575" spans="1:26" x14ac:dyDescent="0.35">
      <c r="A575" t="s">
        <v>631</v>
      </c>
      <c r="B575">
        <v>33</v>
      </c>
      <c r="C575" t="s">
        <v>27</v>
      </c>
      <c r="D575" t="s">
        <v>39</v>
      </c>
      <c r="E575" t="s">
        <v>74</v>
      </c>
      <c r="F575" t="s">
        <v>78</v>
      </c>
      <c r="G575">
        <v>74305</v>
      </c>
      <c r="H575">
        <v>3</v>
      </c>
      <c r="I575">
        <v>10</v>
      </c>
      <c r="J575">
        <v>3</v>
      </c>
      <c r="K575">
        <v>1</v>
      </c>
      <c r="L575">
        <v>3</v>
      </c>
      <c r="M575">
        <v>4</v>
      </c>
      <c r="N575" t="s">
        <v>31</v>
      </c>
      <c r="O575" t="s">
        <v>32</v>
      </c>
      <c r="P575">
        <v>16</v>
      </c>
      <c r="Q575">
        <v>18</v>
      </c>
      <c r="R575">
        <v>3</v>
      </c>
      <c r="S575" t="s">
        <v>31</v>
      </c>
      <c r="T575">
        <v>6</v>
      </c>
      <c r="U575" t="s">
        <v>33</v>
      </c>
      <c r="V575" s="1">
        <v>44354</v>
      </c>
      <c r="W575" s="1">
        <v>44971</v>
      </c>
      <c r="X575" s="1" t="str">
        <f t="shared" si="24"/>
        <v>2023-02-14</v>
      </c>
      <c r="Y575" t="str">
        <f t="shared" si="25"/>
        <v>26-35</v>
      </c>
      <c r="Z575" t="str">
        <f t="shared" si="26"/>
        <v>2-3 Years</v>
      </c>
    </row>
    <row r="576" spans="1:26" x14ac:dyDescent="0.35">
      <c r="A576" t="s">
        <v>632</v>
      </c>
      <c r="B576">
        <v>25</v>
      </c>
      <c r="C576" t="s">
        <v>27</v>
      </c>
      <c r="D576" t="s">
        <v>39</v>
      </c>
      <c r="E576" t="s">
        <v>40</v>
      </c>
      <c r="F576" t="s">
        <v>61</v>
      </c>
      <c r="G576">
        <v>40118</v>
      </c>
      <c r="H576">
        <v>0</v>
      </c>
      <c r="I576">
        <v>1</v>
      </c>
      <c r="J576">
        <v>1</v>
      </c>
      <c r="K576">
        <v>1</v>
      </c>
      <c r="L576">
        <v>2</v>
      </c>
      <c r="M576">
        <v>2</v>
      </c>
      <c r="N576" t="s">
        <v>31</v>
      </c>
      <c r="O576" t="s">
        <v>32</v>
      </c>
      <c r="P576">
        <v>28</v>
      </c>
      <c r="Q576">
        <v>12</v>
      </c>
      <c r="R576">
        <v>3</v>
      </c>
      <c r="S576" t="s">
        <v>31</v>
      </c>
      <c r="T576">
        <v>6</v>
      </c>
      <c r="U576" t="s">
        <v>31</v>
      </c>
      <c r="V576" s="1">
        <v>43635</v>
      </c>
      <c r="X576" s="1" t="str">
        <f t="shared" si="24"/>
        <v>Active</v>
      </c>
      <c r="Y576" t="str">
        <f t="shared" si="25"/>
        <v>18-25</v>
      </c>
      <c r="Z576" t="str">
        <f t="shared" si="26"/>
        <v>0-1 Year</v>
      </c>
    </row>
    <row r="577" spans="1:26" x14ac:dyDescent="0.35">
      <c r="A577" t="s">
        <v>633</v>
      </c>
      <c r="B577">
        <v>52</v>
      </c>
      <c r="C577" t="s">
        <v>44</v>
      </c>
      <c r="D577" t="s">
        <v>39</v>
      </c>
      <c r="E577" t="s">
        <v>40</v>
      </c>
      <c r="F577" t="s">
        <v>41</v>
      </c>
      <c r="G577">
        <v>159339</v>
      </c>
      <c r="H577">
        <v>30</v>
      </c>
      <c r="I577">
        <v>30</v>
      </c>
      <c r="J577">
        <v>5</v>
      </c>
      <c r="K577">
        <v>3</v>
      </c>
      <c r="L577">
        <v>4</v>
      </c>
      <c r="M577">
        <v>4</v>
      </c>
      <c r="N577" t="s">
        <v>31</v>
      </c>
      <c r="O577" t="s">
        <v>32</v>
      </c>
      <c r="P577">
        <v>17</v>
      </c>
      <c r="Q577">
        <v>14</v>
      </c>
      <c r="R577">
        <v>3</v>
      </c>
      <c r="S577" t="s">
        <v>33</v>
      </c>
      <c r="T577">
        <v>5</v>
      </c>
      <c r="U577" t="s">
        <v>31</v>
      </c>
      <c r="V577" s="1">
        <v>41015</v>
      </c>
      <c r="X577" s="1" t="str">
        <f t="shared" si="24"/>
        <v>Active</v>
      </c>
      <c r="Y577" t="str">
        <f t="shared" si="25"/>
        <v>46-55</v>
      </c>
      <c r="Z577" t="str">
        <f t="shared" si="26"/>
        <v>10+ Years</v>
      </c>
    </row>
    <row r="578" spans="1:26" x14ac:dyDescent="0.35">
      <c r="A578" t="s">
        <v>634</v>
      </c>
      <c r="B578">
        <v>55</v>
      </c>
      <c r="C578" t="s">
        <v>44</v>
      </c>
      <c r="D578" t="s">
        <v>52</v>
      </c>
      <c r="E578" t="s">
        <v>53</v>
      </c>
      <c r="F578" t="s">
        <v>61</v>
      </c>
      <c r="G578">
        <v>144378</v>
      </c>
      <c r="H578">
        <v>21</v>
      </c>
      <c r="I578">
        <v>34</v>
      </c>
      <c r="J578">
        <v>5</v>
      </c>
      <c r="K578">
        <v>2</v>
      </c>
      <c r="L578">
        <v>1</v>
      </c>
      <c r="M578">
        <v>3</v>
      </c>
      <c r="N578" t="s">
        <v>33</v>
      </c>
      <c r="O578" t="s">
        <v>32</v>
      </c>
      <c r="P578">
        <v>25</v>
      </c>
      <c r="Q578">
        <v>41</v>
      </c>
      <c r="R578">
        <v>4</v>
      </c>
      <c r="S578" t="s">
        <v>31</v>
      </c>
      <c r="T578">
        <v>4</v>
      </c>
      <c r="U578" t="s">
        <v>31</v>
      </c>
      <c r="V578" s="1">
        <v>43659</v>
      </c>
      <c r="X578" s="1" t="str">
        <f t="shared" si="24"/>
        <v>Active</v>
      </c>
      <c r="Y578" t="str">
        <f t="shared" si="25"/>
        <v>46-55</v>
      </c>
      <c r="Z578" t="str">
        <f t="shared" si="26"/>
        <v>10+ Years</v>
      </c>
    </row>
    <row r="579" spans="1:26" x14ac:dyDescent="0.35">
      <c r="A579" t="s">
        <v>635</v>
      </c>
      <c r="B579">
        <v>46</v>
      </c>
      <c r="C579" t="s">
        <v>27</v>
      </c>
      <c r="D579" t="s">
        <v>39</v>
      </c>
      <c r="E579" t="s">
        <v>40</v>
      </c>
      <c r="F579" t="s">
        <v>56</v>
      </c>
      <c r="G579">
        <v>105585</v>
      </c>
      <c r="H579">
        <v>9</v>
      </c>
      <c r="I579">
        <v>25</v>
      </c>
      <c r="J579">
        <v>4</v>
      </c>
      <c r="K579">
        <v>4</v>
      </c>
      <c r="L579">
        <v>1</v>
      </c>
      <c r="M579">
        <v>4</v>
      </c>
      <c r="N579" t="s">
        <v>31</v>
      </c>
      <c r="O579" t="s">
        <v>32</v>
      </c>
      <c r="P579">
        <v>16</v>
      </c>
      <c r="Q579">
        <v>20</v>
      </c>
      <c r="R579">
        <v>3</v>
      </c>
      <c r="S579" t="s">
        <v>33</v>
      </c>
      <c r="T579">
        <v>5</v>
      </c>
      <c r="U579" t="s">
        <v>31</v>
      </c>
      <c r="V579" s="1">
        <v>45195</v>
      </c>
      <c r="X579" s="1" t="str">
        <f t="shared" ref="X579:X642" si="27">IF(ISBLANK(W579), "Active", TEXT(W579, "yyyy-mm-dd"))</f>
        <v>Active</v>
      </c>
      <c r="Y579" t="str">
        <f t="shared" ref="Y579:Y642" si="28">_xlfn.IFS(B579&lt;=25, "18-25", B579&lt;=35, "26-35", B579&lt;=45, "36-45", B579&lt;=55, "46-55", B579&gt;55, "56+")</f>
        <v>46-55</v>
      </c>
      <c r="Z579" t="str">
        <f t="shared" ref="Z579:Z642" si="29">_xlfn.IFS(H579&lt;=1, "0-1 Year", H579&lt;=3, "2-3 Years", H579&lt;=5, "4-5 Years", H579&lt;=10, "6-10 Years", H579&gt;10, "10+ Years")</f>
        <v>6-10 Years</v>
      </c>
    </row>
    <row r="580" spans="1:26" x14ac:dyDescent="0.35">
      <c r="A580" t="s">
        <v>636</v>
      </c>
      <c r="B580">
        <v>45</v>
      </c>
      <c r="C580" t="s">
        <v>27</v>
      </c>
      <c r="D580" t="s">
        <v>39</v>
      </c>
      <c r="E580" t="s">
        <v>74</v>
      </c>
      <c r="F580" t="s">
        <v>41</v>
      </c>
      <c r="G580">
        <v>102285</v>
      </c>
      <c r="H580">
        <v>9</v>
      </c>
      <c r="I580">
        <v>23</v>
      </c>
      <c r="J580">
        <v>4</v>
      </c>
      <c r="K580">
        <v>1</v>
      </c>
      <c r="L580">
        <v>3</v>
      </c>
      <c r="M580">
        <v>4</v>
      </c>
      <c r="N580" t="s">
        <v>31</v>
      </c>
      <c r="O580" t="s">
        <v>32</v>
      </c>
      <c r="P580">
        <v>17</v>
      </c>
      <c r="Q580">
        <v>19</v>
      </c>
      <c r="R580">
        <v>3</v>
      </c>
      <c r="S580" t="s">
        <v>31</v>
      </c>
      <c r="T580">
        <v>6</v>
      </c>
      <c r="U580" t="s">
        <v>31</v>
      </c>
      <c r="V580" s="1">
        <v>45261</v>
      </c>
      <c r="X580" s="1" t="str">
        <f t="shared" si="27"/>
        <v>Active</v>
      </c>
      <c r="Y580" t="str">
        <f t="shared" si="28"/>
        <v>36-45</v>
      </c>
      <c r="Z580" t="str">
        <f t="shared" si="29"/>
        <v>6-10 Years</v>
      </c>
    </row>
    <row r="581" spans="1:26" x14ac:dyDescent="0.35">
      <c r="A581" t="s">
        <v>637</v>
      </c>
      <c r="B581">
        <v>38</v>
      </c>
      <c r="C581" t="s">
        <v>27</v>
      </c>
      <c r="D581" t="s">
        <v>39</v>
      </c>
      <c r="E581" t="s">
        <v>59</v>
      </c>
      <c r="F581" t="s">
        <v>56</v>
      </c>
      <c r="G581">
        <v>109426</v>
      </c>
      <c r="H581">
        <v>10</v>
      </c>
      <c r="I581">
        <v>15</v>
      </c>
      <c r="J581">
        <v>4</v>
      </c>
      <c r="K581">
        <v>2</v>
      </c>
      <c r="L581">
        <v>4</v>
      </c>
      <c r="M581">
        <v>1</v>
      </c>
      <c r="N581" t="s">
        <v>31</v>
      </c>
      <c r="O581" t="s">
        <v>32</v>
      </c>
      <c r="P581">
        <v>20</v>
      </c>
      <c r="Q581">
        <v>30</v>
      </c>
      <c r="R581">
        <v>2</v>
      </c>
      <c r="S581" t="s">
        <v>33</v>
      </c>
      <c r="T581">
        <v>3</v>
      </c>
      <c r="U581" t="s">
        <v>31</v>
      </c>
      <c r="V581" s="1">
        <v>43505</v>
      </c>
      <c r="X581" s="1" t="str">
        <f t="shared" si="27"/>
        <v>Active</v>
      </c>
      <c r="Y581" t="str">
        <f t="shared" si="28"/>
        <v>36-45</v>
      </c>
      <c r="Z581" t="str">
        <f t="shared" si="29"/>
        <v>6-10 Years</v>
      </c>
    </row>
    <row r="582" spans="1:26" x14ac:dyDescent="0.35">
      <c r="A582" t="s">
        <v>638</v>
      </c>
      <c r="B582">
        <v>37</v>
      </c>
      <c r="C582" t="s">
        <v>27</v>
      </c>
      <c r="D582" t="s">
        <v>39</v>
      </c>
      <c r="E582" t="s">
        <v>74</v>
      </c>
      <c r="F582" t="s">
        <v>78</v>
      </c>
      <c r="G582">
        <v>63638</v>
      </c>
      <c r="H582">
        <v>2</v>
      </c>
      <c r="I582">
        <v>14</v>
      </c>
      <c r="J582">
        <v>2</v>
      </c>
      <c r="K582">
        <v>3</v>
      </c>
      <c r="L582">
        <v>3</v>
      </c>
      <c r="M582">
        <v>2</v>
      </c>
      <c r="N582" t="s">
        <v>31</v>
      </c>
      <c r="O582" t="s">
        <v>47</v>
      </c>
      <c r="P582">
        <v>10</v>
      </c>
      <c r="Q582">
        <v>32</v>
      </c>
      <c r="R582">
        <v>3</v>
      </c>
      <c r="S582" t="s">
        <v>31</v>
      </c>
      <c r="T582">
        <v>7</v>
      </c>
      <c r="U582" t="s">
        <v>31</v>
      </c>
      <c r="V582" s="1">
        <v>42309</v>
      </c>
      <c r="X582" s="1" t="str">
        <f t="shared" si="27"/>
        <v>Active</v>
      </c>
      <c r="Y582" t="str">
        <f t="shared" si="28"/>
        <v>36-45</v>
      </c>
      <c r="Z582" t="str">
        <f t="shared" si="29"/>
        <v>2-3 Years</v>
      </c>
    </row>
    <row r="583" spans="1:26" x14ac:dyDescent="0.35">
      <c r="A583" t="s">
        <v>639</v>
      </c>
      <c r="B583">
        <v>23</v>
      </c>
      <c r="C583" t="s">
        <v>44</v>
      </c>
      <c r="D583" t="s">
        <v>28</v>
      </c>
      <c r="E583" t="s">
        <v>29</v>
      </c>
      <c r="F583" t="s">
        <v>41</v>
      </c>
      <c r="G583">
        <v>57260</v>
      </c>
      <c r="H583">
        <v>1</v>
      </c>
      <c r="I583">
        <v>1</v>
      </c>
      <c r="J583">
        <v>2</v>
      </c>
      <c r="K583">
        <v>4</v>
      </c>
      <c r="L583">
        <v>3</v>
      </c>
      <c r="M583">
        <v>4</v>
      </c>
      <c r="N583" t="s">
        <v>31</v>
      </c>
      <c r="O583" t="s">
        <v>32</v>
      </c>
      <c r="P583">
        <v>21</v>
      </c>
      <c r="Q583">
        <v>36</v>
      </c>
      <c r="R583">
        <v>3</v>
      </c>
      <c r="S583" t="s">
        <v>31</v>
      </c>
      <c r="T583">
        <v>4</v>
      </c>
      <c r="U583" t="s">
        <v>31</v>
      </c>
      <c r="V583" s="1">
        <v>41377</v>
      </c>
      <c r="X583" s="1" t="str">
        <f t="shared" si="27"/>
        <v>Active</v>
      </c>
      <c r="Y583" t="str">
        <f t="shared" si="28"/>
        <v>18-25</v>
      </c>
      <c r="Z583" t="str">
        <f t="shared" si="29"/>
        <v>0-1 Year</v>
      </c>
    </row>
    <row r="584" spans="1:26" x14ac:dyDescent="0.35">
      <c r="A584" t="s">
        <v>640</v>
      </c>
      <c r="B584">
        <v>39</v>
      </c>
      <c r="C584" t="s">
        <v>27</v>
      </c>
      <c r="D584" t="s">
        <v>52</v>
      </c>
      <c r="E584" t="s">
        <v>53</v>
      </c>
      <c r="F584" t="s">
        <v>30</v>
      </c>
      <c r="G584">
        <v>121951</v>
      </c>
      <c r="H584">
        <v>12</v>
      </c>
      <c r="I584">
        <v>15</v>
      </c>
      <c r="J584">
        <v>5</v>
      </c>
      <c r="K584">
        <v>1</v>
      </c>
      <c r="L584">
        <v>2</v>
      </c>
      <c r="M584">
        <v>3</v>
      </c>
      <c r="N584" t="s">
        <v>31</v>
      </c>
      <c r="O584" t="s">
        <v>32</v>
      </c>
      <c r="P584">
        <v>19</v>
      </c>
      <c r="Q584">
        <v>10</v>
      </c>
      <c r="R584">
        <v>3</v>
      </c>
      <c r="S584" t="s">
        <v>31</v>
      </c>
      <c r="T584">
        <v>4</v>
      </c>
      <c r="U584" t="s">
        <v>31</v>
      </c>
      <c r="V584" s="1">
        <v>43756</v>
      </c>
      <c r="X584" s="1" t="str">
        <f t="shared" si="27"/>
        <v>Active</v>
      </c>
      <c r="Y584" t="str">
        <f t="shared" si="28"/>
        <v>36-45</v>
      </c>
      <c r="Z584" t="str">
        <f t="shared" si="29"/>
        <v>10+ Years</v>
      </c>
    </row>
    <row r="585" spans="1:26" x14ac:dyDescent="0.35">
      <c r="A585" t="s">
        <v>641</v>
      </c>
      <c r="B585">
        <v>25</v>
      </c>
      <c r="C585" t="s">
        <v>44</v>
      </c>
      <c r="D585" t="s">
        <v>35</v>
      </c>
      <c r="E585" t="s">
        <v>36</v>
      </c>
      <c r="F585" t="s">
        <v>61</v>
      </c>
      <c r="G585">
        <v>57198</v>
      </c>
      <c r="H585">
        <v>1</v>
      </c>
      <c r="I585">
        <v>4</v>
      </c>
      <c r="J585">
        <v>2</v>
      </c>
      <c r="K585">
        <v>3</v>
      </c>
      <c r="L585">
        <v>2</v>
      </c>
      <c r="M585">
        <v>2</v>
      </c>
      <c r="N585" t="s">
        <v>31</v>
      </c>
      <c r="O585" t="s">
        <v>32</v>
      </c>
      <c r="P585">
        <v>13</v>
      </c>
      <c r="Q585">
        <v>52</v>
      </c>
      <c r="R585">
        <v>3</v>
      </c>
      <c r="S585" t="s">
        <v>31</v>
      </c>
      <c r="T585">
        <v>4</v>
      </c>
      <c r="U585" t="s">
        <v>31</v>
      </c>
      <c r="V585" s="1">
        <v>43319</v>
      </c>
      <c r="X585" s="1" t="str">
        <f t="shared" si="27"/>
        <v>Active</v>
      </c>
      <c r="Y585" t="str">
        <f t="shared" si="28"/>
        <v>18-25</v>
      </c>
      <c r="Z585" t="str">
        <f t="shared" si="29"/>
        <v>0-1 Year</v>
      </c>
    </row>
    <row r="586" spans="1:26" x14ac:dyDescent="0.35">
      <c r="A586" t="s">
        <v>642</v>
      </c>
      <c r="B586">
        <v>26</v>
      </c>
      <c r="C586" t="s">
        <v>44</v>
      </c>
      <c r="D586" t="s">
        <v>39</v>
      </c>
      <c r="E586" t="s">
        <v>59</v>
      </c>
      <c r="F586" t="s">
        <v>30</v>
      </c>
      <c r="G586">
        <v>58286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1</v>
      </c>
      <c r="N586" t="s">
        <v>33</v>
      </c>
      <c r="O586" t="s">
        <v>32</v>
      </c>
      <c r="P586">
        <v>23</v>
      </c>
      <c r="Q586">
        <v>22</v>
      </c>
      <c r="R586">
        <v>2</v>
      </c>
      <c r="S586" t="s">
        <v>31</v>
      </c>
      <c r="T586">
        <v>10</v>
      </c>
      <c r="U586" t="s">
        <v>33</v>
      </c>
      <c r="V586" s="1">
        <v>40979</v>
      </c>
      <c r="W586" s="1">
        <v>41905</v>
      </c>
      <c r="X586" s="1" t="str">
        <f t="shared" si="27"/>
        <v>2014-09-23</v>
      </c>
      <c r="Y586" t="str">
        <f t="shared" si="28"/>
        <v>26-35</v>
      </c>
      <c r="Z586" t="str">
        <f t="shared" si="29"/>
        <v>2-3 Years</v>
      </c>
    </row>
    <row r="587" spans="1:26" x14ac:dyDescent="0.35">
      <c r="A587" t="s">
        <v>643</v>
      </c>
      <c r="B587">
        <v>24</v>
      </c>
      <c r="C587" t="s">
        <v>27</v>
      </c>
      <c r="D587" t="s">
        <v>49</v>
      </c>
      <c r="E587" t="s">
        <v>68</v>
      </c>
      <c r="F587" t="s">
        <v>30</v>
      </c>
      <c r="G587">
        <v>54192</v>
      </c>
      <c r="H587">
        <v>0</v>
      </c>
      <c r="I587">
        <v>2</v>
      </c>
      <c r="J587">
        <v>2</v>
      </c>
      <c r="K587">
        <v>1</v>
      </c>
      <c r="L587">
        <v>4</v>
      </c>
      <c r="M587">
        <v>2</v>
      </c>
      <c r="N587" t="s">
        <v>31</v>
      </c>
      <c r="O587" t="s">
        <v>42</v>
      </c>
      <c r="P587">
        <v>6</v>
      </c>
      <c r="Q587">
        <v>38</v>
      </c>
      <c r="R587">
        <v>3</v>
      </c>
      <c r="S587" t="s">
        <v>31</v>
      </c>
      <c r="T587">
        <v>2</v>
      </c>
      <c r="U587" t="s">
        <v>31</v>
      </c>
      <c r="V587" s="1">
        <v>42211</v>
      </c>
      <c r="X587" s="1" t="str">
        <f t="shared" si="27"/>
        <v>Active</v>
      </c>
      <c r="Y587" t="str">
        <f t="shared" si="28"/>
        <v>18-25</v>
      </c>
      <c r="Z587" t="str">
        <f t="shared" si="29"/>
        <v>0-1 Year</v>
      </c>
    </row>
    <row r="588" spans="1:26" x14ac:dyDescent="0.35">
      <c r="A588" t="s">
        <v>644</v>
      </c>
      <c r="B588">
        <v>29</v>
      </c>
      <c r="C588" t="s">
        <v>44</v>
      </c>
      <c r="D588" t="s">
        <v>28</v>
      </c>
      <c r="E588" t="s">
        <v>66</v>
      </c>
      <c r="F588" t="s">
        <v>61</v>
      </c>
      <c r="G588">
        <v>73099</v>
      </c>
      <c r="H588">
        <v>3</v>
      </c>
      <c r="I588">
        <v>8</v>
      </c>
      <c r="J588">
        <v>3</v>
      </c>
      <c r="K588">
        <v>1</v>
      </c>
      <c r="L588">
        <v>4</v>
      </c>
      <c r="M588">
        <v>4</v>
      </c>
      <c r="N588" t="s">
        <v>31</v>
      </c>
      <c r="O588" t="s">
        <v>42</v>
      </c>
      <c r="P588">
        <v>21</v>
      </c>
      <c r="Q588">
        <v>22</v>
      </c>
      <c r="R588">
        <v>3</v>
      </c>
      <c r="S588" t="s">
        <v>31</v>
      </c>
      <c r="T588">
        <v>4</v>
      </c>
      <c r="U588" t="s">
        <v>31</v>
      </c>
      <c r="V588" s="1">
        <v>43574</v>
      </c>
      <c r="X588" s="1" t="str">
        <f t="shared" si="27"/>
        <v>Active</v>
      </c>
      <c r="Y588" t="str">
        <f t="shared" si="28"/>
        <v>26-35</v>
      </c>
      <c r="Z588" t="str">
        <f t="shared" si="29"/>
        <v>2-3 Years</v>
      </c>
    </row>
    <row r="589" spans="1:26" x14ac:dyDescent="0.35">
      <c r="A589" t="s">
        <v>645</v>
      </c>
      <c r="B589">
        <v>39</v>
      </c>
      <c r="C589" t="s">
        <v>44</v>
      </c>
      <c r="D589" t="s">
        <v>45</v>
      </c>
      <c r="E589" t="s">
        <v>63</v>
      </c>
      <c r="F589" t="s">
        <v>78</v>
      </c>
      <c r="G589">
        <v>128516</v>
      </c>
      <c r="H589">
        <v>13</v>
      </c>
      <c r="I589">
        <v>18</v>
      </c>
      <c r="J589">
        <v>5</v>
      </c>
      <c r="K589">
        <v>1</v>
      </c>
      <c r="L589">
        <v>4</v>
      </c>
      <c r="M589">
        <v>4</v>
      </c>
      <c r="N589" t="s">
        <v>31</v>
      </c>
      <c r="O589" t="s">
        <v>32</v>
      </c>
      <c r="P589">
        <v>25</v>
      </c>
      <c r="Q589">
        <v>57</v>
      </c>
      <c r="R589">
        <v>3</v>
      </c>
      <c r="S589" t="s">
        <v>31</v>
      </c>
      <c r="T589">
        <v>5</v>
      </c>
      <c r="U589" t="s">
        <v>31</v>
      </c>
      <c r="V589" s="1">
        <v>42745</v>
      </c>
      <c r="X589" s="1" t="str">
        <f t="shared" si="27"/>
        <v>Active</v>
      </c>
      <c r="Y589" t="str">
        <f t="shared" si="28"/>
        <v>36-45</v>
      </c>
      <c r="Z589" t="str">
        <f t="shared" si="29"/>
        <v>10+ Years</v>
      </c>
    </row>
    <row r="590" spans="1:26" x14ac:dyDescent="0.35">
      <c r="A590" t="s">
        <v>646</v>
      </c>
      <c r="B590">
        <v>36</v>
      </c>
      <c r="C590" t="s">
        <v>44</v>
      </c>
      <c r="D590" t="s">
        <v>45</v>
      </c>
      <c r="E590" t="s">
        <v>63</v>
      </c>
      <c r="F590" t="s">
        <v>37</v>
      </c>
      <c r="G590">
        <v>130256</v>
      </c>
      <c r="H590">
        <v>13</v>
      </c>
      <c r="I590">
        <v>14</v>
      </c>
      <c r="J590">
        <v>5</v>
      </c>
      <c r="K590">
        <v>1</v>
      </c>
      <c r="L590">
        <v>1</v>
      </c>
      <c r="M590">
        <v>1</v>
      </c>
      <c r="N590" t="s">
        <v>31</v>
      </c>
      <c r="O590" t="s">
        <v>32</v>
      </c>
      <c r="P590">
        <v>24</v>
      </c>
      <c r="Q590">
        <v>33</v>
      </c>
      <c r="R590">
        <v>3</v>
      </c>
      <c r="S590" t="s">
        <v>33</v>
      </c>
      <c r="T590">
        <v>7</v>
      </c>
      <c r="U590" t="s">
        <v>31</v>
      </c>
      <c r="V590" s="1">
        <v>41351</v>
      </c>
      <c r="X590" s="1" t="str">
        <f t="shared" si="27"/>
        <v>Active</v>
      </c>
      <c r="Y590" t="str">
        <f t="shared" si="28"/>
        <v>36-45</v>
      </c>
      <c r="Z590" t="str">
        <f t="shared" si="29"/>
        <v>10+ Years</v>
      </c>
    </row>
    <row r="591" spans="1:26" x14ac:dyDescent="0.35">
      <c r="A591" t="s">
        <v>647</v>
      </c>
      <c r="B591">
        <v>22</v>
      </c>
      <c r="C591" t="s">
        <v>44</v>
      </c>
      <c r="D591" t="s">
        <v>35</v>
      </c>
      <c r="E591" t="s">
        <v>85</v>
      </c>
      <c r="F591" t="s">
        <v>61</v>
      </c>
      <c r="G591">
        <v>40707</v>
      </c>
      <c r="H591">
        <v>1</v>
      </c>
      <c r="I591">
        <v>1</v>
      </c>
      <c r="J591">
        <v>1</v>
      </c>
      <c r="K591">
        <v>4</v>
      </c>
      <c r="L591">
        <v>1</v>
      </c>
      <c r="M591">
        <v>4</v>
      </c>
      <c r="N591" t="s">
        <v>31</v>
      </c>
      <c r="O591" t="s">
        <v>32</v>
      </c>
      <c r="P591">
        <v>1</v>
      </c>
      <c r="Q591">
        <v>29</v>
      </c>
      <c r="R591">
        <v>2</v>
      </c>
      <c r="S591" t="s">
        <v>31</v>
      </c>
      <c r="T591">
        <v>4</v>
      </c>
      <c r="U591" t="s">
        <v>31</v>
      </c>
      <c r="V591" s="1">
        <v>44629</v>
      </c>
      <c r="X591" s="1" t="str">
        <f t="shared" si="27"/>
        <v>Active</v>
      </c>
      <c r="Y591" t="str">
        <f t="shared" si="28"/>
        <v>18-25</v>
      </c>
      <c r="Z591" t="str">
        <f t="shared" si="29"/>
        <v>0-1 Year</v>
      </c>
    </row>
    <row r="592" spans="1:26" x14ac:dyDescent="0.35">
      <c r="A592" t="s">
        <v>648</v>
      </c>
      <c r="B592">
        <v>38</v>
      </c>
      <c r="C592" t="s">
        <v>27</v>
      </c>
      <c r="D592" t="s">
        <v>28</v>
      </c>
      <c r="E592" t="s">
        <v>29</v>
      </c>
      <c r="F592" t="s">
        <v>41</v>
      </c>
      <c r="G592">
        <v>124430</v>
      </c>
      <c r="H592">
        <v>10</v>
      </c>
      <c r="I592">
        <v>14</v>
      </c>
      <c r="J592">
        <v>5</v>
      </c>
      <c r="K592">
        <v>2</v>
      </c>
      <c r="L592">
        <v>3</v>
      </c>
      <c r="M592">
        <v>4</v>
      </c>
      <c r="N592" t="s">
        <v>31</v>
      </c>
      <c r="O592" t="s">
        <v>32</v>
      </c>
      <c r="P592">
        <v>10</v>
      </c>
      <c r="Q592">
        <v>48</v>
      </c>
      <c r="R592">
        <v>3</v>
      </c>
      <c r="S592" t="s">
        <v>33</v>
      </c>
      <c r="T592">
        <v>5</v>
      </c>
      <c r="U592" t="s">
        <v>31</v>
      </c>
      <c r="V592" s="1">
        <v>41649</v>
      </c>
      <c r="X592" s="1" t="str">
        <f t="shared" si="27"/>
        <v>Active</v>
      </c>
      <c r="Y592" t="str">
        <f t="shared" si="28"/>
        <v>36-45</v>
      </c>
      <c r="Z592" t="str">
        <f t="shared" si="29"/>
        <v>6-10 Years</v>
      </c>
    </row>
    <row r="593" spans="1:26" x14ac:dyDescent="0.35">
      <c r="A593" t="s">
        <v>649</v>
      </c>
      <c r="B593">
        <v>39</v>
      </c>
      <c r="C593" t="s">
        <v>44</v>
      </c>
      <c r="D593" t="s">
        <v>49</v>
      </c>
      <c r="E593" t="s">
        <v>50</v>
      </c>
      <c r="F593" t="s">
        <v>41</v>
      </c>
      <c r="G593">
        <v>61100</v>
      </c>
      <c r="H593">
        <v>1</v>
      </c>
      <c r="I593">
        <v>16</v>
      </c>
      <c r="J593">
        <v>2</v>
      </c>
      <c r="K593">
        <v>2</v>
      </c>
      <c r="L593">
        <v>3</v>
      </c>
      <c r="M593">
        <v>1</v>
      </c>
      <c r="N593" t="s">
        <v>31</v>
      </c>
      <c r="O593" t="s">
        <v>32</v>
      </c>
      <c r="P593">
        <v>10</v>
      </c>
      <c r="Q593">
        <v>58</v>
      </c>
      <c r="R593">
        <v>2</v>
      </c>
      <c r="S593" t="s">
        <v>31</v>
      </c>
      <c r="T593">
        <v>8</v>
      </c>
      <c r="U593" t="s">
        <v>31</v>
      </c>
      <c r="V593" s="1">
        <v>45094</v>
      </c>
      <c r="X593" s="1" t="str">
        <f t="shared" si="27"/>
        <v>Active</v>
      </c>
      <c r="Y593" t="str">
        <f t="shared" si="28"/>
        <v>36-45</v>
      </c>
      <c r="Z593" t="str">
        <f t="shared" si="29"/>
        <v>0-1 Year</v>
      </c>
    </row>
    <row r="594" spans="1:26" x14ac:dyDescent="0.35">
      <c r="A594" t="s">
        <v>650</v>
      </c>
      <c r="B594">
        <v>52</v>
      </c>
      <c r="C594" t="s">
        <v>44</v>
      </c>
      <c r="D594" t="s">
        <v>39</v>
      </c>
      <c r="E594" t="s">
        <v>59</v>
      </c>
      <c r="F594" t="s">
        <v>41</v>
      </c>
      <c r="G594">
        <v>155780</v>
      </c>
      <c r="H594">
        <v>26</v>
      </c>
      <c r="I594">
        <v>28</v>
      </c>
      <c r="J594">
        <v>5</v>
      </c>
      <c r="K594">
        <v>1</v>
      </c>
      <c r="L594">
        <v>2</v>
      </c>
      <c r="M594">
        <v>4</v>
      </c>
      <c r="N594" t="s">
        <v>33</v>
      </c>
      <c r="O594" t="s">
        <v>32</v>
      </c>
      <c r="P594">
        <v>14</v>
      </c>
      <c r="Q594">
        <v>53</v>
      </c>
      <c r="R594">
        <v>3</v>
      </c>
      <c r="S594" t="s">
        <v>31</v>
      </c>
      <c r="T594">
        <v>2</v>
      </c>
      <c r="U594" t="s">
        <v>31</v>
      </c>
      <c r="V594" s="1">
        <v>43471</v>
      </c>
      <c r="X594" s="1" t="str">
        <f t="shared" si="27"/>
        <v>Active</v>
      </c>
      <c r="Y594" t="str">
        <f t="shared" si="28"/>
        <v>46-55</v>
      </c>
      <c r="Z594" t="str">
        <f t="shared" si="29"/>
        <v>10+ Years</v>
      </c>
    </row>
    <row r="595" spans="1:26" x14ac:dyDescent="0.35">
      <c r="A595" t="s">
        <v>651</v>
      </c>
      <c r="B595">
        <v>25</v>
      </c>
      <c r="C595" t="s">
        <v>27</v>
      </c>
      <c r="D595" t="s">
        <v>39</v>
      </c>
      <c r="E595" t="s">
        <v>74</v>
      </c>
      <c r="F595" t="s">
        <v>30</v>
      </c>
      <c r="G595">
        <v>41004</v>
      </c>
      <c r="H595">
        <v>0</v>
      </c>
      <c r="I595">
        <v>1</v>
      </c>
      <c r="J595">
        <v>1</v>
      </c>
      <c r="K595">
        <v>3</v>
      </c>
      <c r="L595">
        <v>3</v>
      </c>
      <c r="M595">
        <v>1</v>
      </c>
      <c r="N595" t="s">
        <v>31</v>
      </c>
      <c r="O595" t="s">
        <v>32</v>
      </c>
      <c r="P595">
        <v>12</v>
      </c>
      <c r="Q595">
        <v>57</v>
      </c>
      <c r="R595">
        <v>3</v>
      </c>
      <c r="S595" t="s">
        <v>31</v>
      </c>
      <c r="T595">
        <v>7</v>
      </c>
      <c r="U595" t="s">
        <v>31</v>
      </c>
      <c r="V595" s="1">
        <v>41877</v>
      </c>
      <c r="X595" s="1" t="str">
        <f t="shared" si="27"/>
        <v>Active</v>
      </c>
      <c r="Y595" t="str">
        <f t="shared" si="28"/>
        <v>18-25</v>
      </c>
      <c r="Z595" t="str">
        <f t="shared" si="29"/>
        <v>0-1 Year</v>
      </c>
    </row>
    <row r="596" spans="1:26" x14ac:dyDescent="0.35">
      <c r="A596" t="s">
        <v>652</v>
      </c>
      <c r="B596">
        <v>26</v>
      </c>
      <c r="C596" t="s">
        <v>44</v>
      </c>
      <c r="D596" t="s">
        <v>28</v>
      </c>
      <c r="E596" t="s">
        <v>29</v>
      </c>
      <c r="F596" t="s">
        <v>41</v>
      </c>
      <c r="G596">
        <v>65943</v>
      </c>
      <c r="H596">
        <v>3</v>
      </c>
      <c r="I596">
        <v>5</v>
      </c>
      <c r="J596">
        <v>2</v>
      </c>
      <c r="K596">
        <v>2</v>
      </c>
      <c r="L596">
        <v>1</v>
      </c>
      <c r="M596">
        <v>1</v>
      </c>
      <c r="N596" t="s">
        <v>33</v>
      </c>
      <c r="O596" t="s">
        <v>32</v>
      </c>
      <c r="P596">
        <v>7</v>
      </c>
      <c r="Q596">
        <v>13</v>
      </c>
      <c r="R596">
        <v>3</v>
      </c>
      <c r="S596" t="s">
        <v>31</v>
      </c>
      <c r="T596">
        <v>4</v>
      </c>
      <c r="U596" t="s">
        <v>31</v>
      </c>
      <c r="V596" s="1">
        <v>41426</v>
      </c>
      <c r="X596" s="1" t="str">
        <f t="shared" si="27"/>
        <v>Active</v>
      </c>
      <c r="Y596" t="str">
        <f t="shared" si="28"/>
        <v>26-35</v>
      </c>
      <c r="Z596" t="str">
        <f t="shared" si="29"/>
        <v>2-3 Years</v>
      </c>
    </row>
    <row r="597" spans="1:26" x14ac:dyDescent="0.35">
      <c r="A597" t="s">
        <v>653</v>
      </c>
      <c r="B597">
        <v>51</v>
      </c>
      <c r="C597" t="s">
        <v>27</v>
      </c>
      <c r="D597" t="s">
        <v>52</v>
      </c>
      <c r="E597" t="s">
        <v>55</v>
      </c>
      <c r="F597" t="s">
        <v>41</v>
      </c>
      <c r="G597">
        <v>46824</v>
      </c>
      <c r="H597">
        <v>2</v>
      </c>
      <c r="I597">
        <v>28</v>
      </c>
      <c r="J597">
        <v>1</v>
      </c>
      <c r="K597">
        <v>3</v>
      </c>
      <c r="L597">
        <v>2</v>
      </c>
      <c r="M597">
        <v>3</v>
      </c>
      <c r="N597" t="s">
        <v>33</v>
      </c>
      <c r="O597" t="s">
        <v>47</v>
      </c>
      <c r="P597">
        <v>20</v>
      </c>
      <c r="Q597">
        <v>14</v>
      </c>
      <c r="R597">
        <v>2</v>
      </c>
      <c r="S597" t="s">
        <v>31</v>
      </c>
      <c r="T597">
        <v>6</v>
      </c>
      <c r="U597" t="s">
        <v>31</v>
      </c>
      <c r="V597" s="1">
        <v>44087</v>
      </c>
      <c r="X597" s="1" t="str">
        <f t="shared" si="27"/>
        <v>Active</v>
      </c>
      <c r="Y597" t="str">
        <f t="shared" si="28"/>
        <v>46-55</v>
      </c>
      <c r="Z597" t="str">
        <f t="shared" si="29"/>
        <v>2-3 Years</v>
      </c>
    </row>
    <row r="598" spans="1:26" x14ac:dyDescent="0.35">
      <c r="A598" t="s">
        <v>654</v>
      </c>
      <c r="B598">
        <v>23</v>
      </c>
      <c r="C598" t="s">
        <v>27</v>
      </c>
      <c r="D598" t="s">
        <v>39</v>
      </c>
      <c r="E598" t="s">
        <v>40</v>
      </c>
      <c r="F598" t="s">
        <v>78</v>
      </c>
      <c r="G598">
        <v>60866</v>
      </c>
      <c r="H598">
        <v>2</v>
      </c>
      <c r="I598">
        <v>2</v>
      </c>
      <c r="J598">
        <v>2</v>
      </c>
      <c r="K598">
        <v>2</v>
      </c>
      <c r="L598">
        <v>4</v>
      </c>
      <c r="M598">
        <v>2</v>
      </c>
      <c r="N598" t="s">
        <v>31</v>
      </c>
      <c r="O598" t="s">
        <v>32</v>
      </c>
      <c r="P598">
        <v>1</v>
      </c>
      <c r="Q598">
        <v>33</v>
      </c>
      <c r="R598">
        <v>3</v>
      </c>
      <c r="S598" t="s">
        <v>31</v>
      </c>
      <c r="T598">
        <v>7</v>
      </c>
      <c r="U598" t="s">
        <v>31</v>
      </c>
      <c r="V598" s="1">
        <v>42995</v>
      </c>
      <c r="X598" s="1" t="str">
        <f t="shared" si="27"/>
        <v>Active</v>
      </c>
      <c r="Y598" t="str">
        <f t="shared" si="28"/>
        <v>18-25</v>
      </c>
      <c r="Z598" t="str">
        <f t="shared" si="29"/>
        <v>2-3 Years</v>
      </c>
    </row>
    <row r="599" spans="1:26" x14ac:dyDescent="0.35">
      <c r="A599" t="s">
        <v>655</v>
      </c>
      <c r="B599">
        <v>53</v>
      </c>
      <c r="C599" t="s">
        <v>44</v>
      </c>
      <c r="D599" t="s">
        <v>45</v>
      </c>
      <c r="E599" t="s">
        <v>46</v>
      </c>
      <c r="F599" t="s">
        <v>56</v>
      </c>
      <c r="G599">
        <v>120408</v>
      </c>
      <c r="H599">
        <v>10</v>
      </c>
      <c r="I599">
        <v>29</v>
      </c>
      <c r="J599">
        <v>5</v>
      </c>
      <c r="K599">
        <v>4</v>
      </c>
      <c r="L599">
        <v>3</v>
      </c>
      <c r="M599">
        <v>1</v>
      </c>
      <c r="N599" t="s">
        <v>33</v>
      </c>
      <c r="O599" t="s">
        <v>32</v>
      </c>
      <c r="P599">
        <v>3</v>
      </c>
      <c r="Q599">
        <v>48</v>
      </c>
      <c r="R599">
        <v>3</v>
      </c>
      <c r="S599" t="s">
        <v>33</v>
      </c>
      <c r="T599">
        <v>5</v>
      </c>
      <c r="U599" t="s">
        <v>31</v>
      </c>
      <c r="V599" s="1">
        <v>44962</v>
      </c>
      <c r="X599" s="1" t="str">
        <f t="shared" si="27"/>
        <v>Active</v>
      </c>
      <c r="Y599" t="str">
        <f t="shared" si="28"/>
        <v>46-55</v>
      </c>
      <c r="Z599" t="str">
        <f t="shared" si="29"/>
        <v>6-10 Years</v>
      </c>
    </row>
    <row r="600" spans="1:26" x14ac:dyDescent="0.35">
      <c r="A600" t="s">
        <v>656</v>
      </c>
      <c r="B600">
        <v>26</v>
      </c>
      <c r="C600" t="s">
        <v>27</v>
      </c>
      <c r="D600" t="s">
        <v>49</v>
      </c>
      <c r="E600" t="s">
        <v>50</v>
      </c>
      <c r="F600" t="s">
        <v>37</v>
      </c>
      <c r="G600">
        <v>55754</v>
      </c>
      <c r="H600">
        <v>0</v>
      </c>
      <c r="I600">
        <v>3</v>
      </c>
      <c r="J600">
        <v>2</v>
      </c>
      <c r="K600">
        <v>4</v>
      </c>
      <c r="L600">
        <v>3</v>
      </c>
      <c r="M600">
        <v>2</v>
      </c>
      <c r="N600" t="s">
        <v>31</v>
      </c>
      <c r="O600" t="s">
        <v>47</v>
      </c>
      <c r="P600">
        <v>13</v>
      </c>
      <c r="Q600">
        <v>31</v>
      </c>
      <c r="R600">
        <v>3</v>
      </c>
      <c r="S600" t="s">
        <v>31</v>
      </c>
      <c r="T600">
        <v>5</v>
      </c>
      <c r="U600" t="s">
        <v>31</v>
      </c>
      <c r="V600" s="1">
        <v>41090</v>
      </c>
      <c r="X600" s="1" t="str">
        <f t="shared" si="27"/>
        <v>Active</v>
      </c>
      <c r="Y600" t="str">
        <f t="shared" si="28"/>
        <v>26-35</v>
      </c>
      <c r="Z600" t="str">
        <f t="shared" si="29"/>
        <v>0-1 Year</v>
      </c>
    </row>
    <row r="601" spans="1:26" x14ac:dyDescent="0.35">
      <c r="A601" t="s">
        <v>657</v>
      </c>
      <c r="B601">
        <v>38</v>
      </c>
      <c r="C601" t="s">
        <v>44</v>
      </c>
      <c r="D601" t="s">
        <v>45</v>
      </c>
      <c r="E601" t="s">
        <v>63</v>
      </c>
      <c r="F601" t="s">
        <v>30</v>
      </c>
      <c r="G601">
        <v>127098</v>
      </c>
      <c r="H601">
        <v>12</v>
      </c>
      <c r="I601">
        <v>15</v>
      </c>
      <c r="J601">
        <v>5</v>
      </c>
      <c r="K601">
        <v>1</v>
      </c>
      <c r="L601">
        <v>1</v>
      </c>
      <c r="M601">
        <v>1</v>
      </c>
      <c r="N601" t="s">
        <v>31</v>
      </c>
      <c r="O601" t="s">
        <v>32</v>
      </c>
      <c r="P601">
        <v>6</v>
      </c>
      <c r="Q601">
        <v>51</v>
      </c>
      <c r="R601">
        <v>3</v>
      </c>
      <c r="S601" t="s">
        <v>33</v>
      </c>
      <c r="T601">
        <v>6</v>
      </c>
      <c r="U601" t="s">
        <v>31</v>
      </c>
      <c r="V601" s="1">
        <v>43213</v>
      </c>
      <c r="X601" s="1" t="str">
        <f t="shared" si="27"/>
        <v>Active</v>
      </c>
      <c r="Y601" t="str">
        <f t="shared" si="28"/>
        <v>36-45</v>
      </c>
      <c r="Z601" t="str">
        <f t="shared" si="29"/>
        <v>10+ Years</v>
      </c>
    </row>
    <row r="602" spans="1:26" x14ac:dyDescent="0.35">
      <c r="A602" t="s">
        <v>658</v>
      </c>
      <c r="B602">
        <v>35</v>
      </c>
      <c r="C602" t="s">
        <v>44</v>
      </c>
      <c r="D602" t="s">
        <v>49</v>
      </c>
      <c r="E602" t="s">
        <v>50</v>
      </c>
      <c r="F602" t="s">
        <v>41</v>
      </c>
      <c r="G602">
        <v>79272</v>
      </c>
      <c r="H602">
        <v>3</v>
      </c>
      <c r="I602">
        <v>13</v>
      </c>
      <c r="J602">
        <v>3</v>
      </c>
      <c r="K602">
        <v>3</v>
      </c>
      <c r="L602">
        <v>1</v>
      </c>
      <c r="M602">
        <v>2</v>
      </c>
      <c r="N602" t="s">
        <v>33</v>
      </c>
      <c r="O602" t="s">
        <v>42</v>
      </c>
      <c r="P602">
        <v>7</v>
      </c>
      <c r="Q602">
        <v>39</v>
      </c>
      <c r="R602">
        <v>3</v>
      </c>
      <c r="S602" t="s">
        <v>31</v>
      </c>
      <c r="T602">
        <v>7</v>
      </c>
      <c r="U602" t="s">
        <v>31</v>
      </c>
      <c r="V602" s="1">
        <v>43871</v>
      </c>
      <c r="X602" s="1" t="str">
        <f t="shared" si="27"/>
        <v>Active</v>
      </c>
      <c r="Y602" t="str">
        <f t="shared" si="28"/>
        <v>26-35</v>
      </c>
      <c r="Z602" t="str">
        <f t="shared" si="29"/>
        <v>2-3 Years</v>
      </c>
    </row>
    <row r="603" spans="1:26" x14ac:dyDescent="0.35">
      <c r="A603" t="s">
        <v>659</v>
      </c>
      <c r="B603">
        <v>45</v>
      </c>
      <c r="C603" t="s">
        <v>27</v>
      </c>
      <c r="D603" t="s">
        <v>52</v>
      </c>
      <c r="E603" t="s">
        <v>55</v>
      </c>
      <c r="F603" t="s">
        <v>37</v>
      </c>
      <c r="G603">
        <v>138783</v>
      </c>
      <c r="H603">
        <v>18</v>
      </c>
      <c r="I603">
        <v>24</v>
      </c>
      <c r="J603">
        <v>5</v>
      </c>
      <c r="K603">
        <v>4</v>
      </c>
      <c r="L603">
        <v>2</v>
      </c>
      <c r="M603">
        <v>2</v>
      </c>
      <c r="N603" t="s">
        <v>31</v>
      </c>
      <c r="O603" t="s">
        <v>32</v>
      </c>
      <c r="P603">
        <v>1</v>
      </c>
      <c r="Q603">
        <v>47</v>
      </c>
      <c r="R603">
        <v>3</v>
      </c>
      <c r="S603" t="s">
        <v>31</v>
      </c>
      <c r="T603">
        <v>7</v>
      </c>
      <c r="U603" t="s">
        <v>31</v>
      </c>
      <c r="V603" s="1">
        <v>45073</v>
      </c>
      <c r="X603" s="1" t="str">
        <f t="shared" si="27"/>
        <v>Active</v>
      </c>
      <c r="Y603" t="str">
        <f t="shared" si="28"/>
        <v>36-45</v>
      </c>
      <c r="Z603" t="str">
        <f t="shared" si="29"/>
        <v>10+ Years</v>
      </c>
    </row>
    <row r="604" spans="1:26" x14ac:dyDescent="0.35">
      <c r="A604" t="s">
        <v>660</v>
      </c>
      <c r="B604">
        <v>46</v>
      </c>
      <c r="C604" t="s">
        <v>27</v>
      </c>
      <c r="D604" t="s">
        <v>35</v>
      </c>
      <c r="E604" t="s">
        <v>85</v>
      </c>
      <c r="F604" t="s">
        <v>61</v>
      </c>
      <c r="G604">
        <v>63767</v>
      </c>
      <c r="H604">
        <v>5</v>
      </c>
      <c r="I604">
        <v>25</v>
      </c>
      <c r="J604">
        <v>2</v>
      </c>
      <c r="K604">
        <v>1</v>
      </c>
      <c r="L604">
        <v>3</v>
      </c>
      <c r="M604">
        <v>3</v>
      </c>
      <c r="N604" t="s">
        <v>31</v>
      </c>
      <c r="O604" t="s">
        <v>32</v>
      </c>
      <c r="P604">
        <v>28</v>
      </c>
      <c r="Q604">
        <v>24</v>
      </c>
      <c r="R604">
        <v>2</v>
      </c>
      <c r="S604" t="s">
        <v>31</v>
      </c>
      <c r="T604">
        <v>8</v>
      </c>
      <c r="U604" t="s">
        <v>31</v>
      </c>
      <c r="V604" s="1">
        <v>40946</v>
      </c>
      <c r="X604" s="1" t="str">
        <f t="shared" si="27"/>
        <v>Active</v>
      </c>
      <c r="Y604" t="str">
        <f t="shared" si="28"/>
        <v>46-55</v>
      </c>
      <c r="Z604" t="str">
        <f t="shared" si="29"/>
        <v>4-5 Years</v>
      </c>
    </row>
    <row r="605" spans="1:26" x14ac:dyDescent="0.35">
      <c r="A605" t="s">
        <v>661</v>
      </c>
      <c r="B605">
        <v>47</v>
      </c>
      <c r="C605" t="s">
        <v>27</v>
      </c>
      <c r="D605" t="s">
        <v>52</v>
      </c>
      <c r="E605" t="s">
        <v>53</v>
      </c>
      <c r="F605" t="s">
        <v>30</v>
      </c>
      <c r="G605">
        <v>148296</v>
      </c>
      <c r="H605">
        <v>22</v>
      </c>
      <c r="I605">
        <v>24</v>
      </c>
      <c r="J605">
        <v>5</v>
      </c>
      <c r="K605">
        <v>4</v>
      </c>
      <c r="L605">
        <v>3</v>
      </c>
      <c r="M605">
        <v>4</v>
      </c>
      <c r="N605" t="s">
        <v>31</v>
      </c>
      <c r="O605" t="s">
        <v>32</v>
      </c>
      <c r="P605">
        <v>5</v>
      </c>
      <c r="Q605">
        <v>58</v>
      </c>
      <c r="R605">
        <v>3</v>
      </c>
      <c r="S605" t="s">
        <v>33</v>
      </c>
      <c r="T605">
        <v>5</v>
      </c>
      <c r="U605" t="s">
        <v>31</v>
      </c>
      <c r="V605" s="1">
        <v>43490</v>
      </c>
      <c r="X605" s="1" t="str">
        <f t="shared" si="27"/>
        <v>Active</v>
      </c>
      <c r="Y605" t="str">
        <f t="shared" si="28"/>
        <v>46-55</v>
      </c>
      <c r="Z605" t="str">
        <f t="shared" si="29"/>
        <v>10+ Years</v>
      </c>
    </row>
    <row r="606" spans="1:26" x14ac:dyDescent="0.35">
      <c r="A606" t="s">
        <v>662</v>
      </c>
      <c r="B606">
        <v>34</v>
      </c>
      <c r="C606" t="s">
        <v>27</v>
      </c>
      <c r="D606" t="s">
        <v>45</v>
      </c>
      <c r="E606" t="s">
        <v>63</v>
      </c>
      <c r="F606" t="s">
        <v>78</v>
      </c>
      <c r="G606">
        <v>75556</v>
      </c>
      <c r="H606">
        <v>4</v>
      </c>
      <c r="I606">
        <v>11</v>
      </c>
      <c r="J606">
        <v>3</v>
      </c>
      <c r="K606">
        <v>2</v>
      </c>
      <c r="L606">
        <v>3</v>
      </c>
      <c r="M606">
        <v>4</v>
      </c>
      <c r="N606" t="s">
        <v>33</v>
      </c>
      <c r="O606" t="s">
        <v>32</v>
      </c>
      <c r="P606">
        <v>21</v>
      </c>
      <c r="Q606">
        <v>49</v>
      </c>
      <c r="R606">
        <v>3</v>
      </c>
      <c r="S606" t="s">
        <v>31</v>
      </c>
      <c r="T606">
        <v>11</v>
      </c>
      <c r="U606" t="s">
        <v>31</v>
      </c>
      <c r="V606" s="1">
        <v>43469</v>
      </c>
      <c r="X606" s="1" t="str">
        <f t="shared" si="27"/>
        <v>Active</v>
      </c>
      <c r="Y606" t="str">
        <f t="shared" si="28"/>
        <v>26-35</v>
      </c>
      <c r="Z606" t="str">
        <f t="shared" si="29"/>
        <v>4-5 Years</v>
      </c>
    </row>
    <row r="607" spans="1:26" x14ac:dyDescent="0.35">
      <c r="A607" t="s">
        <v>663</v>
      </c>
      <c r="B607">
        <v>51</v>
      </c>
      <c r="C607" t="s">
        <v>27</v>
      </c>
      <c r="D607" t="s">
        <v>45</v>
      </c>
      <c r="E607" t="s">
        <v>46</v>
      </c>
      <c r="F607" t="s">
        <v>61</v>
      </c>
      <c r="G607">
        <v>134773</v>
      </c>
      <c r="H607">
        <v>17</v>
      </c>
      <c r="I607">
        <v>29</v>
      </c>
      <c r="J607">
        <v>5</v>
      </c>
      <c r="K607">
        <v>4</v>
      </c>
      <c r="L607">
        <v>3</v>
      </c>
      <c r="M607">
        <v>1</v>
      </c>
      <c r="N607" t="s">
        <v>31</v>
      </c>
      <c r="O607" t="s">
        <v>32</v>
      </c>
      <c r="P607">
        <v>17</v>
      </c>
      <c r="Q607">
        <v>34</v>
      </c>
      <c r="R607">
        <v>3</v>
      </c>
      <c r="S607" t="s">
        <v>31</v>
      </c>
      <c r="T607">
        <v>4</v>
      </c>
      <c r="U607" t="s">
        <v>33</v>
      </c>
      <c r="V607" s="1">
        <v>44282</v>
      </c>
      <c r="W607" s="1">
        <v>44675</v>
      </c>
      <c r="X607" s="1" t="str">
        <f t="shared" si="27"/>
        <v>2022-04-24</v>
      </c>
      <c r="Y607" t="str">
        <f t="shared" si="28"/>
        <v>46-55</v>
      </c>
      <c r="Z607" t="str">
        <f t="shared" si="29"/>
        <v>10+ Years</v>
      </c>
    </row>
    <row r="608" spans="1:26" x14ac:dyDescent="0.35">
      <c r="A608" t="s">
        <v>664</v>
      </c>
      <c r="B608">
        <v>38</v>
      </c>
      <c r="C608" t="s">
        <v>44</v>
      </c>
      <c r="D608" t="s">
        <v>52</v>
      </c>
      <c r="E608" t="s">
        <v>55</v>
      </c>
      <c r="F608" t="s">
        <v>41</v>
      </c>
      <c r="G608">
        <v>129936</v>
      </c>
      <c r="H608">
        <v>13</v>
      </c>
      <c r="I608">
        <v>14</v>
      </c>
      <c r="J608">
        <v>5</v>
      </c>
      <c r="K608">
        <v>1</v>
      </c>
      <c r="L608">
        <v>4</v>
      </c>
      <c r="M608">
        <v>1</v>
      </c>
      <c r="N608" t="s">
        <v>33</v>
      </c>
      <c r="O608" t="s">
        <v>32</v>
      </c>
      <c r="P608">
        <v>1</v>
      </c>
      <c r="Q608">
        <v>49</v>
      </c>
      <c r="R608">
        <v>2</v>
      </c>
      <c r="S608" t="s">
        <v>33</v>
      </c>
      <c r="T608">
        <v>3</v>
      </c>
      <c r="U608" t="s">
        <v>31</v>
      </c>
      <c r="V608" s="1">
        <v>41186</v>
      </c>
      <c r="X608" s="1" t="str">
        <f t="shared" si="27"/>
        <v>Active</v>
      </c>
      <c r="Y608" t="str">
        <f t="shared" si="28"/>
        <v>36-45</v>
      </c>
      <c r="Z608" t="str">
        <f t="shared" si="29"/>
        <v>10+ Years</v>
      </c>
    </row>
    <row r="609" spans="1:26" x14ac:dyDescent="0.35">
      <c r="A609" t="s">
        <v>665</v>
      </c>
      <c r="B609">
        <v>51</v>
      </c>
      <c r="C609" t="s">
        <v>44</v>
      </c>
      <c r="D609" t="s">
        <v>52</v>
      </c>
      <c r="E609" t="s">
        <v>53</v>
      </c>
      <c r="F609" t="s">
        <v>41</v>
      </c>
      <c r="G609">
        <v>109620</v>
      </c>
      <c r="H609">
        <v>11</v>
      </c>
      <c r="I609">
        <v>30</v>
      </c>
      <c r="J609">
        <v>4</v>
      </c>
      <c r="K609">
        <v>3</v>
      </c>
      <c r="L609">
        <v>2</v>
      </c>
      <c r="M609">
        <v>3</v>
      </c>
      <c r="N609" t="s">
        <v>31</v>
      </c>
      <c r="O609" t="s">
        <v>32</v>
      </c>
      <c r="P609">
        <v>1</v>
      </c>
      <c r="Q609">
        <v>19</v>
      </c>
      <c r="R609">
        <v>2</v>
      </c>
      <c r="S609" t="s">
        <v>31</v>
      </c>
      <c r="T609">
        <v>3</v>
      </c>
      <c r="U609" t="s">
        <v>33</v>
      </c>
      <c r="V609" s="1">
        <v>42039</v>
      </c>
      <c r="W609" s="1">
        <v>42528</v>
      </c>
      <c r="X609" s="1" t="str">
        <f t="shared" si="27"/>
        <v>2016-06-07</v>
      </c>
      <c r="Y609" t="str">
        <f t="shared" si="28"/>
        <v>46-55</v>
      </c>
      <c r="Z609" t="str">
        <f t="shared" si="29"/>
        <v>10+ Years</v>
      </c>
    </row>
    <row r="610" spans="1:26" x14ac:dyDescent="0.35">
      <c r="A610" t="s">
        <v>666</v>
      </c>
      <c r="B610">
        <v>35</v>
      </c>
      <c r="C610" t="s">
        <v>44</v>
      </c>
      <c r="D610" t="s">
        <v>35</v>
      </c>
      <c r="E610" t="s">
        <v>36</v>
      </c>
      <c r="F610" t="s">
        <v>37</v>
      </c>
      <c r="G610">
        <v>57523</v>
      </c>
      <c r="H610">
        <v>2</v>
      </c>
      <c r="I610">
        <v>13</v>
      </c>
      <c r="J610">
        <v>2</v>
      </c>
      <c r="K610">
        <v>2</v>
      </c>
      <c r="L610">
        <v>4</v>
      </c>
      <c r="M610">
        <v>3</v>
      </c>
      <c r="N610" t="s">
        <v>31</v>
      </c>
      <c r="O610" t="s">
        <v>42</v>
      </c>
      <c r="P610">
        <v>22</v>
      </c>
      <c r="Q610">
        <v>55</v>
      </c>
      <c r="R610">
        <v>3</v>
      </c>
      <c r="S610" t="s">
        <v>31</v>
      </c>
      <c r="T610">
        <v>1</v>
      </c>
      <c r="U610" t="s">
        <v>31</v>
      </c>
      <c r="V610" s="1">
        <v>41487</v>
      </c>
      <c r="X610" s="1" t="str">
        <f t="shared" si="27"/>
        <v>Active</v>
      </c>
      <c r="Y610" t="str">
        <f t="shared" si="28"/>
        <v>26-35</v>
      </c>
      <c r="Z610" t="str">
        <f t="shared" si="29"/>
        <v>2-3 Years</v>
      </c>
    </row>
    <row r="611" spans="1:26" x14ac:dyDescent="0.35">
      <c r="A611" t="s">
        <v>667</v>
      </c>
      <c r="B611">
        <v>47</v>
      </c>
      <c r="C611" t="s">
        <v>44</v>
      </c>
      <c r="D611" t="s">
        <v>49</v>
      </c>
      <c r="E611" t="s">
        <v>68</v>
      </c>
      <c r="F611" t="s">
        <v>37</v>
      </c>
      <c r="G611">
        <v>119452</v>
      </c>
      <c r="H611">
        <v>11</v>
      </c>
      <c r="I611">
        <v>24</v>
      </c>
      <c r="J611">
        <v>5</v>
      </c>
      <c r="K611">
        <v>4</v>
      </c>
      <c r="L611">
        <v>3</v>
      </c>
      <c r="M611">
        <v>4</v>
      </c>
      <c r="N611" t="s">
        <v>33</v>
      </c>
      <c r="O611" t="s">
        <v>32</v>
      </c>
      <c r="P611">
        <v>12</v>
      </c>
      <c r="Q611">
        <v>43</v>
      </c>
      <c r="R611">
        <v>3</v>
      </c>
      <c r="S611" t="s">
        <v>33</v>
      </c>
      <c r="T611">
        <v>3</v>
      </c>
      <c r="U611" t="s">
        <v>31</v>
      </c>
      <c r="V611" s="1">
        <v>42850</v>
      </c>
      <c r="X611" s="1" t="str">
        <f t="shared" si="27"/>
        <v>Active</v>
      </c>
      <c r="Y611" t="str">
        <f t="shared" si="28"/>
        <v>46-55</v>
      </c>
      <c r="Z611" t="str">
        <f t="shared" si="29"/>
        <v>10+ Years</v>
      </c>
    </row>
    <row r="612" spans="1:26" x14ac:dyDescent="0.35">
      <c r="A612" t="s">
        <v>668</v>
      </c>
      <c r="B612">
        <v>51</v>
      </c>
      <c r="C612" t="s">
        <v>27</v>
      </c>
      <c r="D612" t="s">
        <v>28</v>
      </c>
      <c r="E612" t="s">
        <v>29</v>
      </c>
      <c r="F612" t="s">
        <v>78</v>
      </c>
      <c r="G612">
        <v>63534</v>
      </c>
      <c r="H612">
        <v>4</v>
      </c>
      <c r="I612">
        <v>29</v>
      </c>
      <c r="J612">
        <v>2</v>
      </c>
      <c r="K612">
        <v>2</v>
      </c>
      <c r="L612">
        <v>1</v>
      </c>
      <c r="M612">
        <v>4</v>
      </c>
      <c r="N612" t="s">
        <v>33</v>
      </c>
      <c r="O612" t="s">
        <v>32</v>
      </c>
      <c r="P612">
        <v>8</v>
      </c>
      <c r="Q612">
        <v>13</v>
      </c>
      <c r="R612">
        <v>4</v>
      </c>
      <c r="S612" t="s">
        <v>31</v>
      </c>
      <c r="T612">
        <v>4</v>
      </c>
      <c r="U612" t="s">
        <v>31</v>
      </c>
      <c r="V612" s="1">
        <v>45179</v>
      </c>
      <c r="X612" s="1" t="str">
        <f t="shared" si="27"/>
        <v>Active</v>
      </c>
      <c r="Y612" t="str">
        <f t="shared" si="28"/>
        <v>46-55</v>
      </c>
      <c r="Z612" t="str">
        <f t="shared" si="29"/>
        <v>4-5 Years</v>
      </c>
    </row>
    <row r="613" spans="1:26" x14ac:dyDescent="0.35">
      <c r="A613" t="s">
        <v>669</v>
      </c>
      <c r="B613">
        <v>39</v>
      </c>
      <c r="C613" t="s">
        <v>27</v>
      </c>
      <c r="D613" t="s">
        <v>35</v>
      </c>
      <c r="E613" t="s">
        <v>36</v>
      </c>
      <c r="F613" t="s">
        <v>37</v>
      </c>
      <c r="G613">
        <v>38783</v>
      </c>
      <c r="H613">
        <v>0</v>
      </c>
      <c r="I613">
        <v>15</v>
      </c>
      <c r="J613">
        <v>1</v>
      </c>
      <c r="K613">
        <v>3</v>
      </c>
      <c r="L613">
        <v>2</v>
      </c>
      <c r="M613">
        <v>3</v>
      </c>
      <c r="N613" t="s">
        <v>31</v>
      </c>
      <c r="O613" t="s">
        <v>32</v>
      </c>
      <c r="P613">
        <v>23</v>
      </c>
      <c r="Q613">
        <v>28</v>
      </c>
      <c r="R613">
        <v>3</v>
      </c>
      <c r="S613" t="s">
        <v>31</v>
      </c>
      <c r="T613">
        <v>4</v>
      </c>
      <c r="U613" t="s">
        <v>31</v>
      </c>
      <c r="V613" s="1">
        <v>44504</v>
      </c>
      <c r="X613" s="1" t="str">
        <f t="shared" si="27"/>
        <v>Active</v>
      </c>
      <c r="Y613" t="str">
        <f t="shared" si="28"/>
        <v>36-45</v>
      </c>
      <c r="Z613" t="str">
        <f t="shared" si="29"/>
        <v>0-1 Year</v>
      </c>
    </row>
    <row r="614" spans="1:26" x14ac:dyDescent="0.35">
      <c r="A614" t="s">
        <v>670</v>
      </c>
      <c r="B614">
        <v>30</v>
      </c>
      <c r="C614" t="s">
        <v>44</v>
      </c>
      <c r="D614" t="s">
        <v>49</v>
      </c>
      <c r="E614" t="s">
        <v>50</v>
      </c>
      <c r="F614" t="s">
        <v>37</v>
      </c>
      <c r="G614">
        <v>105009</v>
      </c>
      <c r="H614">
        <v>8</v>
      </c>
      <c r="I614">
        <v>8</v>
      </c>
      <c r="J614">
        <v>4</v>
      </c>
      <c r="K614">
        <v>3</v>
      </c>
      <c r="L614">
        <v>3</v>
      </c>
      <c r="M614">
        <v>4</v>
      </c>
      <c r="N614" t="s">
        <v>31</v>
      </c>
      <c r="O614" t="s">
        <v>42</v>
      </c>
      <c r="P614">
        <v>8</v>
      </c>
      <c r="Q614">
        <v>35</v>
      </c>
      <c r="R614">
        <v>3</v>
      </c>
      <c r="S614" t="s">
        <v>33</v>
      </c>
      <c r="T614">
        <v>3</v>
      </c>
      <c r="U614" t="s">
        <v>31</v>
      </c>
      <c r="V614" s="1">
        <v>43821</v>
      </c>
      <c r="X614" s="1" t="str">
        <f t="shared" si="27"/>
        <v>Active</v>
      </c>
      <c r="Y614" t="str">
        <f t="shared" si="28"/>
        <v>26-35</v>
      </c>
      <c r="Z614" t="str">
        <f t="shared" si="29"/>
        <v>6-10 Years</v>
      </c>
    </row>
    <row r="615" spans="1:26" x14ac:dyDescent="0.35">
      <c r="A615" t="s">
        <v>671</v>
      </c>
      <c r="B615">
        <v>48</v>
      </c>
      <c r="C615" t="s">
        <v>27</v>
      </c>
      <c r="D615" t="s">
        <v>28</v>
      </c>
      <c r="E615" t="s">
        <v>29</v>
      </c>
      <c r="F615" t="s">
        <v>78</v>
      </c>
      <c r="G615">
        <v>135991</v>
      </c>
      <c r="H615">
        <v>16</v>
      </c>
      <c r="I615">
        <v>24</v>
      </c>
      <c r="J615">
        <v>5</v>
      </c>
      <c r="K615">
        <v>1</v>
      </c>
      <c r="L615">
        <v>3</v>
      </c>
      <c r="M615">
        <v>2</v>
      </c>
      <c r="N615" t="s">
        <v>31</v>
      </c>
      <c r="O615" t="s">
        <v>32</v>
      </c>
      <c r="P615">
        <v>16</v>
      </c>
      <c r="Q615">
        <v>56</v>
      </c>
      <c r="R615">
        <v>2</v>
      </c>
      <c r="S615" t="s">
        <v>31</v>
      </c>
      <c r="T615">
        <v>6</v>
      </c>
      <c r="U615" t="s">
        <v>33</v>
      </c>
      <c r="V615" s="1">
        <v>44045</v>
      </c>
      <c r="W615" s="1">
        <v>44362</v>
      </c>
      <c r="X615" s="1" t="str">
        <f t="shared" si="27"/>
        <v>2021-06-15</v>
      </c>
      <c r="Y615" t="str">
        <f t="shared" si="28"/>
        <v>46-55</v>
      </c>
      <c r="Z615" t="str">
        <f t="shared" si="29"/>
        <v>10+ Years</v>
      </c>
    </row>
    <row r="616" spans="1:26" x14ac:dyDescent="0.35">
      <c r="A616" t="s">
        <v>672</v>
      </c>
      <c r="B616">
        <v>46</v>
      </c>
      <c r="C616" t="s">
        <v>44</v>
      </c>
      <c r="D616" t="s">
        <v>35</v>
      </c>
      <c r="E616" t="s">
        <v>36</v>
      </c>
      <c r="F616" t="s">
        <v>78</v>
      </c>
      <c r="G616">
        <v>132760</v>
      </c>
      <c r="H616">
        <v>14</v>
      </c>
      <c r="I616">
        <v>22</v>
      </c>
      <c r="J616">
        <v>5</v>
      </c>
      <c r="K616">
        <v>1</v>
      </c>
      <c r="L616">
        <v>3</v>
      </c>
      <c r="M616">
        <v>2</v>
      </c>
      <c r="N616" t="s">
        <v>31</v>
      </c>
      <c r="O616" t="s">
        <v>32</v>
      </c>
      <c r="P616">
        <v>1</v>
      </c>
      <c r="Q616">
        <v>59</v>
      </c>
      <c r="R616">
        <v>3</v>
      </c>
      <c r="S616" t="s">
        <v>31</v>
      </c>
      <c r="T616">
        <v>4</v>
      </c>
      <c r="U616" t="s">
        <v>31</v>
      </c>
      <c r="V616" s="1">
        <v>44319</v>
      </c>
      <c r="X616" s="1" t="str">
        <f t="shared" si="27"/>
        <v>Active</v>
      </c>
      <c r="Y616" t="str">
        <f t="shared" si="28"/>
        <v>46-55</v>
      </c>
      <c r="Z616" t="str">
        <f t="shared" si="29"/>
        <v>10+ Years</v>
      </c>
    </row>
    <row r="617" spans="1:26" x14ac:dyDescent="0.35">
      <c r="A617" t="s">
        <v>673</v>
      </c>
      <c r="B617">
        <v>33</v>
      </c>
      <c r="C617" t="s">
        <v>27</v>
      </c>
      <c r="D617" t="s">
        <v>52</v>
      </c>
      <c r="E617" t="s">
        <v>55</v>
      </c>
      <c r="F617" t="s">
        <v>61</v>
      </c>
      <c r="G617">
        <v>117751</v>
      </c>
      <c r="H617">
        <v>10</v>
      </c>
      <c r="I617">
        <v>10</v>
      </c>
      <c r="J617">
        <v>5</v>
      </c>
      <c r="K617">
        <v>1</v>
      </c>
      <c r="L617">
        <v>1</v>
      </c>
      <c r="M617">
        <v>2</v>
      </c>
      <c r="N617" t="s">
        <v>31</v>
      </c>
      <c r="O617" t="s">
        <v>32</v>
      </c>
      <c r="P617">
        <v>25</v>
      </c>
      <c r="Q617">
        <v>33</v>
      </c>
      <c r="R617">
        <v>3</v>
      </c>
      <c r="S617" t="s">
        <v>31</v>
      </c>
      <c r="T617">
        <v>7</v>
      </c>
      <c r="U617" t="s">
        <v>33</v>
      </c>
      <c r="V617" s="1">
        <v>44709</v>
      </c>
      <c r="W617" s="1">
        <v>45239</v>
      </c>
      <c r="X617" s="1" t="str">
        <f t="shared" si="27"/>
        <v>2023-11-09</v>
      </c>
      <c r="Y617" t="str">
        <f t="shared" si="28"/>
        <v>26-35</v>
      </c>
      <c r="Z617" t="str">
        <f t="shared" si="29"/>
        <v>6-10 Years</v>
      </c>
    </row>
    <row r="618" spans="1:26" x14ac:dyDescent="0.35">
      <c r="A618" t="s">
        <v>674</v>
      </c>
      <c r="B618">
        <v>57</v>
      </c>
      <c r="C618" t="s">
        <v>44</v>
      </c>
      <c r="D618" t="s">
        <v>52</v>
      </c>
      <c r="E618" t="s">
        <v>55</v>
      </c>
      <c r="F618" t="s">
        <v>30</v>
      </c>
      <c r="G618">
        <v>68209</v>
      </c>
      <c r="H618">
        <v>5</v>
      </c>
      <c r="I618">
        <v>35</v>
      </c>
      <c r="J618">
        <v>2</v>
      </c>
      <c r="K618">
        <v>4</v>
      </c>
      <c r="L618">
        <v>2</v>
      </c>
      <c r="M618">
        <v>4</v>
      </c>
      <c r="N618" t="s">
        <v>33</v>
      </c>
      <c r="O618" t="s">
        <v>32</v>
      </c>
      <c r="P618">
        <v>26</v>
      </c>
      <c r="Q618">
        <v>37</v>
      </c>
      <c r="R618">
        <v>4</v>
      </c>
      <c r="S618" t="s">
        <v>31</v>
      </c>
      <c r="T618">
        <v>5</v>
      </c>
      <c r="U618" t="s">
        <v>31</v>
      </c>
      <c r="V618" s="1">
        <v>40928</v>
      </c>
      <c r="X618" s="1" t="str">
        <f t="shared" si="27"/>
        <v>Active</v>
      </c>
      <c r="Y618" t="str">
        <f t="shared" si="28"/>
        <v>56+</v>
      </c>
      <c r="Z618" t="str">
        <f t="shared" si="29"/>
        <v>4-5 Years</v>
      </c>
    </row>
    <row r="619" spans="1:26" x14ac:dyDescent="0.35">
      <c r="A619" t="s">
        <v>675</v>
      </c>
      <c r="B619">
        <v>57</v>
      </c>
      <c r="C619" t="s">
        <v>27</v>
      </c>
      <c r="D619" t="s">
        <v>45</v>
      </c>
      <c r="E619" t="s">
        <v>63</v>
      </c>
      <c r="F619" t="s">
        <v>56</v>
      </c>
      <c r="G619">
        <v>154626</v>
      </c>
      <c r="H619">
        <v>28</v>
      </c>
      <c r="I619">
        <v>34</v>
      </c>
      <c r="J619">
        <v>5</v>
      </c>
      <c r="K619">
        <v>1</v>
      </c>
      <c r="L619">
        <v>3</v>
      </c>
      <c r="M619">
        <v>4</v>
      </c>
      <c r="N619" t="s">
        <v>31</v>
      </c>
      <c r="O619" t="s">
        <v>32</v>
      </c>
      <c r="P619">
        <v>26</v>
      </c>
      <c r="Q619">
        <v>10</v>
      </c>
      <c r="R619">
        <v>3</v>
      </c>
      <c r="S619" t="s">
        <v>31</v>
      </c>
      <c r="T619">
        <v>7</v>
      </c>
      <c r="U619" t="s">
        <v>31</v>
      </c>
      <c r="V619" s="1">
        <v>44684</v>
      </c>
      <c r="X619" s="1" t="str">
        <f t="shared" si="27"/>
        <v>Active</v>
      </c>
      <c r="Y619" t="str">
        <f t="shared" si="28"/>
        <v>56+</v>
      </c>
      <c r="Z619" t="str">
        <f t="shared" si="29"/>
        <v>10+ Years</v>
      </c>
    </row>
    <row r="620" spans="1:26" x14ac:dyDescent="0.35">
      <c r="A620" t="s">
        <v>676</v>
      </c>
      <c r="B620">
        <v>29</v>
      </c>
      <c r="C620" t="s">
        <v>27</v>
      </c>
      <c r="D620" t="s">
        <v>39</v>
      </c>
      <c r="E620" t="s">
        <v>40</v>
      </c>
      <c r="F620" t="s">
        <v>56</v>
      </c>
      <c r="G620">
        <v>98339</v>
      </c>
      <c r="H620">
        <v>7</v>
      </c>
      <c r="I620">
        <v>7</v>
      </c>
      <c r="J620">
        <v>4</v>
      </c>
      <c r="K620">
        <v>4</v>
      </c>
      <c r="L620">
        <v>4</v>
      </c>
      <c r="M620">
        <v>3</v>
      </c>
      <c r="N620" t="s">
        <v>31</v>
      </c>
      <c r="O620" t="s">
        <v>32</v>
      </c>
      <c r="P620">
        <v>25</v>
      </c>
      <c r="Q620">
        <v>14</v>
      </c>
      <c r="R620">
        <v>3</v>
      </c>
      <c r="S620" t="s">
        <v>31</v>
      </c>
      <c r="T620">
        <v>5</v>
      </c>
      <c r="U620" t="s">
        <v>31</v>
      </c>
      <c r="V620" s="1">
        <v>42330</v>
      </c>
      <c r="X620" s="1" t="str">
        <f t="shared" si="27"/>
        <v>Active</v>
      </c>
      <c r="Y620" t="str">
        <f t="shared" si="28"/>
        <v>26-35</v>
      </c>
      <c r="Z620" t="str">
        <f t="shared" si="29"/>
        <v>6-10 Years</v>
      </c>
    </row>
    <row r="621" spans="1:26" x14ac:dyDescent="0.35">
      <c r="A621" t="s">
        <v>677</v>
      </c>
      <c r="B621">
        <v>33</v>
      </c>
      <c r="C621" t="s">
        <v>27</v>
      </c>
      <c r="D621" t="s">
        <v>39</v>
      </c>
      <c r="E621" t="s">
        <v>59</v>
      </c>
      <c r="F621" t="s">
        <v>56</v>
      </c>
      <c r="G621">
        <v>103701</v>
      </c>
      <c r="H621">
        <v>10</v>
      </c>
      <c r="I621">
        <v>10</v>
      </c>
      <c r="J621">
        <v>4</v>
      </c>
      <c r="K621">
        <v>1</v>
      </c>
      <c r="L621">
        <v>2</v>
      </c>
      <c r="M621">
        <v>3</v>
      </c>
      <c r="N621" t="s">
        <v>31</v>
      </c>
      <c r="O621" t="s">
        <v>32</v>
      </c>
      <c r="P621">
        <v>27</v>
      </c>
      <c r="Q621">
        <v>48</v>
      </c>
      <c r="R621">
        <v>3</v>
      </c>
      <c r="S621" t="s">
        <v>33</v>
      </c>
      <c r="T621">
        <v>6</v>
      </c>
      <c r="U621" t="s">
        <v>33</v>
      </c>
      <c r="V621" s="1">
        <v>44971</v>
      </c>
      <c r="W621" s="1">
        <v>45754</v>
      </c>
      <c r="X621" s="1" t="str">
        <f t="shared" si="27"/>
        <v>2025-04-07</v>
      </c>
      <c r="Y621" t="str">
        <f t="shared" si="28"/>
        <v>26-35</v>
      </c>
      <c r="Z621" t="str">
        <f t="shared" si="29"/>
        <v>6-10 Years</v>
      </c>
    </row>
    <row r="622" spans="1:26" x14ac:dyDescent="0.35">
      <c r="A622" t="s">
        <v>678</v>
      </c>
      <c r="B622">
        <v>52</v>
      </c>
      <c r="C622" t="s">
        <v>44</v>
      </c>
      <c r="D622" t="s">
        <v>28</v>
      </c>
      <c r="E622" t="s">
        <v>29</v>
      </c>
      <c r="F622" t="s">
        <v>56</v>
      </c>
      <c r="G622">
        <v>101524</v>
      </c>
      <c r="H622">
        <v>8</v>
      </c>
      <c r="I622">
        <v>29</v>
      </c>
      <c r="J622">
        <v>4</v>
      </c>
      <c r="K622">
        <v>1</v>
      </c>
      <c r="L622">
        <v>1</v>
      </c>
      <c r="M622">
        <v>2</v>
      </c>
      <c r="N622" t="s">
        <v>31</v>
      </c>
      <c r="O622" t="s">
        <v>32</v>
      </c>
      <c r="P622">
        <v>13</v>
      </c>
      <c r="Q622">
        <v>49</v>
      </c>
      <c r="R622">
        <v>3</v>
      </c>
      <c r="S622" t="s">
        <v>33</v>
      </c>
      <c r="T622">
        <v>2</v>
      </c>
      <c r="U622" t="s">
        <v>31</v>
      </c>
      <c r="V622" s="1">
        <v>43238</v>
      </c>
      <c r="X622" s="1" t="str">
        <f t="shared" si="27"/>
        <v>Active</v>
      </c>
      <c r="Y622" t="str">
        <f t="shared" si="28"/>
        <v>46-55</v>
      </c>
      <c r="Z622" t="str">
        <f t="shared" si="29"/>
        <v>6-10 Years</v>
      </c>
    </row>
    <row r="623" spans="1:26" x14ac:dyDescent="0.35">
      <c r="A623" t="s">
        <v>679</v>
      </c>
      <c r="B623">
        <v>58</v>
      </c>
      <c r="C623" t="s">
        <v>44</v>
      </c>
      <c r="D623" t="s">
        <v>28</v>
      </c>
      <c r="E623" t="s">
        <v>29</v>
      </c>
      <c r="F623" t="s">
        <v>78</v>
      </c>
      <c r="G623">
        <v>163902</v>
      </c>
      <c r="H623">
        <v>30</v>
      </c>
      <c r="I623">
        <v>34</v>
      </c>
      <c r="J623">
        <v>5</v>
      </c>
      <c r="K623">
        <v>4</v>
      </c>
      <c r="L623">
        <v>4</v>
      </c>
      <c r="M623">
        <v>1</v>
      </c>
      <c r="N623" t="s">
        <v>33</v>
      </c>
      <c r="O623" t="s">
        <v>47</v>
      </c>
      <c r="P623">
        <v>26</v>
      </c>
      <c r="Q623">
        <v>51</v>
      </c>
      <c r="R623">
        <v>3</v>
      </c>
      <c r="S623" t="s">
        <v>33</v>
      </c>
      <c r="T623">
        <v>10</v>
      </c>
      <c r="U623" t="s">
        <v>31</v>
      </c>
      <c r="V623" s="1">
        <v>42375</v>
      </c>
      <c r="X623" s="1" t="str">
        <f t="shared" si="27"/>
        <v>Active</v>
      </c>
      <c r="Y623" t="str">
        <f t="shared" si="28"/>
        <v>56+</v>
      </c>
      <c r="Z623" t="str">
        <f t="shared" si="29"/>
        <v>10+ Years</v>
      </c>
    </row>
    <row r="624" spans="1:26" x14ac:dyDescent="0.35">
      <c r="A624" t="s">
        <v>680</v>
      </c>
      <c r="B624">
        <v>29</v>
      </c>
      <c r="C624" t="s">
        <v>27</v>
      </c>
      <c r="D624" t="s">
        <v>49</v>
      </c>
      <c r="E624" t="s">
        <v>68</v>
      </c>
      <c r="F624" t="s">
        <v>78</v>
      </c>
      <c r="G624">
        <v>88833</v>
      </c>
      <c r="H624">
        <v>7</v>
      </c>
      <c r="I624">
        <v>8</v>
      </c>
      <c r="J624">
        <v>3</v>
      </c>
      <c r="K624">
        <v>1</v>
      </c>
      <c r="L624">
        <v>3</v>
      </c>
      <c r="M624">
        <v>1</v>
      </c>
      <c r="N624" t="s">
        <v>31</v>
      </c>
      <c r="O624" t="s">
        <v>42</v>
      </c>
      <c r="P624">
        <v>22</v>
      </c>
      <c r="Q624">
        <v>12</v>
      </c>
      <c r="R624">
        <v>2</v>
      </c>
      <c r="S624" t="s">
        <v>31</v>
      </c>
      <c r="T624">
        <v>7</v>
      </c>
      <c r="U624" t="s">
        <v>31</v>
      </c>
      <c r="V624" s="1">
        <v>44062</v>
      </c>
      <c r="X624" s="1" t="str">
        <f t="shared" si="27"/>
        <v>Active</v>
      </c>
      <c r="Y624" t="str">
        <f t="shared" si="28"/>
        <v>26-35</v>
      </c>
      <c r="Z624" t="str">
        <f t="shared" si="29"/>
        <v>6-10 Years</v>
      </c>
    </row>
    <row r="625" spans="1:26" x14ac:dyDescent="0.35">
      <c r="A625" t="s">
        <v>681</v>
      </c>
      <c r="B625">
        <v>28</v>
      </c>
      <c r="C625" t="s">
        <v>44</v>
      </c>
      <c r="D625" t="s">
        <v>52</v>
      </c>
      <c r="E625" t="s">
        <v>53</v>
      </c>
      <c r="F625" t="s">
        <v>37</v>
      </c>
      <c r="G625">
        <v>63683</v>
      </c>
      <c r="H625">
        <v>2</v>
      </c>
      <c r="I625">
        <v>4</v>
      </c>
      <c r="J625">
        <v>2</v>
      </c>
      <c r="K625">
        <v>4</v>
      </c>
      <c r="L625">
        <v>4</v>
      </c>
      <c r="M625">
        <v>2</v>
      </c>
      <c r="N625" t="s">
        <v>31</v>
      </c>
      <c r="O625" t="s">
        <v>32</v>
      </c>
      <c r="P625">
        <v>20</v>
      </c>
      <c r="Q625">
        <v>23</v>
      </c>
      <c r="R625">
        <v>3</v>
      </c>
      <c r="S625" t="s">
        <v>31</v>
      </c>
      <c r="T625">
        <v>3</v>
      </c>
      <c r="U625" t="s">
        <v>31</v>
      </c>
      <c r="V625" s="1">
        <v>44488</v>
      </c>
      <c r="X625" s="1" t="str">
        <f t="shared" si="27"/>
        <v>Active</v>
      </c>
      <c r="Y625" t="str">
        <f t="shared" si="28"/>
        <v>26-35</v>
      </c>
      <c r="Z625" t="str">
        <f t="shared" si="29"/>
        <v>2-3 Years</v>
      </c>
    </row>
    <row r="626" spans="1:26" x14ac:dyDescent="0.35">
      <c r="A626" t="s">
        <v>682</v>
      </c>
      <c r="B626">
        <v>31</v>
      </c>
      <c r="C626" t="s">
        <v>44</v>
      </c>
      <c r="D626" t="s">
        <v>45</v>
      </c>
      <c r="E626" t="s">
        <v>46</v>
      </c>
      <c r="F626" t="s">
        <v>41</v>
      </c>
      <c r="G626">
        <v>98552</v>
      </c>
      <c r="H626">
        <v>6</v>
      </c>
      <c r="I626">
        <v>10</v>
      </c>
      <c r="J626">
        <v>4</v>
      </c>
      <c r="K626">
        <v>4</v>
      </c>
      <c r="L626">
        <v>4</v>
      </c>
      <c r="M626">
        <v>2</v>
      </c>
      <c r="N626" t="s">
        <v>31</v>
      </c>
      <c r="O626" t="s">
        <v>32</v>
      </c>
      <c r="P626">
        <v>10</v>
      </c>
      <c r="Q626">
        <v>45</v>
      </c>
      <c r="R626">
        <v>4</v>
      </c>
      <c r="S626" t="s">
        <v>31</v>
      </c>
      <c r="T626">
        <v>5</v>
      </c>
      <c r="U626" t="s">
        <v>31</v>
      </c>
      <c r="V626" s="1">
        <v>44279</v>
      </c>
      <c r="X626" s="1" t="str">
        <f t="shared" si="27"/>
        <v>Active</v>
      </c>
      <c r="Y626" t="str">
        <f t="shared" si="28"/>
        <v>26-35</v>
      </c>
      <c r="Z626" t="str">
        <f t="shared" si="29"/>
        <v>6-10 Years</v>
      </c>
    </row>
    <row r="627" spans="1:26" x14ac:dyDescent="0.35">
      <c r="A627" t="s">
        <v>683</v>
      </c>
      <c r="B627">
        <v>58</v>
      </c>
      <c r="C627" t="s">
        <v>27</v>
      </c>
      <c r="D627" t="s">
        <v>35</v>
      </c>
      <c r="E627" t="s">
        <v>36</v>
      </c>
      <c r="F627" t="s">
        <v>78</v>
      </c>
      <c r="G627">
        <v>103673</v>
      </c>
      <c r="H627">
        <v>8</v>
      </c>
      <c r="I627">
        <v>37</v>
      </c>
      <c r="J627">
        <v>4</v>
      </c>
      <c r="K627">
        <v>2</v>
      </c>
      <c r="L627">
        <v>4</v>
      </c>
      <c r="M627">
        <v>4</v>
      </c>
      <c r="N627" t="s">
        <v>33</v>
      </c>
      <c r="O627" t="s">
        <v>32</v>
      </c>
      <c r="P627">
        <v>21</v>
      </c>
      <c r="Q627">
        <v>33</v>
      </c>
      <c r="R627">
        <v>3</v>
      </c>
      <c r="S627" t="s">
        <v>31</v>
      </c>
      <c r="T627">
        <v>4</v>
      </c>
      <c r="U627" t="s">
        <v>31</v>
      </c>
      <c r="V627" s="1">
        <v>44843</v>
      </c>
      <c r="X627" s="1" t="str">
        <f t="shared" si="27"/>
        <v>Active</v>
      </c>
      <c r="Y627" t="str">
        <f t="shared" si="28"/>
        <v>56+</v>
      </c>
      <c r="Z627" t="str">
        <f t="shared" si="29"/>
        <v>6-10 Years</v>
      </c>
    </row>
    <row r="628" spans="1:26" x14ac:dyDescent="0.35">
      <c r="A628" t="s">
        <v>684</v>
      </c>
      <c r="B628">
        <v>39</v>
      </c>
      <c r="C628" t="s">
        <v>27</v>
      </c>
      <c r="D628" t="s">
        <v>49</v>
      </c>
      <c r="E628" t="s">
        <v>50</v>
      </c>
      <c r="F628" t="s">
        <v>78</v>
      </c>
      <c r="G628">
        <v>103379</v>
      </c>
      <c r="H628">
        <v>9</v>
      </c>
      <c r="I628">
        <v>16</v>
      </c>
      <c r="J628">
        <v>4</v>
      </c>
      <c r="K628">
        <v>2</v>
      </c>
      <c r="L628">
        <v>3</v>
      </c>
      <c r="M628">
        <v>3</v>
      </c>
      <c r="N628" t="s">
        <v>31</v>
      </c>
      <c r="O628" t="s">
        <v>32</v>
      </c>
      <c r="P628">
        <v>29</v>
      </c>
      <c r="Q628">
        <v>31</v>
      </c>
      <c r="R628">
        <v>3</v>
      </c>
      <c r="S628" t="s">
        <v>31</v>
      </c>
      <c r="T628">
        <v>4</v>
      </c>
      <c r="U628" t="s">
        <v>31</v>
      </c>
      <c r="V628" s="1">
        <v>44274</v>
      </c>
      <c r="X628" s="1" t="str">
        <f t="shared" si="27"/>
        <v>Active</v>
      </c>
      <c r="Y628" t="str">
        <f t="shared" si="28"/>
        <v>36-45</v>
      </c>
      <c r="Z628" t="str">
        <f t="shared" si="29"/>
        <v>6-10 Years</v>
      </c>
    </row>
    <row r="629" spans="1:26" x14ac:dyDescent="0.35">
      <c r="A629" t="s">
        <v>685</v>
      </c>
      <c r="B629">
        <v>58</v>
      </c>
      <c r="C629" t="s">
        <v>44</v>
      </c>
      <c r="D629" t="s">
        <v>39</v>
      </c>
      <c r="E629" t="s">
        <v>40</v>
      </c>
      <c r="F629" t="s">
        <v>56</v>
      </c>
      <c r="G629">
        <v>82268</v>
      </c>
      <c r="H629">
        <v>7</v>
      </c>
      <c r="I629">
        <v>34</v>
      </c>
      <c r="J629">
        <v>3</v>
      </c>
      <c r="K629">
        <v>2</v>
      </c>
      <c r="L629">
        <v>2</v>
      </c>
      <c r="M629">
        <v>1</v>
      </c>
      <c r="N629" t="s">
        <v>31</v>
      </c>
      <c r="O629" t="s">
        <v>42</v>
      </c>
      <c r="P629">
        <v>6</v>
      </c>
      <c r="Q629">
        <v>56</v>
      </c>
      <c r="R629">
        <v>2</v>
      </c>
      <c r="S629" t="s">
        <v>31</v>
      </c>
      <c r="T629">
        <v>8</v>
      </c>
      <c r="U629" t="s">
        <v>31</v>
      </c>
      <c r="V629" s="1">
        <v>43769</v>
      </c>
      <c r="X629" s="1" t="str">
        <f t="shared" si="27"/>
        <v>Active</v>
      </c>
      <c r="Y629" t="str">
        <f t="shared" si="28"/>
        <v>56+</v>
      </c>
      <c r="Z629" t="str">
        <f t="shared" si="29"/>
        <v>6-10 Years</v>
      </c>
    </row>
    <row r="630" spans="1:26" x14ac:dyDescent="0.35">
      <c r="A630" t="s">
        <v>686</v>
      </c>
      <c r="B630">
        <v>41</v>
      </c>
      <c r="C630" t="s">
        <v>27</v>
      </c>
      <c r="D630" t="s">
        <v>52</v>
      </c>
      <c r="E630" t="s">
        <v>53</v>
      </c>
      <c r="F630" t="s">
        <v>37</v>
      </c>
      <c r="G630">
        <v>132737</v>
      </c>
      <c r="H630">
        <v>15</v>
      </c>
      <c r="I630">
        <v>20</v>
      </c>
      <c r="J630">
        <v>5</v>
      </c>
      <c r="K630">
        <v>4</v>
      </c>
      <c r="L630">
        <v>1</v>
      </c>
      <c r="M630">
        <v>2</v>
      </c>
      <c r="N630" t="s">
        <v>31</v>
      </c>
      <c r="O630" t="s">
        <v>42</v>
      </c>
      <c r="P630">
        <v>3</v>
      </c>
      <c r="Q630">
        <v>49</v>
      </c>
      <c r="R630">
        <v>3</v>
      </c>
      <c r="S630" t="s">
        <v>31</v>
      </c>
      <c r="T630">
        <v>5</v>
      </c>
      <c r="U630" t="s">
        <v>33</v>
      </c>
      <c r="V630" s="1">
        <v>44265</v>
      </c>
      <c r="W630" s="1">
        <v>44733</v>
      </c>
      <c r="X630" s="1" t="str">
        <f t="shared" si="27"/>
        <v>2022-06-21</v>
      </c>
      <c r="Y630" t="str">
        <f t="shared" si="28"/>
        <v>36-45</v>
      </c>
      <c r="Z630" t="str">
        <f t="shared" si="29"/>
        <v>10+ Years</v>
      </c>
    </row>
    <row r="631" spans="1:26" x14ac:dyDescent="0.35">
      <c r="A631" t="s">
        <v>687</v>
      </c>
      <c r="B631">
        <v>36</v>
      </c>
      <c r="C631" t="s">
        <v>27</v>
      </c>
      <c r="D631" t="s">
        <v>52</v>
      </c>
      <c r="E631" t="s">
        <v>53</v>
      </c>
      <c r="F631" t="s">
        <v>78</v>
      </c>
      <c r="G631">
        <v>78563</v>
      </c>
      <c r="H631">
        <v>4</v>
      </c>
      <c r="I631">
        <v>15</v>
      </c>
      <c r="J631">
        <v>3</v>
      </c>
      <c r="K631">
        <v>4</v>
      </c>
      <c r="L631">
        <v>1</v>
      </c>
      <c r="M631">
        <v>1</v>
      </c>
      <c r="N631" t="s">
        <v>31</v>
      </c>
      <c r="O631" t="s">
        <v>32</v>
      </c>
      <c r="P631">
        <v>17</v>
      </c>
      <c r="Q631">
        <v>19</v>
      </c>
      <c r="R631">
        <v>3</v>
      </c>
      <c r="S631" t="s">
        <v>31</v>
      </c>
      <c r="T631">
        <v>4</v>
      </c>
      <c r="U631" t="s">
        <v>31</v>
      </c>
      <c r="V631" s="1">
        <v>43918</v>
      </c>
      <c r="X631" s="1" t="str">
        <f t="shared" si="27"/>
        <v>Active</v>
      </c>
      <c r="Y631" t="str">
        <f t="shared" si="28"/>
        <v>36-45</v>
      </c>
      <c r="Z631" t="str">
        <f t="shared" si="29"/>
        <v>4-5 Years</v>
      </c>
    </row>
    <row r="632" spans="1:26" x14ac:dyDescent="0.35">
      <c r="A632" t="s">
        <v>688</v>
      </c>
      <c r="B632">
        <v>36</v>
      </c>
      <c r="C632" t="s">
        <v>44</v>
      </c>
      <c r="D632" t="s">
        <v>49</v>
      </c>
      <c r="E632" t="s">
        <v>50</v>
      </c>
      <c r="F632" t="s">
        <v>37</v>
      </c>
      <c r="G632">
        <v>88173</v>
      </c>
      <c r="H632">
        <v>7</v>
      </c>
      <c r="I632">
        <v>13</v>
      </c>
      <c r="J632">
        <v>3</v>
      </c>
      <c r="K632">
        <v>2</v>
      </c>
      <c r="L632">
        <v>1</v>
      </c>
      <c r="M632">
        <v>1</v>
      </c>
      <c r="N632" t="s">
        <v>31</v>
      </c>
      <c r="O632" t="s">
        <v>32</v>
      </c>
      <c r="P632">
        <v>8</v>
      </c>
      <c r="Q632">
        <v>49</v>
      </c>
      <c r="R632">
        <v>3</v>
      </c>
      <c r="S632" t="s">
        <v>33</v>
      </c>
      <c r="T632">
        <v>2</v>
      </c>
      <c r="U632" t="s">
        <v>31</v>
      </c>
      <c r="V632" s="1">
        <v>43281</v>
      </c>
      <c r="X632" s="1" t="str">
        <f t="shared" si="27"/>
        <v>Active</v>
      </c>
      <c r="Y632" t="str">
        <f t="shared" si="28"/>
        <v>36-45</v>
      </c>
      <c r="Z632" t="str">
        <f t="shared" si="29"/>
        <v>6-10 Years</v>
      </c>
    </row>
    <row r="633" spans="1:26" x14ac:dyDescent="0.35">
      <c r="A633" t="s">
        <v>689</v>
      </c>
      <c r="B633">
        <v>26</v>
      </c>
      <c r="C633" t="s">
        <v>44</v>
      </c>
      <c r="D633" t="s">
        <v>28</v>
      </c>
      <c r="E633" t="s">
        <v>66</v>
      </c>
      <c r="F633" t="s">
        <v>56</v>
      </c>
      <c r="G633">
        <v>78809</v>
      </c>
      <c r="H633">
        <v>4</v>
      </c>
      <c r="I633">
        <v>4</v>
      </c>
      <c r="J633">
        <v>3</v>
      </c>
      <c r="K633">
        <v>4</v>
      </c>
      <c r="L633">
        <v>1</v>
      </c>
      <c r="M633">
        <v>1</v>
      </c>
      <c r="N633" t="s">
        <v>33</v>
      </c>
      <c r="O633" t="s">
        <v>32</v>
      </c>
      <c r="P633">
        <v>28</v>
      </c>
      <c r="Q633">
        <v>33</v>
      </c>
      <c r="R633">
        <v>3</v>
      </c>
      <c r="S633" t="s">
        <v>31</v>
      </c>
      <c r="T633">
        <v>5</v>
      </c>
      <c r="U633" t="s">
        <v>31</v>
      </c>
      <c r="V633" s="1">
        <v>45026</v>
      </c>
      <c r="X633" s="1" t="str">
        <f t="shared" si="27"/>
        <v>Active</v>
      </c>
      <c r="Y633" t="str">
        <f t="shared" si="28"/>
        <v>26-35</v>
      </c>
      <c r="Z633" t="str">
        <f t="shared" si="29"/>
        <v>4-5 Years</v>
      </c>
    </row>
    <row r="634" spans="1:26" x14ac:dyDescent="0.35">
      <c r="A634" t="s">
        <v>690</v>
      </c>
      <c r="B634">
        <v>59</v>
      </c>
      <c r="C634" t="s">
        <v>27</v>
      </c>
      <c r="D634" t="s">
        <v>28</v>
      </c>
      <c r="E634" t="s">
        <v>66</v>
      </c>
      <c r="F634" t="s">
        <v>30</v>
      </c>
      <c r="G634">
        <v>79758</v>
      </c>
      <c r="H634">
        <v>4</v>
      </c>
      <c r="I634">
        <v>37</v>
      </c>
      <c r="J634">
        <v>3</v>
      </c>
      <c r="K634">
        <v>3</v>
      </c>
      <c r="L634">
        <v>1</v>
      </c>
      <c r="M634">
        <v>4</v>
      </c>
      <c r="N634" t="s">
        <v>31</v>
      </c>
      <c r="O634" t="s">
        <v>32</v>
      </c>
      <c r="P634">
        <v>4</v>
      </c>
      <c r="Q634">
        <v>30</v>
      </c>
      <c r="R634">
        <v>3</v>
      </c>
      <c r="S634" t="s">
        <v>31</v>
      </c>
      <c r="T634">
        <v>5</v>
      </c>
      <c r="U634" t="s">
        <v>31</v>
      </c>
      <c r="V634" s="1">
        <v>41981</v>
      </c>
      <c r="X634" s="1" t="str">
        <f t="shared" si="27"/>
        <v>Active</v>
      </c>
      <c r="Y634" t="str">
        <f t="shared" si="28"/>
        <v>56+</v>
      </c>
      <c r="Z634" t="str">
        <f t="shared" si="29"/>
        <v>4-5 Years</v>
      </c>
    </row>
    <row r="635" spans="1:26" x14ac:dyDescent="0.35">
      <c r="A635" t="s">
        <v>691</v>
      </c>
      <c r="B635">
        <v>27</v>
      </c>
      <c r="C635" t="s">
        <v>44</v>
      </c>
      <c r="D635" t="s">
        <v>28</v>
      </c>
      <c r="E635" t="s">
        <v>29</v>
      </c>
      <c r="F635" t="s">
        <v>61</v>
      </c>
      <c r="G635">
        <v>57664</v>
      </c>
      <c r="H635">
        <v>2</v>
      </c>
      <c r="I635">
        <v>6</v>
      </c>
      <c r="J635">
        <v>2</v>
      </c>
      <c r="K635">
        <v>1</v>
      </c>
      <c r="L635">
        <v>3</v>
      </c>
      <c r="M635">
        <v>3</v>
      </c>
      <c r="N635" t="s">
        <v>31</v>
      </c>
      <c r="O635" t="s">
        <v>32</v>
      </c>
      <c r="P635">
        <v>8</v>
      </c>
      <c r="Q635">
        <v>26</v>
      </c>
      <c r="R635">
        <v>3</v>
      </c>
      <c r="S635" t="s">
        <v>31</v>
      </c>
      <c r="T635">
        <v>4</v>
      </c>
      <c r="U635" t="s">
        <v>31</v>
      </c>
      <c r="V635" s="1">
        <v>43010</v>
      </c>
      <c r="X635" s="1" t="str">
        <f t="shared" si="27"/>
        <v>Active</v>
      </c>
      <c r="Y635" t="str">
        <f t="shared" si="28"/>
        <v>26-35</v>
      </c>
      <c r="Z635" t="str">
        <f t="shared" si="29"/>
        <v>2-3 Years</v>
      </c>
    </row>
    <row r="636" spans="1:26" x14ac:dyDescent="0.35">
      <c r="A636" t="s">
        <v>692</v>
      </c>
      <c r="B636">
        <v>48</v>
      </c>
      <c r="C636" t="s">
        <v>44</v>
      </c>
      <c r="D636" t="s">
        <v>28</v>
      </c>
      <c r="E636" t="s">
        <v>66</v>
      </c>
      <c r="F636" t="s">
        <v>41</v>
      </c>
      <c r="G636">
        <v>62339</v>
      </c>
      <c r="H636">
        <v>4</v>
      </c>
      <c r="I636">
        <v>27</v>
      </c>
      <c r="J636">
        <v>2</v>
      </c>
      <c r="K636">
        <v>3</v>
      </c>
      <c r="L636">
        <v>1</v>
      </c>
      <c r="M636">
        <v>2</v>
      </c>
      <c r="N636" t="s">
        <v>31</v>
      </c>
      <c r="O636" t="s">
        <v>32</v>
      </c>
      <c r="P636">
        <v>22</v>
      </c>
      <c r="Q636">
        <v>41</v>
      </c>
      <c r="R636">
        <v>4</v>
      </c>
      <c r="S636" t="s">
        <v>31</v>
      </c>
      <c r="T636">
        <v>6</v>
      </c>
      <c r="U636" t="s">
        <v>31</v>
      </c>
      <c r="V636" s="1">
        <v>41867</v>
      </c>
      <c r="X636" s="1" t="str">
        <f t="shared" si="27"/>
        <v>Active</v>
      </c>
      <c r="Y636" t="str">
        <f t="shared" si="28"/>
        <v>46-55</v>
      </c>
      <c r="Z636" t="str">
        <f t="shared" si="29"/>
        <v>4-5 Years</v>
      </c>
    </row>
    <row r="637" spans="1:26" x14ac:dyDescent="0.35">
      <c r="A637" t="s">
        <v>693</v>
      </c>
      <c r="B637">
        <v>44</v>
      </c>
      <c r="C637" t="s">
        <v>44</v>
      </c>
      <c r="D637" t="s">
        <v>49</v>
      </c>
      <c r="E637" t="s">
        <v>68</v>
      </c>
      <c r="F637" t="s">
        <v>78</v>
      </c>
      <c r="G637">
        <v>119066</v>
      </c>
      <c r="H637">
        <v>11</v>
      </c>
      <c r="I637">
        <v>21</v>
      </c>
      <c r="J637">
        <v>5</v>
      </c>
      <c r="K637">
        <v>4</v>
      </c>
      <c r="L637">
        <v>3</v>
      </c>
      <c r="M637">
        <v>2</v>
      </c>
      <c r="N637" t="s">
        <v>33</v>
      </c>
      <c r="O637" t="s">
        <v>32</v>
      </c>
      <c r="P637">
        <v>10</v>
      </c>
      <c r="Q637">
        <v>58</v>
      </c>
      <c r="R637">
        <v>3</v>
      </c>
      <c r="S637" t="s">
        <v>31</v>
      </c>
      <c r="T637">
        <v>6</v>
      </c>
      <c r="U637" t="s">
        <v>31</v>
      </c>
      <c r="V637" s="1">
        <v>44077</v>
      </c>
      <c r="X637" s="1" t="str">
        <f t="shared" si="27"/>
        <v>Active</v>
      </c>
      <c r="Y637" t="str">
        <f t="shared" si="28"/>
        <v>36-45</v>
      </c>
      <c r="Z637" t="str">
        <f t="shared" si="29"/>
        <v>10+ Years</v>
      </c>
    </row>
    <row r="638" spans="1:26" x14ac:dyDescent="0.35">
      <c r="A638" t="s">
        <v>694</v>
      </c>
      <c r="B638">
        <v>28</v>
      </c>
      <c r="C638" t="s">
        <v>44</v>
      </c>
      <c r="D638" t="s">
        <v>49</v>
      </c>
      <c r="E638" t="s">
        <v>50</v>
      </c>
      <c r="F638" t="s">
        <v>56</v>
      </c>
      <c r="G638">
        <v>63222</v>
      </c>
      <c r="H638">
        <v>5</v>
      </c>
      <c r="I638">
        <v>5</v>
      </c>
      <c r="J638">
        <v>2</v>
      </c>
      <c r="K638">
        <v>3</v>
      </c>
      <c r="L638">
        <v>2</v>
      </c>
      <c r="M638">
        <v>3</v>
      </c>
      <c r="N638" t="s">
        <v>31</v>
      </c>
      <c r="O638" t="s">
        <v>47</v>
      </c>
      <c r="P638">
        <v>29</v>
      </c>
      <c r="Q638">
        <v>35</v>
      </c>
      <c r="R638">
        <v>3</v>
      </c>
      <c r="S638" t="s">
        <v>31</v>
      </c>
      <c r="T638">
        <v>7</v>
      </c>
      <c r="U638" t="s">
        <v>31</v>
      </c>
      <c r="V638" s="1">
        <v>43432</v>
      </c>
      <c r="X638" s="1" t="str">
        <f t="shared" si="27"/>
        <v>Active</v>
      </c>
      <c r="Y638" t="str">
        <f t="shared" si="28"/>
        <v>26-35</v>
      </c>
      <c r="Z638" t="str">
        <f t="shared" si="29"/>
        <v>4-5 Years</v>
      </c>
    </row>
    <row r="639" spans="1:26" x14ac:dyDescent="0.35">
      <c r="A639" t="s">
        <v>695</v>
      </c>
      <c r="B639">
        <v>52</v>
      </c>
      <c r="C639" t="s">
        <v>44</v>
      </c>
      <c r="D639" t="s">
        <v>52</v>
      </c>
      <c r="E639" t="s">
        <v>55</v>
      </c>
      <c r="F639" t="s">
        <v>61</v>
      </c>
      <c r="G639">
        <v>60991</v>
      </c>
      <c r="H639">
        <v>1</v>
      </c>
      <c r="I639">
        <v>29</v>
      </c>
      <c r="J639">
        <v>2</v>
      </c>
      <c r="K639">
        <v>4</v>
      </c>
      <c r="L639">
        <v>4</v>
      </c>
      <c r="M639">
        <v>2</v>
      </c>
      <c r="N639" t="s">
        <v>31</v>
      </c>
      <c r="O639" t="s">
        <v>47</v>
      </c>
      <c r="P639">
        <v>17</v>
      </c>
      <c r="Q639">
        <v>19</v>
      </c>
      <c r="R639">
        <v>4</v>
      </c>
      <c r="S639" t="s">
        <v>31</v>
      </c>
      <c r="T639">
        <v>3</v>
      </c>
      <c r="U639" t="s">
        <v>31</v>
      </c>
      <c r="V639" s="1">
        <v>44990</v>
      </c>
      <c r="X639" s="1" t="str">
        <f t="shared" si="27"/>
        <v>Active</v>
      </c>
      <c r="Y639" t="str">
        <f t="shared" si="28"/>
        <v>46-55</v>
      </c>
      <c r="Z639" t="str">
        <f t="shared" si="29"/>
        <v>0-1 Year</v>
      </c>
    </row>
    <row r="640" spans="1:26" x14ac:dyDescent="0.35">
      <c r="A640" t="s">
        <v>696</v>
      </c>
      <c r="B640">
        <v>49</v>
      </c>
      <c r="C640" t="s">
        <v>44</v>
      </c>
      <c r="D640" t="s">
        <v>52</v>
      </c>
      <c r="E640" t="s">
        <v>53</v>
      </c>
      <c r="F640" t="s">
        <v>30</v>
      </c>
      <c r="G640">
        <v>136499</v>
      </c>
      <c r="H640">
        <v>17</v>
      </c>
      <c r="I640">
        <v>25</v>
      </c>
      <c r="J640">
        <v>5</v>
      </c>
      <c r="K640">
        <v>3</v>
      </c>
      <c r="L640">
        <v>3</v>
      </c>
      <c r="M640">
        <v>4</v>
      </c>
      <c r="N640" t="s">
        <v>31</v>
      </c>
      <c r="O640" t="s">
        <v>32</v>
      </c>
      <c r="P640">
        <v>15</v>
      </c>
      <c r="Q640">
        <v>19</v>
      </c>
      <c r="R640">
        <v>2</v>
      </c>
      <c r="S640" t="s">
        <v>33</v>
      </c>
      <c r="T640">
        <v>11</v>
      </c>
      <c r="U640" t="s">
        <v>31</v>
      </c>
      <c r="V640" s="1">
        <v>44639</v>
      </c>
      <c r="X640" s="1" t="str">
        <f t="shared" si="27"/>
        <v>Active</v>
      </c>
      <c r="Y640" t="str">
        <f t="shared" si="28"/>
        <v>46-55</v>
      </c>
      <c r="Z640" t="str">
        <f t="shared" si="29"/>
        <v>10+ Years</v>
      </c>
    </row>
    <row r="641" spans="1:26" x14ac:dyDescent="0.35">
      <c r="A641" t="s">
        <v>697</v>
      </c>
      <c r="B641">
        <v>59</v>
      </c>
      <c r="C641" t="s">
        <v>44</v>
      </c>
      <c r="D641" t="s">
        <v>28</v>
      </c>
      <c r="E641" t="s">
        <v>29</v>
      </c>
      <c r="F641" t="s">
        <v>78</v>
      </c>
      <c r="G641">
        <v>81196</v>
      </c>
      <c r="H641">
        <v>4</v>
      </c>
      <c r="I641">
        <v>37</v>
      </c>
      <c r="J641">
        <v>3</v>
      </c>
      <c r="K641">
        <v>2</v>
      </c>
      <c r="L641">
        <v>2</v>
      </c>
      <c r="M641">
        <v>3</v>
      </c>
      <c r="N641" t="s">
        <v>31</v>
      </c>
      <c r="O641" t="s">
        <v>32</v>
      </c>
      <c r="P641">
        <v>15</v>
      </c>
      <c r="Q641">
        <v>36</v>
      </c>
      <c r="R641">
        <v>3</v>
      </c>
      <c r="S641" t="s">
        <v>31</v>
      </c>
      <c r="T641">
        <v>5</v>
      </c>
      <c r="U641" t="s">
        <v>31</v>
      </c>
      <c r="V641" s="1">
        <v>44039</v>
      </c>
      <c r="X641" s="1" t="str">
        <f t="shared" si="27"/>
        <v>Active</v>
      </c>
      <c r="Y641" t="str">
        <f t="shared" si="28"/>
        <v>56+</v>
      </c>
      <c r="Z641" t="str">
        <f t="shared" si="29"/>
        <v>4-5 Years</v>
      </c>
    </row>
    <row r="642" spans="1:26" x14ac:dyDescent="0.35">
      <c r="A642" t="s">
        <v>698</v>
      </c>
      <c r="B642">
        <v>26</v>
      </c>
      <c r="C642" t="s">
        <v>27</v>
      </c>
      <c r="D642" t="s">
        <v>39</v>
      </c>
      <c r="E642" t="s">
        <v>74</v>
      </c>
      <c r="F642" t="s">
        <v>56</v>
      </c>
      <c r="G642">
        <v>43603</v>
      </c>
      <c r="H642">
        <v>0</v>
      </c>
      <c r="I642">
        <v>2</v>
      </c>
      <c r="J642">
        <v>1</v>
      </c>
      <c r="K642">
        <v>1</v>
      </c>
      <c r="L642">
        <v>1</v>
      </c>
      <c r="M642">
        <v>2</v>
      </c>
      <c r="N642" t="s">
        <v>33</v>
      </c>
      <c r="O642" t="s">
        <v>42</v>
      </c>
      <c r="P642">
        <v>2</v>
      </c>
      <c r="Q642">
        <v>54</v>
      </c>
      <c r="R642">
        <v>3</v>
      </c>
      <c r="S642" t="s">
        <v>31</v>
      </c>
      <c r="T642">
        <v>5</v>
      </c>
      <c r="U642" t="s">
        <v>31</v>
      </c>
      <c r="V642" s="1">
        <v>44070</v>
      </c>
      <c r="X642" s="1" t="str">
        <f t="shared" si="27"/>
        <v>Active</v>
      </c>
      <c r="Y642" t="str">
        <f t="shared" si="28"/>
        <v>26-35</v>
      </c>
      <c r="Z642" t="str">
        <f t="shared" si="29"/>
        <v>0-1 Year</v>
      </c>
    </row>
    <row r="643" spans="1:26" x14ac:dyDescent="0.35">
      <c r="A643" t="s">
        <v>699</v>
      </c>
      <c r="B643">
        <v>36</v>
      </c>
      <c r="C643" t="s">
        <v>44</v>
      </c>
      <c r="D643" t="s">
        <v>39</v>
      </c>
      <c r="E643" t="s">
        <v>40</v>
      </c>
      <c r="F643" t="s">
        <v>41</v>
      </c>
      <c r="G643">
        <v>86695</v>
      </c>
      <c r="H643">
        <v>8</v>
      </c>
      <c r="I643">
        <v>14</v>
      </c>
      <c r="J643">
        <v>3</v>
      </c>
      <c r="K643">
        <v>1</v>
      </c>
      <c r="L643">
        <v>4</v>
      </c>
      <c r="M643">
        <v>4</v>
      </c>
      <c r="N643" t="s">
        <v>33</v>
      </c>
      <c r="O643" t="s">
        <v>32</v>
      </c>
      <c r="P643">
        <v>23</v>
      </c>
      <c r="Q643">
        <v>32</v>
      </c>
      <c r="R643">
        <v>3</v>
      </c>
      <c r="S643" t="s">
        <v>31</v>
      </c>
      <c r="T643">
        <v>9</v>
      </c>
      <c r="U643" t="s">
        <v>31</v>
      </c>
      <c r="V643" s="1">
        <v>43087</v>
      </c>
      <c r="X643" s="1" t="str">
        <f t="shared" ref="X643:X706" si="30">IF(ISBLANK(W643), "Active", TEXT(W643, "yyyy-mm-dd"))</f>
        <v>Active</v>
      </c>
      <c r="Y643" t="str">
        <f t="shared" ref="Y643:Y706" si="31">_xlfn.IFS(B643&lt;=25, "18-25", B643&lt;=35, "26-35", B643&lt;=45, "36-45", B643&lt;=55, "46-55", B643&gt;55, "56+")</f>
        <v>36-45</v>
      </c>
      <c r="Z643" t="str">
        <f t="shared" ref="Z643:Z706" si="32">_xlfn.IFS(H643&lt;=1, "0-1 Year", H643&lt;=3, "2-3 Years", H643&lt;=5, "4-5 Years", H643&lt;=10, "6-10 Years", H643&gt;10, "10+ Years")</f>
        <v>6-10 Years</v>
      </c>
    </row>
    <row r="644" spans="1:26" x14ac:dyDescent="0.35">
      <c r="A644" t="s">
        <v>700</v>
      </c>
      <c r="B644">
        <v>51</v>
      </c>
      <c r="C644" t="s">
        <v>44</v>
      </c>
      <c r="D644" t="s">
        <v>49</v>
      </c>
      <c r="E644" t="s">
        <v>68</v>
      </c>
      <c r="F644" t="s">
        <v>56</v>
      </c>
      <c r="G644">
        <v>99480</v>
      </c>
      <c r="H644">
        <v>7</v>
      </c>
      <c r="I644">
        <v>28</v>
      </c>
      <c r="J644">
        <v>4</v>
      </c>
      <c r="K644">
        <v>3</v>
      </c>
      <c r="L644">
        <v>2</v>
      </c>
      <c r="M644">
        <v>3</v>
      </c>
      <c r="N644" t="s">
        <v>33</v>
      </c>
      <c r="O644" t="s">
        <v>32</v>
      </c>
      <c r="P644">
        <v>12</v>
      </c>
      <c r="Q644">
        <v>44</v>
      </c>
      <c r="R644">
        <v>4</v>
      </c>
      <c r="S644" t="s">
        <v>33</v>
      </c>
      <c r="T644">
        <v>2</v>
      </c>
      <c r="U644" t="s">
        <v>31</v>
      </c>
      <c r="V644" s="1">
        <v>45038</v>
      </c>
      <c r="X644" s="1" t="str">
        <f t="shared" si="30"/>
        <v>Active</v>
      </c>
      <c r="Y644" t="str">
        <f t="shared" si="31"/>
        <v>46-55</v>
      </c>
      <c r="Z644" t="str">
        <f t="shared" si="32"/>
        <v>6-10 Years</v>
      </c>
    </row>
    <row r="645" spans="1:26" x14ac:dyDescent="0.35">
      <c r="A645" t="s">
        <v>701</v>
      </c>
      <c r="B645">
        <v>40</v>
      </c>
      <c r="C645" t="s">
        <v>44</v>
      </c>
      <c r="D645" t="s">
        <v>52</v>
      </c>
      <c r="E645" t="s">
        <v>55</v>
      </c>
      <c r="F645" t="s">
        <v>78</v>
      </c>
      <c r="G645">
        <v>86791</v>
      </c>
      <c r="H645">
        <v>8</v>
      </c>
      <c r="I645">
        <v>18</v>
      </c>
      <c r="J645">
        <v>3</v>
      </c>
      <c r="K645">
        <v>2</v>
      </c>
      <c r="L645">
        <v>3</v>
      </c>
      <c r="M645">
        <v>4</v>
      </c>
      <c r="N645" t="s">
        <v>33</v>
      </c>
      <c r="O645" t="s">
        <v>32</v>
      </c>
      <c r="P645">
        <v>22</v>
      </c>
      <c r="Q645">
        <v>57</v>
      </c>
      <c r="R645">
        <v>3</v>
      </c>
      <c r="S645" t="s">
        <v>33</v>
      </c>
      <c r="T645">
        <v>6</v>
      </c>
      <c r="U645" t="s">
        <v>31</v>
      </c>
      <c r="V645" s="1">
        <v>45279</v>
      </c>
      <c r="X645" s="1" t="str">
        <f t="shared" si="30"/>
        <v>Active</v>
      </c>
      <c r="Y645" t="str">
        <f t="shared" si="31"/>
        <v>36-45</v>
      </c>
      <c r="Z645" t="str">
        <f t="shared" si="32"/>
        <v>6-10 Years</v>
      </c>
    </row>
    <row r="646" spans="1:26" x14ac:dyDescent="0.35">
      <c r="A646" t="s">
        <v>702</v>
      </c>
      <c r="B646">
        <v>43</v>
      </c>
      <c r="C646" t="s">
        <v>27</v>
      </c>
      <c r="D646" t="s">
        <v>28</v>
      </c>
      <c r="E646" t="s">
        <v>66</v>
      </c>
      <c r="F646" t="s">
        <v>30</v>
      </c>
      <c r="G646">
        <v>104669</v>
      </c>
      <c r="H646">
        <v>10</v>
      </c>
      <c r="I646">
        <v>21</v>
      </c>
      <c r="J646">
        <v>4</v>
      </c>
      <c r="K646">
        <v>4</v>
      </c>
      <c r="L646">
        <v>2</v>
      </c>
      <c r="M646">
        <v>3</v>
      </c>
      <c r="N646" t="s">
        <v>33</v>
      </c>
      <c r="O646" t="s">
        <v>32</v>
      </c>
      <c r="P646">
        <v>2</v>
      </c>
      <c r="Q646">
        <v>32</v>
      </c>
      <c r="R646">
        <v>2</v>
      </c>
      <c r="S646" t="s">
        <v>31</v>
      </c>
      <c r="T646">
        <v>3</v>
      </c>
      <c r="U646" t="s">
        <v>31</v>
      </c>
      <c r="V646" s="1">
        <v>43311</v>
      </c>
      <c r="X646" s="1" t="str">
        <f t="shared" si="30"/>
        <v>Active</v>
      </c>
      <c r="Y646" t="str">
        <f t="shared" si="31"/>
        <v>36-45</v>
      </c>
      <c r="Z646" t="str">
        <f t="shared" si="32"/>
        <v>6-10 Years</v>
      </c>
    </row>
    <row r="647" spans="1:26" x14ac:dyDescent="0.35">
      <c r="A647" t="s">
        <v>703</v>
      </c>
      <c r="B647">
        <v>58</v>
      </c>
      <c r="C647" t="s">
        <v>27</v>
      </c>
      <c r="D647" t="s">
        <v>35</v>
      </c>
      <c r="E647" t="s">
        <v>85</v>
      </c>
      <c r="F647" t="s">
        <v>37</v>
      </c>
      <c r="G647">
        <v>101613</v>
      </c>
      <c r="H647">
        <v>8</v>
      </c>
      <c r="I647">
        <v>34</v>
      </c>
      <c r="J647">
        <v>4</v>
      </c>
      <c r="K647">
        <v>4</v>
      </c>
      <c r="L647">
        <v>4</v>
      </c>
      <c r="M647">
        <v>1</v>
      </c>
      <c r="N647" t="s">
        <v>33</v>
      </c>
      <c r="O647" t="s">
        <v>42</v>
      </c>
      <c r="P647">
        <v>6</v>
      </c>
      <c r="Q647">
        <v>51</v>
      </c>
      <c r="R647">
        <v>4</v>
      </c>
      <c r="S647" t="s">
        <v>33</v>
      </c>
      <c r="T647">
        <v>4</v>
      </c>
      <c r="U647" t="s">
        <v>31</v>
      </c>
      <c r="V647" s="1">
        <v>42299</v>
      </c>
      <c r="X647" s="1" t="str">
        <f t="shared" si="30"/>
        <v>Active</v>
      </c>
      <c r="Y647" t="str">
        <f t="shared" si="31"/>
        <v>56+</v>
      </c>
      <c r="Z647" t="str">
        <f t="shared" si="32"/>
        <v>6-10 Years</v>
      </c>
    </row>
    <row r="648" spans="1:26" x14ac:dyDescent="0.35">
      <c r="A648" t="s">
        <v>704</v>
      </c>
      <c r="B648">
        <v>57</v>
      </c>
      <c r="C648" t="s">
        <v>44</v>
      </c>
      <c r="D648" t="s">
        <v>45</v>
      </c>
      <c r="E648" t="s">
        <v>63</v>
      </c>
      <c r="F648" t="s">
        <v>30</v>
      </c>
      <c r="G648">
        <v>127807</v>
      </c>
      <c r="H648">
        <v>12</v>
      </c>
      <c r="I648">
        <v>34</v>
      </c>
      <c r="J648">
        <v>5</v>
      </c>
      <c r="K648">
        <v>4</v>
      </c>
      <c r="L648">
        <v>1</v>
      </c>
      <c r="M648">
        <v>2</v>
      </c>
      <c r="N648" t="s">
        <v>31</v>
      </c>
      <c r="O648" t="s">
        <v>32</v>
      </c>
      <c r="P648">
        <v>28</v>
      </c>
      <c r="Q648">
        <v>17</v>
      </c>
      <c r="R648">
        <v>3</v>
      </c>
      <c r="S648" t="s">
        <v>33</v>
      </c>
      <c r="T648">
        <v>10</v>
      </c>
      <c r="U648" t="s">
        <v>31</v>
      </c>
      <c r="V648" s="1">
        <v>42186</v>
      </c>
      <c r="X648" s="1" t="str">
        <f t="shared" si="30"/>
        <v>Active</v>
      </c>
      <c r="Y648" t="str">
        <f t="shared" si="31"/>
        <v>56+</v>
      </c>
      <c r="Z648" t="str">
        <f t="shared" si="32"/>
        <v>10+ Years</v>
      </c>
    </row>
    <row r="649" spans="1:26" x14ac:dyDescent="0.35">
      <c r="A649" t="s">
        <v>705</v>
      </c>
      <c r="B649">
        <v>36</v>
      </c>
      <c r="C649" t="s">
        <v>27</v>
      </c>
      <c r="D649" t="s">
        <v>28</v>
      </c>
      <c r="E649" t="s">
        <v>29</v>
      </c>
      <c r="F649" t="s">
        <v>56</v>
      </c>
      <c r="G649">
        <v>41939</v>
      </c>
      <c r="H649">
        <v>1</v>
      </c>
      <c r="I649">
        <v>13</v>
      </c>
      <c r="J649">
        <v>1</v>
      </c>
      <c r="K649">
        <v>2</v>
      </c>
      <c r="L649">
        <v>2</v>
      </c>
      <c r="M649">
        <v>1</v>
      </c>
      <c r="N649" t="s">
        <v>33</v>
      </c>
      <c r="O649" t="s">
        <v>47</v>
      </c>
      <c r="P649">
        <v>27</v>
      </c>
      <c r="Q649">
        <v>44</v>
      </c>
      <c r="R649">
        <v>3</v>
      </c>
      <c r="S649" t="s">
        <v>31</v>
      </c>
      <c r="T649">
        <v>4</v>
      </c>
      <c r="U649" t="s">
        <v>31</v>
      </c>
      <c r="V649" s="1">
        <v>43536</v>
      </c>
      <c r="X649" s="1" t="str">
        <f t="shared" si="30"/>
        <v>Active</v>
      </c>
      <c r="Y649" t="str">
        <f t="shared" si="31"/>
        <v>36-45</v>
      </c>
      <c r="Z649" t="str">
        <f t="shared" si="32"/>
        <v>0-1 Year</v>
      </c>
    </row>
    <row r="650" spans="1:26" x14ac:dyDescent="0.35">
      <c r="A650" t="s">
        <v>706</v>
      </c>
      <c r="B650">
        <v>23</v>
      </c>
      <c r="C650" t="s">
        <v>44</v>
      </c>
      <c r="D650" t="s">
        <v>28</v>
      </c>
      <c r="E650" t="s">
        <v>29</v>
      </c>
      <c r="F650" t="s">
        <v>61</v>
      </c>
      <c r="G650">
        <v>56224</v>
      </c>
      <c r="H650">
        <v>0</v>
      </c>
      <c r="I650">
        <v>1</v>
      </c>
      <c r="J650">
        <v>2</v>
      </c>
      <c r="K650">
        <v>3</v>
      </c>
      <c r="L650">
        <v>2</v>
      </c>
      <c r="M650">
        <v>3</v>
      </c>
      <c r="N650" t="s">
        <v>31</v>
      </c>
      <c r="O650" t="s">
        <v>32</v>
      </c>
      <c r="P650">
        <v>14</v>
      </c>
      <c r="Q650">
        <v>38</v>
      </c>
      <c r="R650">
        <v>3</v>
      </c>
      <c r="S650" t="s">
        <v>31</v>
      </c>
      <c r="T650">
        <v>4</v>
      </c>
      <c r="U650" t="s">
        <v>31</v>
      </c>
      <c r="V650" s="1">
        <v>44591</v>
      </c>
      <c r="X650" s="1" t="str">
        <f t="shared" si="30"/>
        <v>Active</v>
      </c>
      <c r="Y650" t="str">
        <f t="shared" si="31"/>
        <v>18-25</v>
      </c>
      <c r="Z650" t="str">
        <f t="shared" si="32"/>
        <v>0-1 Year</v>
      </c>
    </row>
    <row r="651" spans="1:26" x14ac:dyDescent="0.35">
      <c r="A651" t="s">
        <v>707</v>
      </c>
      <c r="B651">
        <v>28</v>
      </c>
      <c r="C651" t="s">
        <v>27</v>
      </c>
      <c r="D651" t="s">
        <v>39</v>
      </c>
      <c r="E651" t="s">
        <v>40</v>
      </c>
      <c r="F651" t="s">
        <v>61</v>
      </c>
      <c r="G651">
        <v>53254</v>
      </c>
      <c r="H651">
        <v>0</v>
      </c>
      <c r="I651">
        <v>5</v>
      </c>
      <c r="J651">
        <v>2</v>
      </c>
      <c r="K651">
        <v>4</v>
      </c>
      <c r="L651">
        <v>2</v>
      </c>
      <c r="M651">
        <v>3</v>
      </c>
      <c r="N651" t="s">
        <v>31</v>
      </c>
      <c r="O651" t="s">
        <v>32</v>
      </c>
      <c r="P651">
        <v>26</v>
      </c>
      <c r="Q651">
        <v>17</v>
      </c>
      <c r="R651">
        <v>3</v>
      </c>
      <c r="S651" t="s">
        <v>31</v>
      </c>
      <c r="T651">
        <v>5</v>
      </c>
      <c r="U651" t="s">
        <v>33</v>
      </c>
      <c r="V651" s="1">
        <v>43577</v>
      </c>
      <c r="W651" s="1">
        <v>44516</v>
      </c>
      <c r="X651" s="1" t="str">
        <f t="shared" si="30"/>
        <v>2021-11-16</v>
      </c>
      <c r="Y651" t="str">
        <f t="shared" si="31"/>
        <v>26-35</v>
      </c>
      <c r="Z651" t="str">
        <f t="shared" si="32"/>
        <v>0-1 Year</v>
      </c>
    </row>
    <row r="652" spans="1:26" x14ac:dyDescent="0.35">
      <c r="A652" t="s">
        <v>708</v>
      </c>
      <c r="B652">
        <v>34</v>
      </c>
      <c r="C652" t="s">
        <v>27</v>
      </c>
      <c r="D652" t="s">
        <v>45</v>
      </c>
      <c r="E652" t="s">
        <v>46</v>
      </c>
      <c r="F652" t="s">
        <v>41</v>
      </c>
      <c r="G652">
        <v>54249</v>
      </c>
      <c r="H652">
        <v>1</v>
      </c>
      <c r="I652">
        <v>12</v>
      </c>
      <c r="J652">
        <v>2</v>
      </c>
      <c r="K652">
        <v>1</v>
      </c>
      <c r="L652">
        <v>4</v>
      </c>
      <c r="M652">
        <v>3</v>
      </c>
      <c r="N652" t="s">
        <v>31</v>
      </c>
      <c r="O652" t="s">
        <v>42</v>
      </c>
      <c r="P652">
        <v>12</v>
      </c>
      <c r="Q652">
        <v>46</v>
      </c>
      <c r="R652">
        <v>3</v>
      </c>
      <c r="S652" t="s">
        <v>31</v>
      </c>
      <c r="T652">
        <v>2</v>
      </c>
      <c r="U652" t="s">
        <v>31</v>
      </c>
      <c r="V652" s="1">
        <v>43204</v>
      </c>
      <c r="X652" s="1" t="str">
        <f t="shared" si="30"/>
        <v>Active</v>
      </c>
      <c r="Y652" t="str">
        <f t="shared" si="31"/>
        <v>26-35</v>
      </c>
      <c r="Z652" t="str">
        <f t="shared" si="32"/>
        <v>0-1 Year</v>
      </c>
    </row>
    <row r="653" spans="1:26" x14ac:dyDescent="0.35">
      <c r="A653" t="s">
        <v>709</v>
      </c>
      <c r="B653">
        <v>27</v>
      </c>
      <c r="C653" t="s">
        <v>44</v>
      </c>
      <c r="D653" t="s">
        <v>52</v>
      </c>
      <c r="E653" t="s">
        <v>53</v>
      </c>
      <c r="F653" t="s">
        <v>56</v>
      </c>
      <c r="G653">
        <v>59586</v>
      </c>
      <c r="H653">
        <v>3</v>
      </c>
      <c r="I653">
        <v>3</v>
      </c>
      <c r="J653">
        <v>2</v>
      </c>
      <c r="K653">
        <v>2</v>
      </c>
      <c r="L653">
        <v>1</v>
      </c>
      <c r="M653">
        <v>1</v>
      </c>
      <c r="N653" t="s">
        <v>31</v>
      </c>
      <c r="O653" t="s">
        <v>47</v>
      </c>
      <c r="P653">
        <v>2</v>
      </c>
      <c r="Q653">
        <v>37</v>
      </c>
      <c r="R653">
        <v>3</v>
      </c>
      <c r="S653" t="s">
        <v>31</v>
      </c>
      <c r="T653">
        <v>9</v>
      </c>
      <c r="U653" t="s">
        <v>33</v>
      </c>
      <c r="V653" s="1">
        <v>41626</v>
      </c>
      <c r="W653" s="1">
        <v>42275</v>
      </c>
      <c r="X653" s="1" t="str">
        <f t="shared" si="30"/>
        <v>2015-09-28</v>
      </c>
      <c r="Y653" t="str">
        <f t="shared" si="31"/>
        <v>26-35</v>
      </c>
      <c r="Z653" t="str">
        <f t="shared" si="32"/>
        <v>2-3 Years</v>
      </c>
    </row>
    <row r="654" spans="1:26" x14ac:dyDescent="0.35">
      <c r="A654" t="s">
        <v>710</v>
      </c>
      <c r="B654">
        <v>43</v>
      </c>
      <c r="C654" t="s">
        <v>44</v>
      </c>
      <c r="D654" t="s">
        <v>39</v>
      </c>
      <c r="E654" t="s">
        <v>74</v>
      </c>
      <c r="F654" t="s">
        <v>78</v>
      </c>
      <c r="G654">
        <v>140200</v>
      </c>
      <c r="H654">
        <v>21</v>
      </c>
      <c r="I654">
        <v>22</v>
      </c>
      <c r="J654">
        <v>5</v>
      </c>
      <c r="K654">
        <v>3</v>
      </c>
      <c r="L654">
        <v>4</v>
      </c>
      <c r="M654">
        <v>2</v>
      </c>
      <c r="N654" t="s">
        <v>31</v>
      </c>
      <c r="O654" t="s">
        <v>32</v>
      </c>
      <c r="P654">
        <v>6</v>
      </c>
      <c r="Q654">
        <v>56</v>
      </c>
      <c r="R654">
        <v>4</v>
      </c>
      <c r="S654" t="s">
        <v>31</v>
      </c>
      <c r="T654">
        <v>6</v>
      </c>
      <c r="U654" t="s">
        <v>31</v>
      </c>
      <c r="V654" s="1">
        <v>43725</v>
      </c>
      <c r="X654" s="1" t="str">
        <f t="shared" si="30"/>
        <v>Active</v>
      </c>
      <c r="Y654" t="str">
        <f t="shared" si="31"/>
        <v>36-45</v>
      </c>
      <c r="Z654" t="str">
        <f t="shared" si="32"/>
        <v>10+ Years</v>
      </c>
    </row>
    <row r="655" spans="1:26" x14ac:dyDescent="0.35">
      <c r="A655" t="s">
        <v>711</v>
      </c>
      <c r="B655">
        <v>28</v>
      </c>
      <c r="C655" t="s">
        <v>27</v>
      </c>
      <c r="D655" t="s">
        <v>49</v>
      </c>
      <c r="E655" t="s">
        <v>68</v>
      </c>
      <c r="F655" t="s">
        <v>56</v>
      </c>
      <c r="G655">
        <v>42037</v>
      </c>
      <c r="H655">
        <v>2</v>
      </c>
      <c r="I655">
        <v>6</v>
      </c>
      <c r="J655">
        <v>1</v>
      </c>
      <c r="K655">
        <v>1</v>
      </c>
      <c r="L655">
        <v>4</v>
      </c>
      <c r="M655">
        <v>2</v>
      </c>
      <c r="N655" t="s">
        <v>31</v>
      </c>
      <c r="O655" t="s">
        <v>32</v>
      </c>
      <c r="P655">
        <v>10</v>
      </c>
      <c r="Q655">
        <v>15</v>
      </c>
      <c r="R655">
        <v>3</v>
      </c>
      <c r="S655" t="s">
        <v>31</v>
      </c>
      <c r="T655">
        <v>6</v>
      </c>
      <c r="U655" t="s">
        <v>31</v>
      </c>
      <c r="V655" s="1">
        <v>41662</v>
      </c>
      <c r="X655" s="1" t="str">
        <f t="shared" si="30"/>
        <v>Active</v>
      </c>
      <c r="Y655" t="str">
        <f t="shared" si="31"/>
        <v>26-35</v>
      </c>
      <c r="Z655" t="str">
        <f t="shared" si="32"/>
        <v>2-3 Years</v>
      </c>
    </row>
    <row r="656" spans="1:26" x14ac:dyDescent="0.35">
      <c r="A656" t="s">
        <v>712</v>
      </c>
      <c r="B656">
        <v>31</v>
      </c>
      <c r="C656" t="s">
        <v>27</v>
      </c>
      <c r="D656" t="s">
        <v>49</v>
      </c>
      <c r="E656" t="s">
        <v>50</v>
      </c>
      <c r="F656" t="s">
        <v>41</v>
      </c>
      <c r="G656">
        <v>56395</v>
      </c>
      <c r="H656">
        <v>2</v>
      </c>
      <c r="I656">
        <v>7</v>
      </c>
      <c r="J656">
        <v>2</v>
      </c>
      <c r="K656">
        <v>2</v>
      </c>
      <c r="L656">
        <v>3</v>
      </c>
      <c r="M656">
        <v>4</v>
      </c>
      <c r="N656" t="s">
        <v>31</v>
      </c>
      <c r="O656" t="s">
        <v>42</v>
      </c>
      <c r="P656">
        <v>9</v>
      </c>
      <c r="Q656">
        <v>36</v>
      </c>
      <c r="R656">
        <v>2</v>
      </c>
      <c r="S656" t="s">
        <v>31</v>
      </c>
      <c r="T656">
        <v>7</v>
      </c>
      <c r="U656" t="s">
        <v>31</v>
      </c>
      <c r="V656" s="1">
        <v>42510</v>
      </c>
      <c r="X656" s="1" t="str">
        <f t="shared" si="30"/>
        <v>Active</v>
      </c>
      <c r="Y656" t="str">
        <f t="shared" si="31"/>
        <v>26-35</v>
      </c>
      <c r="Z656" t="str">
        <f t="shared" si="32"/>
        <v>2-3 Years</v>
      </c>
    </row>
    <row r="657" spans="1:26" x14ac:dyDescent="0.35">
      <c r="A657" t="s">
        <v>713</v>
      </c>
      <c r="B657">
        <v>26</v>
      </c>
      <c r="C657" t="s">
        <v>44</v>
      </c>
      <c r="D657" t="s">
        <v>45</v>
      </c>
      <c r="E657" t="s">
        <v>46</v>
      </c>
      <c r="F657" t="s">
        <v>61</v>
      </c>
      <c r="G657">
        <v>43439</v>
      </c>
      <c r="H657">
        <v>2</v>
      </c>
      <c r="I657">
        <v>4</v>
      </c>
      <c r="J657">
        <v>1</v>
      </c>
      <c r="K657">
        <v>4</v>
      </c>
      <c r="L657">
        <v>3</v>
      </c>
      <c r="M657">
        <v>4</v>
      </c>
      <c r="N657" t="s">
        <v>31</v>
      </c>
      <c r="O657" t="s">
        <v>42</v>
      </c>
      <c r="P657">
        <v>15</v>
      </c>
      <c r="Q657">
        <v>37</v>
      </c>
      <c r="R657">
        <v>3</v>
      </c>
      <c r="S657" t="s">
        <v>31</v>
      </c>
      <c r="T657">
        <v>2</v>
      </c>
      <c r="U657" t="s">
        <v>31</v>
      </c>
      <c r="V657" s="1">
        <v>41018</v>
      </c>
      <c r="X657" s="1" t="str">
        <f t="shared" si="30"/>
        <v>Active</v>
      </c>
      <c r="Y657" t="str">
        <f t="shared" si="31"/>
        <v>26-35</v>
      </c>
      <c r="Z657" t="str">
        <f t="shared" si="32"/>
        <v>2-3 Years</v>
      </c>
    </row>
    <row r="658" spans="1:26" x14ac:dyDescent="0.35">
      <c r="A658" t="s">
        <v>714</v>
      </c>
      <c r="B658">
        <v>40</v>
      </c>
      <c r="C658" t="s">
        <v>27</v>
      </c>
      <c r="D658" t="s">
        <v>39</v>
      </c>
      <c r="E658" t="s">
        <v>74</v>
      </c>
      <c r="F658" t="s">
        <v>41</v>
      </c>
      <c r="G658">
        <v>62098</v>
      </c>
      <c r="H658">
        <v>5</v>
      </c>
      <c r="I658">
        <v>17</v>
      </c>
      <c r="J658">
        <v>2</v>
      </c>
      <c r="K658">
        <v>3</v>
      </c>
      <c r="L658">
        <v>3</v>
      </c>
      <c r="M658">
        <v>1</v>
      </c>
      <c r="N658" t="s">
        <v>31</v>
      </c>
      <c r="O658" t="s">
        <v>32</v>
      </c>
      <c r="P658">
        <v>18</v>
      </c>
      <c r="Q658">
        <v>33</v>
      </c>
      <c r="R658">
        <v>3</v>
      </c>
      <c r="S658" t="s">
        <v>33</v>
      </c>
      <c r="T658">
        <v>5</v>
      </c>
      <c r="U658" t="s">
        <v>33</v>
      </c>
      <c r="V658" s="1">
        <v>42866</v>
      </c>
      <c r="W658" s="1">
        <v>43598</v>
      </c>
      <c r="X658" s="1" t="str">
        <f t="shared" si="30"/>
        <v>2019-05-13</v>
      </c>
      <c r="Y658" t="str">
        <f t="shared" si="31"/>
        <v>36-45</v>
      </c>
      <c r="Z658" t="str">
        <f t="shared" si="32"/>
        <v>4-5 Years</v>
      </c>
    </row>
    <row r="659" spans="1:26" x14ac:dyDescent="0.35">
      <c r="A659" t="s">
        <v>715</v>
      </c>
      <c r="B659">
        <v>47</v>
      </c>
      <c r="C659" t="s">
        <v>27</v>
      </c>
      <c r="D659" t="s">
        <v>52</v>
      </c>
      <c r="E659" t="s">
        <v>55</v>
      </c>
      <c r="F659" t="s">
        <v>78</v>
      </c>
      <c r="G659">
        <v>102540</v>
      </c>
      <c r="H659">
        <v>7</v>
      </c>
      <c r="I659">
        <v>25</v>
      </c>
      <c r="J659">
        <v>4</v>
      </c>
      <c r="K659">
        <v>4</v>
      </c>
      <c r="L659">
        <v>3</v>
      </c>
      <c r="M659">
        <v>3</v>
      </c>
      <c r="N659" t="s">
        <v>31</v>
      </c>
      <c r="O659" t="s">
        <v>47</v>
      </c>
      <c r="P659">
        <v>3</v>
      </c>
      <c r="Q659">
        <v>35</v>
      </c>
      <c r="R659">
        <v>3</v>
      </c>
      <c r="S659" t="s">
        <v>31</v>
      </c>
      <c r="T659">
        <v>9</v>
      </c>
      <c r="U659" t="s">
        <v>31</v>
      </c>
      <c r="V659" s="1">
        <v>42896</v>
      </c>
      <c r="X659" s="1" t="str">
        <f t="shared" si="30"/>
        <v>Active</v>
      </c>
      <c r="Y659" t="str">
        <f t="shared" si="31"/>
        <v>46-55</v>
      </c>
      <c r="Z659" t="str">
        <f t="shared" si="32"/>
        <v>6-10 Years</v>
      </c>
    </row>
    <row r="660" spans="1:26" x14ac:dyDescent="0.35">
      <c r="A660" t="s">
        <v>716</v>
      </c>
      <c r="B660">
        <v>25</v>
      </c>
      <c r="C660" t="s">
        <v>27</v>
      </c>
      <c r="D660" t="s">
        <v>28</v>
      </c>
      <c r="E660" t="s">
        <v>29</v>
      </c>
      <c r="F660" t="s">
        <v>56</v>
      </c>
      <c r="G660">
        <v>37123</v>
      </c>
      <c r="H660">
        <v>0</v>
      </c>
      <c r="I660">
        <v>1</v>
      </c>
      <c r="J660">
        <v>1</v>
      </c>
      <c r="K660">
        <v>4</v>
      </c>
      <c r="L660">
        <v>1</v>
      </c>
      <c r="M660">
        <v>4</v>
      </c>
      <c r="N660" t="s">
        <v>33</v>
      </c>
      <c r="O660" t="s">
        <v>32</v>
      </c>
      <c r="P660">
        <v>19</v>
      </c>
      <c r="Q660">
        <v>11</v>
      </c>
      <c r="R660">
        <v>2</v>
      </c>
      <c r="S660" t="s">
        <v>31</v>
      </c>
      <c r="T660">
        <v>5</v>
      </c>
      <c r="U660" t="s">
        <v>33</v>
      </c>
      <c r="V660" s="1">
        <v>42742</v>
      </c>
      <c r="W660" s="1">
        <v>43132</v>
      </c>
      <c r="X660" s="1" t="str">
        <f t="shared" si="30"/>
        <v>2018-02-01</v>
      </c>
      <c r="Y660" t="str">
        <f t="shared" si="31"/>
        <v>18-25</v>
      </c>
      <c r="Z660" t="str">
        <f t="shared" si="32"/>
        <v>0-1 Year</v>
      </c>
    </row>
    <row r="661" spans="1:26" x14ac:dyDescent="0.35">
      <c r="A661" t="s">
        <v>717</v>
      </c>
      <c r="B661">
        <v>59</v>
      </c>
      <c r="C661" t="s">
        <v>27</v>
      </c>
      <c r="D661" t="s">
        <v>35</v>
      </c>
      <c r="E661" t="s">
        <v>36</v>
      </c>
      <c r="F661" t="s">
        <v>30</v>
      </c>
      <c r="G661">
        <v>144710</v>
      </c>
      <c r="H661">
        <v>21</v>
      </c>
      <c r="I661">
        <v>35</v>
      </c>
      <c r="J661">
        <v>5</v>
      </c>
      <c r="K661">
        <v>1</v>
      </c>
      <c r="L661">
        <v>3</v>
      </c>
      <c r="M661">
        <v>3</v>
      </c>
      <c r="N661" t="s">
        <v>31</v>
      </c>
      <c r="O661" t="s">
        <v>32</v>
      </c>
      <c r="P661">
        <v>26</v>
      </c>
      <c r="Q661">
        <v>22</v>
      </c>
      <c r="R661">
        <v>3</v>
      </c>
      <c r="S661" t="s">
        <v>33</v>
      </c>
      <c r="T661">
        <v>4</v>
      </c>
      <c r="U661" t="s">
        <v>31</v>
      </c>
      <c r="V661" s="1">
        <v>44152</v>
      </c>
      <c r="X661" s="1" t="str">
        <f t="shared" si="30"/>
        <v>Active</v>
      </c>
      <c r="Y661" t="str">
        <f t="shared" si="31"/>
        <v>56+</v>
      </c>
      <c r="Z661" t="str">
        <f t="shared" si="32"/>
        <v>10+ Years</v>
      </c>
    </row>
    <row r="662" spans="1:26" x14ac:dyDescent="0.35">
      <c r="A662" t="s">
        <v>718</v>
      </c>
      <c r="B662">
        <v>24</v>
      </c>
      <c r="C662" t="s">
        <v>44</v>
      </c>
      <c r="D662" t="s">
        <v>39</v>
      </c>
      <c r="E662" t="s">
        <v>74</v>
      </c>
      <c r="F662" t="s">
        <v>41</v>
      </c>
      <c r="G662">
        <v>54065</v>
      </c>
      <c r="H662">
        <v>1</v>
      </c>
      <c r="I662">
        <v>2</v>
      </c>
      <c r="J662">
        <v>2</v>
      </c>
      <c r="K662">
        <v>1</v>
      </c>
      <c r="L662">
        <v>3</v>
      </c>
      <c r="M662">
        <v>3</v>
      </c>
      <c r="N662" t="s">
        <v>33</v>
      </c>
      <c r="O662" t="s">
        <v>32</v>
      </c>
      <c r="P662">
        <v>20</v>
      </c>
      <c r="Q662">
        <v>14</v>
      </c>
      <c r="R662">
        <v>4</v>
      </c>
      <c r="S662" t="s">
        <v>31</v>
      </c>
      <c r="T662">
        <v>6</v>
      </c>
      <c r="U662" t="s">
        <v>31</v>
      </c>
      <c r="V662" s="1">
        <v>41956</v>
      </c>
      <c r="X662" s="1" t="str">
        <f t="shared" si="30"/>
        <v>Active</v>
      </c>
      <c r="Y662" t="str">
        <f t="shared" si="31"/>
        <v>18-25</v>
      </c>
      <c r="Z662" t="str">
        <f t="shared" si="32"/>
        <v>0-1 Year</v>
      </c>
    </row>
    <row r="663" spans="1:26" x14ac:dyDescent="0.35">
      <c r="A663" t="s">
        <v>719</v>
      </c>
      <c r="B663">
        <v>59</v>
      </c>
      <c r="C663" t="s">
        <v>27</v>
      </c>
      <c r="D663" t="s">
        <v>28</v>
      </c>
      <c r="E663" t="s">
        <v>29</v>
      </c>
      <c r="F663" t="s">
        <v>78</v>
      </c>
      <c r="G663">
        <v>169942</v>
      </c>
      <c r="H663">
        <v>35</v>
      </c>
      <c r="I663">
        <v>37</v>
      </c>
      <c r="J663">
        <v>5</v>
      </c>
      <c r="K663">
        <v>1</v>
      </c>
      <c r="L663">
        <v>2</v>
      </c>
      <c r="M663">
        <v>1</v>
      </c>
      <c r="N663" t="s">
        <v>31</v>
      </c>
      <c r="O663" t="s">
        <v>42</v>
      </c>
      <c r="P663">
        <v>2</v>
      </c>
      <c r="Q663">
        <v>15</v>
      </c>
      <c r="R663">
        <v>3</v>
      </c>
      <c r="S663" t="s">
        <v>33</v>
      </c>
      <c r="T663">
        <v>4</v>
      </c>
      <c r="U663" t="s">
        <v>31</v>
      </c>
      <c r="V663" s="1">
        <v>43399</v>
      </c>
      <c r="X663" s="1" t="str">
        <f t="shared" si="30"/>
        <v>Active</v>
      </c>
      <c r="Y663" t="str">
        <f t="shared" si="31"/>
        <v>56+</v>
      </c>
      <c r="Z663" t="str">
        <f t="shared" si="32"/>
        <v>10+ Years</v>
      </c>
    </row>
    <row r="664" spans="1:26" x14ac:dyDescent="0.35">
      <c r="A664" t="s">
        <v>720</v>
      </c>
      <c r="B664">
        <v>34</v>
      </c>
      <c r="C664" t="s">
        <v>44</v>
      </c>
      <c r="D664" t="s">
        <v>39</v>
      </c>
      <c r="E664" t="s">
        <v>40</v>
      </c>
      <c r="F664" t="s">
        <v>78</v>
      </c>
      <c r="G664">
        <v>43694</v>
      </c>
      <c r="H664">
        <v>1</v>
      </c>
      <c r="I664">
        <v>12</v>
      </c>
      <c r="J664">
        <v>1</v>
      </c>
      <c r="K664">
        <v>3</v>
      </c>
      <c r="L664">
        <v>2</v>
      </c>
      <c r="M664">
        <v>4</v>
      </c>
      <c r="N664" t="s">
        <v>33</v>
      </c>
      <c r="O664" t="s">
        <v>32</v>
      </c>
      <c r="P664">
        <v>10</v>
      </c>
      <c r="Q664">
        <v>26</v>
      </c>
      <c r="R664">
        <v>4</v>
      </c>
      <c r="S664" t="s">
        <v>31</v>
      </c>
      <c r="T664">
        <v>2</v>
      </c>
      <c r="U664" t="s">
        <v>33</v>
      </c>
      <c r="V664" s="1">
        <v>41947</v>
      </c>
      <c r="W664" s="1">
        <v>42074</v>
      </c>
      <c r="X664" s="1" t="str">
        <f t="shared" si="30"/>
        <v>2015-03-11</v>
      </c>
      <c r="Y664" t="str">
        <f t="shared" si="31"/>
        <v>26-35</v>
      </c>
      <c r="Z664" t="str">
        <f t="shared" si="32"/>
        <v>0-1 Year</v>
      </c>
    </row>
    <row r="665" spans="1:26" x14ac:dyDescent="0.35">
      <c r="A665" t="s">
        <v>721</v>
      </c>
      <c r="B665">
        <v>25</v>
      </c>
      <c r="C665" t="s">
        <v>44</v>
      </c>
      <c r="D665" t="s">
        <v>35</v>
      </c>
      <c r="E665" t="s">
        <v>85</v>
      </c>
      <c r="F665" t="s">
        <v>41</v>
      </c>
      <c r="G665">
        <v>40360</v>
      </c>
      <c r="H665">
        <v>1</v>
      </c>
      <c r="I665">
        <v>4</v>
      </c>
      <c r="J665">
        <v>1</v>
      </c>
      <c r="K665">
        <v>3</v>
      </c>
      <c r="L665">
        <v>2</v>
      </c>
      <c r="M665">
        <v>4</v>
      </c>
      <c r="N665" t="s">
        <v>31</v>
      </c>
      <c r="O665" t="s">
        <v>32</v>
      </c>
      <c r="P665">
        <v>4</v>
      </c>
      <c r="Q665">
        <v>14</v>
      </c>
      <c r="R665">
        <v>3</v>
      </c>
      <c r="S665" t="s">
        <v>31</v>
      </c>
      <c r="T665">
        <v>4</v>
      </c>
      <c r="U665" t="s">
        <v>31</v>
      </c>
      <c r="V665" s="1">
        <v>44761</v>
      </c>
      <c r="X665" s="1" t="str">
        <f t="shared" si="30"/>
        <v>Active</v>
      </c>
      <c r="Y665" t="str">
        <f t="shared" si="31"/>
        <v>18-25</v>
      </c>
      <c r="Z665" t="str">
        <f t="shared" si="32"/>
        <v>0-1 Year</v>
      </c>
    </row>
    <row r="666" spans="1:26" x14ac:dyDescent="0.35">
      <c r="A666" t="s">
        <v>722</v>
      </c>
      <c r="B666">
        <v>33</v>
      </c>
      <c r="C666" t="s">
        <v>44</v>
      </c>
      <c r="D666" t="s">
        <v>49</v>
      </c>
      <c r="E666" t="s">
        <v>68</v>
      </c>
      <c r="F666" t="s">
        <v>37</v>
      </c>
      <c r="G666">
        <v>45409</v>
      </c>
      <c r="H666">
        <v>1</v>
      </c>
      <c r="I666">
        <v>10</v>
      </c>
      <c r="J666">
        <v>1</v>
      </c>
      <c r="K666">
        <v>1</v>
      </c>
      <c r="L666">
        <v>4</v>
      </c>
      <c r="M666">
        <v>2</v>
      </c>
      <c r="N666" t="s">
        <v>31</v>
      </c>
      <c r="O666" t="s">
        <v>32</v>
      </c>
      <c r="P666">
        <v>8</v>
      </c>
      <c r="Q666">
        <v>34</v>
      </c>
      <c r="R666">
        <v>3</v>
      </c>
      <c r="S666" t="s">
        <v>31</v>
      </c>
      <c r="T666">
        <v>5</v>
      </c>
      <c r="U666" t="s">
        <v>31</v>
      </c>
      <c r="V666" s="1">
        <v>43029</v>
      </c>
      <c r="X666" s="1" t="str">
        <f t="shared" si="30"/>
        <v>Active</v>
      </c>
      <c r="Y666" t="str">
        <f t="shared" si="31"/>
        <v>26-35</v>
      </c>
      <c r="Z666" t="str">
        <f t="shared" si="32"/>
        <v>0-1 Year</v>
      </c>
    </row>
    <row r="667" spans="1:26" x14ac:dyDescent="0.35">
      <c r="A667" t="s">
        <v>723</v>
      </c>
      <c r="B667">
        <v>56</v>
      </c>
      <c r="C667" t="s">
        <v>44</v>
      </c>
      <c r="D667" t="s">
        <v>28</v>
      </c>
      <c r="E667" t="s">
        <v>29</v>
      </c>
      <c r="F667" t="s">
        <v>61</v>
      </c>
      <c r="G667">
        <v>159759</v>
      </c>
      <c r="H667">
        <v>31</v>
      </c>
      <c r="I667">
        <v>34</v>
      </c>
      <c r="J667">
        <v>5</v>
      </c>
      <c r="K667">
        <v>3</v>
      </c>
      <c r="L667">
        <v>1</v>
      </c>
      <c r="M667">
        <v>2</v>
      </c>
      <c r="N667" t="s">
        <v>31</v>
      </c>
      <c r="O667" t="s">
        <v>32</v>
      </c>
      <c r="P667">
        <v>7</v>
      </c>
      <c r="Q667">
        <v>37</v>
      </c>
      <c r="R667">
        <v>3</v>
      </c>
      <c r="S667" t="s">
        <v>31</v>
      </c>
      <c r="T667">
        <v>5</v>
      </c>
      <c r="U667" t="s">
        <v>31</v>
      </c>
      <c r="V667" s="1">
        <v>42479</v>
      </c>
      <c r="X667" s="1" t="str">
        <f t="shared" si="30"/>
        <v>Active</v>
      </c>
      <c r="Y667" t="str">
        <f t="shared" si="31"/>
        <v>56+</v>
      </c>
      <c r="Z667" t="str">
        <f t="shared" si="32"/>
        <v>10+ Years</v>
      </c>
    </row>
    <row r="668" spans="1:26" x14ac:dyDescent="0.35">
      <c r="A668" t="s">
        <v>724</v>
      </c>
      <c r="B668">
        <v>26</v>
      </c>
      <c r="C668" t="s">
        <v>27</v>
      </c>
      <c r="D668" t="s">
        <v>45</v>
      </c>
      <c r="E668" t="s">
        <v>46</v>
      </c>
      <c r="F668" t="s">
        <v>61</v>
      </c>
      <c r="G668">
        <v>59775</v>
      </c>
      <c r="H668">
        <v>1</v>
      </c>
      <c r="I668">
        <v>4</v>
      </c>
      <c r="J668">
        <v>2</v>
      </c>
      <c r="K668">
        <v>4</v>
      </c>
      <c r="L668">
        <v>1</v>
      </c>
      <c r="M668">
        <v>2</v>
      </c>
      <c r="N668" t="s">
        <v>33</v>
      </c>
      <c r="O668" t="s">
        <v>32</v>
      </c>
      <c r="P668">
        <v>28</v>
      </c>
      <c r="Q668">
        <v>34</v>
      </c>
      <c r="R668">
        <v>3</v>
      </c>
      <c r="S668" t="s">
        <v>31</v>
      </c>
      <c r="T668">
        <v>2</v>
      </c>
      <c r="U668" t="s">
        <v>31</v>
      </c>
      <c r="V668" s="1">
        <v>44656</v>
      </c>
      <c r="X668" s="1" t="str">
        <f t="shared" si="30"/>
        <v>Active</v>
      </c>
      <c r="Y668" t="str">
        <f t="shared" si="31"/>
        <v>26-35</v>
      </c>
      <c r="Z668" t="str">
        <f t="shared" si="32"/>
        <v>0-1 Year</v>
      </c>
    </row>
    <row r="669" spans="1:26" x14ac:dyDescent="0.35">
      <c r="A669" t="s">
        <v>725</v>
      </c>
      <c r="B669">
        <v>39</v>
      </c>
      <c r="C669" t="s">
        <v>27</v>
      </c>
      <c r="D669" t="s">
        <v>49</v>
      </c>
      <c r="E669" t="s">
        <v>68</v>
      </c>
      <c r="F669" t="s">
        <v>37</v>
      </c>
      <c r="G669">
        <v>77066</v>
      </c>
      <c r="H669">
        <v>5</v>
      </c>
      <c r="I669">
        <v>17</v>
      </c>
      <c r="J669">
        <v>3</v>
      </c>
      <c r="K669">
        <v>4</v>
      </c>
      <c r="L669">
        <v>1</v>
      </c>
      <c r="M669">
        <v>4</v>
      </c>
      <c r="N669" t="s">
        <v>33</v>
      </c>
      <c r="O669" t="s">
        <v>32</v>
      </c>
      <c r="P669">
        <v>19</v>
      </c>
      <c r="Q669">
        <v>18</v>
      </c>
      <c r="R669">
        <v>3</v>
      </c>
      <c r="S669" t="s">
        <v>33</v>
      </c>
      <c r="T669">
        <v>4</v>
      </c>
      <c r="U669" t="s">
        <v>33</v>
      </c>
      <c r="V669" s="1">
        <v>42465</v>
      </c>
      <c r="W669" s="1">
        <v>42692</v>
      </c>
      <c r="X669" s="1" t="str">
        <f t="shared" si="30"/>
        <v>2016-11-18</v>
      </c>
      <c r="Y669" t="str">
        <f t="shared" si="31"/>
        <v>36-45</v>
      </c>
      <c r="Z669" t="str">
        <f t="shared" si="32"/>
        <v>4-5 Years</v>
      </c>
    </row>
    <row r="670" spans="1:26" x14ac:dyDescent="0.35">
      <c r="A670" t="s">
        <v>726</v>
      </c>
      <c r="B670">
        <v>24</v>
      </c>
      <c r="C670" t="s">
        <v>27</v>
      </c>
      <c r="D670" t="s">
        <v>35</v>
      </c>
      <c r="E670" t="s">
        <v>85</v>
      </c>
      <c r="F670" t="s">
        <v>37</v>
      </c>
      <c r="G670">
        <v>56669</v>
      </c>
      <c r="H670">
        <v>1</v>
      </c>
      <c r="I670">
        <v>1</v>
      </c>
      <c r="J670">
        <v>2</v>
      </c>
      <c r="K670">
        <v>1</v>
      </c>
      <c r="L670">
        <v>2</v>
      </c>
      <c r="M670">
        <v>2</v>
      </c>
      <c r="N670" t="s">
        <v>31</v>
      </c>
      <c r="O670" t="s">
        <v>32</v>
      </c>
      <c r="P670">
        <v>6</v>
      </c>
      <c r="Q670">
        <v>27</v>
      </c>
      <c r="R670">
        <v>4</v>
      </c>
      <c r="S670" t="s">
        <v>31</v>
      </c>
      <c r="T670">
        <v>3</v>
      </c>
      <c r="U670" t="s">
        <v>31</v>
      </c>
      <c r="V670" s="1">
        <v>41006</v>
      </c>
      <c r="X670" s="1" t="str">
        <f t="shared" si="30"/>
        <v>Active</v>
      </c>
      <c r="Y670" t="str">
        <f t="shared" si="31"/>
        <v>18-25</v>
      </c>
      <c r="Z670" t="str">
        <f t="shared" si="32"/>
        <v>0-1 Year</v>
      </c>
    </row>
    <row r="671" spans="1:26" x14ac:dyDescent="0.35">
      <c r="A671" t="s">
        <v>727</v>
      </c>
      <c r="B671">
        <v>29</v>
      </c>
      <c r="C671" t="s">
        <v>44</v>
      </c>
      <c r="D671" t="s">
        <v>39</v>
      </c>
      <c r="E671" t="s">
        <v>40</v>
      </c>
      <c r="F671" t="s">
        <v>37</v>
      </c>
      <c r="G671">
        <v>79569</v>
      </c>
      <c r="H671">
        <v>5</v>
      </c>
      <c r="I671">
        <v>7</v>
      </c>
      <c r="J671">
        <v>3</v>
      </c>
      <c r="K671">
        <v>1</v>
      </c>
      <c r="L671">
        <v>1</v>
      </c>
      <c r="M671">
        <v>3</v>
      </c>
      <c r="N671" t="s">
        <v>31</v>
      </c>
      <c r="O671" t="s">
        <v>32</v>
      </c>
      <c r="P671">
        <v>28</v>
      </c>
      <c r="Q671">
        <v>28</v>
      </c>
      <c r="R671">
        <v>4</v>
      </c>
      <c r="S671" t="s">
        <v>31</v>
      </c>
      <c r="T671">
        <v>5</v>
      </c>
      <c r="U671" t="s">
        <v>31</v>
      </c>
      <c r="V671" s="1">
        <v>42146</v>
      </c>
      <c r="X671" s="1" t="str">
        <f t="shared" si="30"/>
        <v>Active</v>
      </c>
      <c r="Y671" t="str">
        <f t="shared" si="31"/>
        <v>26-35</v>
      </c>
      <c r="Z671" t="str">
        <f t="shared" si="32"/>
        <v>4-5 Years</v>
      </c>
    </row>
    <row r="672" spans="1:26" x14ac:dyDescent="0.35">
      <c r="A672" t="s">
        <v>728</v>
      </c>
      <c r="B672">
        <v>27</v>
      </c>
      <c r="C672" t="s">
        <v>44</v>
      </c>
      <c r="D672" t="s">
        <v>39</v>
      </c>
      <c r="E672" t="s">
        <v>40</v>
      </c>
      <c r="F672" t="s">
        <v>61</v>
      </c>
      <c r="G672">
        <v>84347</v>
      </c>
      <c r="H672">
        <v>5</v>
      </c>
      <c r="I672">
        <v>6</v>
      </c>
      <c r="J672">
        <v>3</v>
      </c>
      <c r="K672">
        <v>1</v>
      </c>
      <c r="L672">
        <v>4</v>
      </c>
      <c r="M672">
        <v>3</v>
      </c>
      <c r="N672" t="s">
        <v>31</v>
      </c>
      <c r="O672" t="s">
        <v>32</v>
      </c>
      <c r="P672">
        <v>5</v>
      </c>
      <c r="Q672">
        <v>26</v>
      </c>
      <c r="R672">
        <v>4</v>
      </c>
      <c r="S672" t="s">
        <v>33</v>
      </c>
      <c r="T672">
        <v>3</v>
      </c>
      <c r="U672" t="s">
        <v>31</v>
      </c>
      <c r="V672" s="1">
        <v>42911</v>
      </c>
      <c r="X672" s="1" t="str">
        <f t="shared" si="30"/>
        <v>Active</v>
      </c>
      <c r="Y672" t="str">
        <f t="shared" si="31"/>
        <v>26-35</v>
      </c>
      <c r="Z672" t="str">
        <f t="shared" si="32"/>
        <v>4-5 Years</v>
      </c>
    </row>
    <row r="673" spans="1:26" x14ac:dyDescent="0.35">
      <c r="A673" t="s">
        <v>729</v>
      </c>
      <c r="B673">
        <v>49</v>
      </c>
      <c r="C673" t="s">
        <v>27</v>
      </c>
      <c r="D673" t="s">
        <v>39</v>
      </c>
      <c r="E673" t="s">
        <v>74</v>
      </c>
      <c r="F673" t="s">
        <v>78</v>
      </c>
      <c r="G673">
        <v>144785</v>
      </c>
      <c r="H673">
        <v>21</v>
      </c>
      <c r="I673">
        <v>27</v>
      </c>
      <c r="J673">
        <v>5</v>
      </c>
      <c r="K673">
        <v>4</v>
      </c>
      <c r="L673">
        <v>3</v>
      </c>
      <c r="M673">
        <v>3</v>
      </c>
      <c r="N673" t="s">
        <v>33</v>
      </c>
      <c r="O673" t="s">
        <v>32</v>
      </c>
      <c r="P673">
        <v>20</v>
      </c>
      <c r="Q673">
        <v>47</v>
      </c>
      <c r="R673">
        <v>3</v>
      </c>
      <c r="S673" t="s">
        <v>33</v>
      </c>
      <c r="T673">
        <v>1</v>
      </c>
      <c r="U673" t="s">
        <v>33</v>
      </c>
      <c r="V673" s="1">
        <v>43656</v>
      </c>
      <c r="W673" s="1">
        <v>44390</v>
      </c>
      <c r="X673" s="1" t="str">
        <f t="shared" si="30"/>
        <v>2021-07-13</v>
      </c>
      <c r="Y673" t="str">
        <f t="shared" si="31"/>
        <v>46-55</v>
      </c>
      <c r="Z673" t="str">
        <f t="shared" si="32"/>
        <v>10+ Years</v>
      </c>
    </row>
    <row r="674" spans="1:26" x14ac:dyDescent="0.35">
      <c r="A674" t="s">
        <v>730</v>
      </c>
      <c r="B674">
        <v>33</v>
      </c>
      <c r="C674" t="s">
        <v>27</v>
      </c>
      <c r="D674" t="s">
        <v>49</v>
      </c>
      <c r="E674" t="s">
        <v>68</v>
      </c>
      <c r="F674" t="s">
        <v>41</v>
      </c>
      <c r="G674">
        <v>74884</v>
      </c>
      <c r="H674">
        <v>3</v>
      </c>
      <c r="I674">
        <v>11</v>
      </c>
      <c r="J674">
        <v>3</v>
      </c>
      <c r="K674">
        <v>3</v>
      </c>
      <c r="L674">
        <v>2</v>
      </c>
      <c r="M674">
        <v>2</v>
      </c>
      <c r="N674" t="s">
        <v>31</v>
      </c>
      <c r="O674" t="s">
        <v>32</v>
      </c>
      <c r="P674">
        <v>20</v>
      </c>
      <c r="Q674">
        <v>43</v>
      </c>
      <c r="R674">
        <v>3</v>
      </c>
      <c r="S674" t="s">
        <v>31</v>
      </c>
      <c r="T674">
        <v>2</v>
      </c>
      <c r="U674" t="s">
        <v>33</v>
      </c>
      <c r="V674" s="1">
        <v>43274</v>
      </c>
      <c r="W674" s="1">
        <v>44171</v>
      </c>
      <c r="X674" s="1" t="str">
        <f t="shared" si="30"/>
        <v>2020-12-06</v>
      </c>
      <c r="Y674" t="str">
        <f t="shared" si="31"/>
        <v>26-35</v>
      </c>
      <c r="Z674" t="str">
        <f t="shared" si="32"/>
        <v>2-3 Years</v>
      </c>
    </row>
    <row r="675" spans="1:26" x14ac:dyDescent="0.35">
      <c r="A675" t="s">
        <v>731</v>
      </c>
      <c r="B675">
        <v>52</v>
      </c>
      <c r="C675" t="s">
        <v>44</v>
      </c>
      <c r="D675" t="s">
        <v>35</v>
      </c>
      <c r="E675" t="s">
        <v>85</v>
      </c>
      <c r="F675" t="s">
        <v>56</v>
      </c>
      <c r="G675">
        <v>102131</v>
      </c>
      <c r="H675">
        <v>10</v>
      </c>
      <c r="I675">
        <v>30</v>
      </c>
      <c r="J675">
        <v>4</v>
      </c>
      <c r="K675">
        <v>1</v>
      </c>
      <c r="L675">
        <v>3</v>
      </c>
      <c r="M675">
        <v>2</v>
      </c>
      <c r="N675" t="s">
        <v>33</v>
      </c>
      <c r="O675" t="s">
        <v>32</v>
      </c>
      <c r="P675">
        <v>25</v>
      </c>
      <c r="Q675">
        <v>47</v>
      </c>
      <c r="R675">
        <v>4</v>
      </c>
      <c r="S675" t="s">
        <v>31</v>
      </c>
      <c r="T675">
        <v>1</v>
      </c>
      <c r="U675" t="s">
        <v>31</v>
      </c>
      <c r="V675" s="1">
        <v>41358</v>
      </c>
      <c r="X675" s="1" t="str">
        <f t="shared" si="30"/>
        <v>Active</v>
      </c>
      <c r="Y675" t="str">
        <f t="shared" si="31"/>
        <v>46-55</v>
      </c>
      <c r="Z675" t="str">
        <f t="shared" si="32"/>
        <v>6-10 Years</v>
      </c>
    </row>
    <row r="676" spans="1:26" x14ac:dyDescent="0.35">
      <c r="A676" t="s">
        <v>732</v>
      </c>
      <c r="B676">
        <v>56</v>
      </c>
      <c r="C676" t="s">
        <v>27</v>
      </c>
      <c r="D676" t="s">
        <v>28</v>
      </c>
      <c r="E676" t="s">
        <v>29</v>
      </c>
      <c r="F676" t="s">
        <v>37</v>
      </c>
      <c r="G676">
        <v>141571</v>
      </c>
      <c r="H676">
        <v>20</v>
      </c>
      <c r="I676">
        <v>34</v>
      </c>
      <c r="J676">
        <v>5</v>
      </c>
      <c r="K676">
        <v>1</v>
      </c>
      <c r="L676">
        <v>4</v>
      </c>
      <c r="M676">
        <v>1</v>
      </c>
      <c r="N676" t="s">
        <v>31</v>
      </c>
      <c r="O676" t="s">
        <v>32</v>
      </c>
      <c r="P676">
        <v>22</v>
      </c>
      <c r="Q676">
        <v>48</v>
      </c>
      <c r="R676">
        <v>2</v>
      </c>
      <c r="S676" t="s">
        <v>31</v>
      </c>
      <c r="T676">
        <v>6</v>
      </c>
      <c r="U676" t="s">
        <v>33</v>
      </c>
      <c r="V676" s="1">
        <v>43899</v>
      </c>
      <c r="W676" s="1">
        <v>44646</v>
      </c>
      <c r="X676" s="1" t="str">
        <f t="shared" si="30"/>
        <v>2022-03-26</v>
      </c>
      <c r="Y676" t="str">
        <f t="shared" si="31"/>
        <v>56+</v>
      </c>
      <c r="Z676" t="str">
        <f t="shared" si="32"/>
        <v>10+ Years</v>
      </c>
    </row>
    <row r="677" spans="1:26" x14ac:dyDescent="0.35">
      <c r="A677" t="s">
        <v>733</v>
      </c>
      <c r="B677">
        <v>30</v>
      </c>
      <c r="C677" t="s">
        <v>27</v>
      </c>
      <c r="D677" t="s">
        <v>28</v>
      </c>
      <c r="E677" t="s">
        <v>29</v>
      </c>
      <c r="F677" t="s">
        <v>41</v>
      </c>
      <c r="G677">
        <v>60527</v>
      </c>
      <c r="H677">
        <v>4</v>
      </c>
      <c r="I677">
        <v>6</v>
      </c>
      <c r="J677">
        <v>2</v>
      </c>
      <c r="K677">
        <v>2</v>
      </c>
      <c r="L677">
        <v>3</v>
      </c>
      <c r="M677">
        <v>2</v>
      </c>
      <c r="N677" t="s">
        <v>31</v>
      </c>
      <c r="O677" t="s">
        <v>32</v>
      </c>
      <c r="P677">
        <v>6</v>
      </c>
      <c r="Q677">
        <v>57</v>
      </c>
      <c r="R677">
        <v>3</v>
      </c>
      <c r="S677" t="s">
        <v>31</v>
      </c>
      <c r="T677">
        <v>4</v>
      </c>
      <c r="U677" t="s">
        <v>31</v>
      </c>
      <c r="V677" s="1">
        <v>41469</v>
      </c>
      <c r="X677" s="1" t="str">
        <f t="shared" si="30"/>
        <v>Active</v>
      </c>
      <c r="Y677" t="str">
        <f t="shared" si="31"/>
        <v>26-35</v>
      </c>
      <c r="Z677" t="str">
        <f t="shared" si="32"/>
        <v>4-5 Years</v>
      </c>
    </row>
    <row r="678" spans="1:26" x14ac:dyDescent="0.35">
      <c r="A678" t="s">
        <v>734</v>
      </c>
      <c r="B678">
        <v>35</v>
      </c>
      <c r="C678" t="s">
        <v>44</v>
      </c>
      <c r="D678" t="s">
        <v>28</v>
      </c>
      <c r="E678" t="s">
        <v>66</v>
      </c>
      <c r="F678" t="s">
        <v>61</v>
      </c>
      <c r="G678">
        <v>102963</v>
      </c>
      <c r="H678">
        <v>8</v>
      </c>
      <c r="I678">
        <v>14</v>
      </c>
      <c r="J678">
        <v>4</v>
      </c>
      <c r="K678">
        <v>4</v>
      </c>
      <c r="L678">
        <v>1</v>
      </c>
      <c r="M678">
        <v>4</v>
      </c>
      <c r="N678" t="s">
        <v>33</v>
      </c>
      <c r="O678" t="s">
        <v>32</v>
      </c>
      <c r="P678">
        <v>11</v>
      </c>
      <c r="Q678">
        <v>16</v>
      </c>
      <c r="R678">
        <v>3</v>
      </c>
      <c r="S678" t="s">
        <v>31</v>
      </c>
      <c r="T678">
        <v>8</v>
      </c>
      <c r="U678" t="s">
        <v>31</v>
      </c>
      <c r="V678" s="1">
        <v>43727</v>
      </c>
      <c r="X678" s="1" t="str">
        <f t="shared" si="30"/>
        <v>Active</v>
      </c>
      <c r="Y678" t="str">
        <f t="shared" si="31"/>
        <v>26-35</v>
      </c>
      <c r="Z678" t="str">
        <f t="shared" si="32"/>
        <v>6-10 Years</v>
      </c>
    </row>
    <row r="679" spans="1:26" x14ac:dyDescent="0.35">
      <c r="A679" t="s">
        <v>735</v>
      </c>
      <c r="B679">
        <v>35</v>
      </c>
      <c r="C679" t="s">
        <v>27</v>
      </c>
      <c r="D679" t="s">
        <v>52</v>
      </c>
      <c r="E679" t="s">
        <v>55</v>
      </c>
      <c r="F679" t="s">
        <v>56</v>
      </c>
      <c r="G679">
        <v>116516</v>
      </c>
      <c r="H679">
        <v>9</v>
      </c>
      <c r="I679">
        <v>13</v>
      </c>
      <c r="J679">
        <v>5</v>
      </c>
      <c r="K679">
        <v>2</v>
      </c>
      <c r="L679">
        <v>1</v>
      </c>
      <c r="M679">
        <v>3</v>
      </c>
      <c r="N679" t="s">
        <v>31</v>
      </c>
      <c r="O679" t="s">
        <v>42</v>
      </c>
      <c r="P679">
        <v>19</v>
      </c>
      <c r="Q679">
        <v>48</v>
      </c>
      <c r="R679">
        <v>3</v>
      </c>
      <c r="S679" t="s">
        <v>31</v>
      </c>
      <c r="T679">
        <v>7</v>
      </c>
      <c r="U679" t="s">
        <v>31</v>
      </c>
      <c r="V679" s="1">
        <v>43290</v>
      </c>
      <c r="X679" s="1" t="str">
        <f t="shared" si="30"/>
        <v>Active</v>
      </c>
      <c r="Y679" t="str">
        <f t="shared" si="31"/>
        <v>26-35</v>
      </c>
      <c r="Z679" t="str">
        <f t="shared" si="32"/>
        <v>6-10 Years</v>
      </c>
    </row>
    <row r="680" spans="1:26" x14ac:dyDescent="0.35">
      <c r="A680" t="s">
        <v>736</v>
      </c>
      <c r="B680">
        <v>55</v>
      </c>
      <c r="C680" t="s">
        <v>27</v>
      </c>
      <c r="D680" t="s">
        <v>45</v>
      </c>
      <c r="E680" t="s">
        <v>63</v>
      </c>
      <c r="F680" t="s">
        <v>61</v>
      </c>
      <c r="G680">
        <v>162454</v>
      </c>
      <c r="H680">
        <v>30</v>
      </c>
      <c r="I680">
        <v>34</v>
      </c>
      <c r="J680">
        <v>5</v>
      </c>
      <c r="K680">
        <v>3</v>
      </c>
      <c r="L680">
        <v>4</v>
      </c>
      <c r="M680">
        <v>3</v>
      </c>
      <c r="N680" t="s">
        <v>31</v>
      </c>
      <c r="O680" t="s">
        <v>32</v>
      </c>
      <c r="P680">
        <v>23</v>
      </c>
      <c r="Q680">
        <v>49</v>
      </c>
      <c r="R680">
        <v>3</v>
      </c>
      <c r="S680" t="s">
        <v>31</v>
      </c>
      <c r="T680">
        <v>5</v>
      </c>
      <c r="U680" t="s">
        <v>31</v>
      </c>
      <c r="V680" s="1">
        <v>43577</v>
      </c>
      <c r="X680" s="1" t="str">
        <f t="shared" si="30"/>
        <v>Active</v>
      </c>
      <c r="Y680" t="str">
        <f t="shared" si="31"/>
        <v>46-55</v>
      </c>
      <c r="Z680" t="str">
        <f t="shared" si="32"/>
        <v>10+ Years</v>
      </c>
    </row>
    <row r="681" spans="1:26" x14ac:dyDescent="0.35">
      <c r="A681" t="s">
        <v>737</v>
      </c>
      <c r="B681">
        <v>30</v>
      </c>
      <c r="C681" t="s">
        <v>27</v>
      </c>
      <c r="D681" t="s">
        <v>45</v>
      </c>
      <c r="E681" t="s">
        <v>63</v>
      </c>
      <c r="F681" t="s">
        <v>37</v>
      </c>
      <c r="G681">
        <v>75906</v>
      </c>
      <c r="H681">
        <v>3</v>
      </c>
      <c r="I681">
        <v>7</v>
      </c>
      <c r="J681">
        <v>3</v>
      </c>
      <c r="K681">
        <v>2</v>
      </c>
      <c r="L681">
        <v>4</v>
      </c>
      <c r="M681">
        <v>2</v>
      </c>
      <c r="N681" t="s">
        <v>31</v>
      </c>
      <c r="O681" t="s">
        <v>32</v>
      </c>
      <c r="P681">
        <v>4</v>
      </c>
      <c r="Q681">
        <v>45</v>
      </c>
      <c r="R681">
        <v>2</v>
      </c>
      <c r="S681" t="s">
        <v>31</v>
      </c>
      <c r="T681">
        <v>5</v>
      </c>
      <c r="U681" t="s">
        <v>33</v>
      </c>
      <c r="V681" s="1">
        <v>41722</v>
      </c>
      <c r="W681" s="1">
        <v>42000</v>
      </c>
      <c r="X681" s="1" t="str">
        <f t="shared" si="30"/>
        <v>2014-12-27</v>
      </c>
      <c r="Y681" t="str">
        <f t="shared" si="31"/>
        <v>26-35</v>
      </c>
      <c r="Z681" t="str">
        <f t="shared" si="32"/>
        <v>2-3 Years</v>
      </c>
    </row>
    <row r="682" spans="1:26" x14ac:dyDescent="0.35">
      <c r="A682" t="s">
        <v>738</v>
      </c>
      <c r="B682">
        <v>56</v>
      </c>
      <c r="C682" t="s">
        <v>27</v>
      </c>
      <c r="D682" t="s">
        <v>39</v>
      </c>
      <c r="E682" t="s">
        <v>74</v>
      </c>
      <c r="F682" t="s">
        <v>56</v>
      </c>
      <c r="G682">
        <v>106558</v>
      </c>
      <c r="H682">
        <v>10</v>
      </c>
      <c r="I682">
        <v>32</v>
      </c>
      <c r="J682">
        <v>4</v>
      </c>
      <c r="K682">
        <v>2</v>
      </c>
      <c r="L682">
        <v>4</v>
      </c>
      <c r="M682">
        <v>2</v>
      </c>
      <c r="N682" t="s">
        <v>31</v>
      </c>
      <c r="O682" t="s">
        <v>32</v>
      </c>
      <c r="P682">
        <v>13</v>
      </c>
      <c r="Q682">
        <v>42</v>
      </c>
      <c r="R682">
        <v>3</v>
      </c>
      <c r="S682" t="s">
        <v>33</v>
      </c>
      <c r="T682">
        <v>5</v>
      </c>
      <c r="U682" t="s">
        <v>31</v>
      </c>
      <c r="V682" s="1">
        <v>44479</v>
      </c>
      <c r="X682" s="1" t="str">
        <f t="shared" si="30"/>
        <v>Active</v>
      </c>
      <c r="Y682" t="str">
        <f t="shared" si="31"/>
        <v>56+</v>
      </c>
      <c r="Z682" t="str">
        <f t="shared" si="32"/>
        <v>6-10 Years</v>
      </c>
    </row>
    <row r="683" spans="1:26" x14ac:dyDescent="0.35">
      <c r="A683" t="s">
        <v>739</v>
      </c>
      <c r="B683">
        <v>59</v>
      </c>
      <c r="C683" t="s">
        <v>27</v>
      </c>
      <c r="D683" t="s">
        <v>39</v>
      </c>
      <c r="E683" t="s">
        <v>59</v>
      </c>
      <c r="F683" t="s">
        <v>30</v>
      </c>
      <c r="G683">
        <v>40471</v>
      </c>
      <c r="H683">
        <v>0</v>
      </c>
      <c r="I683">
        <v>37</v>
      </c>
      <c r="J683">
        <v>1</v>
      </c>
      <c r="K683">
        <v>2</v>
      </c>
      <c r="L683">
        <v>3</v>
      </c>
      <c r="M683">
        <v>3</v>
      </c>
      <c r="N683" t="s">
        <v>31</v>
      </c>
      <c r="O683" t="s">
        <v>32</v>
      </c>
      <c r="P683">
        <v>17</v>
      </c>
      <c r="Q683">
        <v>34</v>
      </c>
      <c r="R683">
        <v>2</v>
      </c>
      <c r="S683" t="s">
        <v>31</v>
      </c>
      <c r="T683">
        <v>5</v>
      </c>
      <c r="U683" t="s">
        <v>31</v>
      </c>
      <c r="V683" s="1">
        <v>40912</v>
      </c>
      <c r="X683" s="1" t="str">
        <f t="shared" si="30"/>
        <v>Active</v>
      </c>
      <c r="Y683" t="str">
        <f t="shared" si="31"/>
        <v>56+</v>
      </c>
      <c r="Z683" t="str">
        <f t="shared" si="32"/>
        <v>0-1 Year</v>
      </c>
    </row>
    <row r="684" spans="1:26" x14ac:dyDescent="0.35">
      <c r="A684" t="s">
        <v>740</v>
      </c>
      <c r="B684">
        <v>24</v>
      </c>
      <c r="C684" t="s">
        <v>44</v>
      </c>
      <c r="D684" t="s">
        <v>49</v>
      </c>
      <c r="E684" t="s">
        <v>50</v>
      </c>
      <c r="F684" t="s">
        <v>30</v>
      </c>
      <c r="G684">
        <v>58687</v>
      </c>
      <c r="H684">
        <v>0</v>
      </c>
      <c r="I684">
        <v>3</v>
      </c>
      <c r="J684">
        <v>2</v>
      </c>
      <c r="K684">
        <v>4</v>
      </c>
      <c r="L684">
        <v>3</v>
      </c>
      <c r="M684">
        <v>1</v>
      </c>
      <c r="N684" t="s">
        <v>31</v>
      </c>
      <c r="O684" t="s">
        <v>32</v>
      </c>
      <c r="P684">
        <v>22</v>
      </c>
      <c r="Q684">
        <v>27</v>
      </c>
      <c r="R684">
        <v>3</v>
      </c>
      <c r="S684" t="s">
        <v>31</v>
      </c>
      <c r="T684">
        <v>4</v>
      </c>
      <c r="U684" t="s">
        <v>31</v>
      </c>
      <c r="V684" s="1">
        <v>44221</v>
      </c>
      <c r="X684" s="1" t="str">
        <f t="shared" si="30"/>
        <v>Active</v>
      </c>
      <c r="Y684" t="str">
        <f t="shared" si="31"/>
        <v>18-25</v>
      </c>
      <c r="Z684" t="str">
        <f t="shared" si="32"/>
        <v>0-1 Year</v>
      </c>
    </row>
    <row r="685" spans="1:26" x14ac:dyDescent="0.35">
      <c r="A685" t="s">
        <v>741</v>
      </c>
      <c r="B685">
        <v>31</v>
      </c>
      <c r="C685" t="s">
        <v>44</v>
      </c>
      <c r="D685" t="s">
        <v>35</v>
      </c>
      <c r="E685" t="s">
        <v>85</v>
      </c>
      <c r="F685" t="s">
        <v>61</v>
      </c>
      <c r="G685">
        <v>100670</v>
      </c>
      <c r="H685">
        <v>6</v>
      </c>
      <c r="I685">
        <v>9</v>
      </c>
      <c r="J685">
        <v>4</v>
      </c>
      <c r="K685">
        <v>4</v>
      </c>
      <c r="L685">
        <v>1</v>
      </c>
      <c r="M685">
        <v>2</v>
      </c>
      <c r="N685" t="s">
        <v>31</v>
      </c>
      <c r="O685" t="s">
        <v>47</v>
      </c>
      <c r="P685">
        <v>2</v>
      </c>
      <c r="Q685">
        <v>44</v>
      </c>
      <c r="R685">
        <v>3</v>
      </c>
      <c r="S685" t="s">
        <v>33</v>
      </c>
      <c r="T685">
        <v>1</v>
      </c>
      <c r="U685" t="s">
        <v>31</v>
      </c>
      <c r="V685" s="1">
        <v>42325</v>
      </c>
      <c r="X685" s="1" t="str">
        <f t="shared" si="30"/>
        <v>Active</v>
      </c>
      <c r="Y685" t="str">
        <f t="shared" si="31"/>
        <v>26-35</v>
      </c>
      <c r="Z685" t="str">
        <f t="shared" si="32"/>
        <v>6-10 Years</v>
      </c>
    </row>
    <row r="686" spans="1:26" x14ac:dyDescent="0.35">
      <c r="A686" t="s">
        <v>742</v>
      </c>
      <c r="B686">
        <v>52</v>
      </c>
      <c r="C686" t="s">
        <v>27</v>
      </c>
      <c r="D686" t="s">
        <v>28</v>
      </c>
      <c r="E686" t="s">
        <v>66</v>
      </c>
      <c r="F686" t="s">
        <v>37</v>
      </c>
      <c r="G686">
        <v>117503</v>
      </c>
      <c r="H686">
        <v>9</v>
      </c>
      <c r="I686">
        <v>30</v>
      </c>
      <c r="J686">
        <v>5</v>
      </c>
      <c r="K686">
        <v>4</v>
      </c>
      <c r="L686">
        <v>3</v>
      </c>
      <c r="M686">
        <v>2</v>
      </c>
      <c r="N686" t="s">
        <v>33</v>
      </c>
      <c r="O686" t="s">
        <v>32</v>
      </c>
      <c r="P686">
        <v>22</v>
      </c>
      <c r="Q686">
        <v>37</v>
      </c>
      <c r="R686">
        <v>3</v>
      </c>
      <c r="S686" t="s">
        <v>31</v>
      </c>
      <c r="T686">
        <v>7</v>
      </c>
      <c r="U686" t="s">
        <v>31</v>
      </c>
      <c r="V686" s="1">
        <v>42159</v>
      </c>
      <c r="X686" s="1" t="str">
        <f t="shared" si="30"/>
        <v>Active</v>
      </c>
      <c r="Y686" t="str">
        <f t="shared" si="31"/>
        <v>46-55</v>
      </c>
      <c r="Z686" t="str">
        <f t="shared" si="32"/>
        <v>6-10 Years</v>
      </c>
    </row>
    <row r="687" spans="1:26" x14ac:dyDescent="0.35">
      <c r="A687" t="s">
        <v>743</v>
      </c>
      <c r="B687">
        <v>49</v>
      </c>
      <c r="C687" t="s">
        <v>27</v>
      </c>
      <c r="D687" t="s">
        <v>45</v>
      </c>
      <c r="E687" t="s">
        <v>46</v>
      </c>
      <c r="F687" t="s">
        <v>61</v>
      </c>
      <c r="G687">
        <v>90213</v>
      </c>
      <c r="H687">
        <v>8</v>
      </c>
      <c r="I687">
        <v>26</v>
      </c>
      <c r="J687">
        <v>3</v>
      </c>
      <c r="K687">
        <v>1</v>
      </c>
      <c r="L687">
        <v>1</v>
      </c>
      <c r="M687">
        <v>2</v>
      </c>
      <c r="N687" t="s">
        <v>33</v>
      </c>
      <c r="O687" t="s">
        <v>42</v>
      </c>
      <c r="P687">
        <v>24</v>
      </c>
      <c r="Q687">
        <v>12</v>
      </c>
      <c r="R687">
        <v>2</v>
      </c>
      <c r="S687" t="s">
        <v>31</v>
      </c>
      <c r="T687">
        <v>4</v>
      </c>
      <c r="U687" t="s">
        <v>31</v>
      </c>
      <c r="V687" s="1">
        <v>42401</v>
      </c>
      <c r="X687" s="1" t="str">
        <f t="shared" si="30"/>
        <v>Active</v>
      </c>
      <c r="Y687" t="str">
        <f t="shared" si="31"/>
        <v>46-55</v>
      </c>
      <c r="Z687" t="str">
        <f t="shared" si="32"/>
        <v>6-10 Years</v>
      </c>
    </row>
    <row r="688" spans="1:26" x14ac:dyDescent="0.35">
      <c r="A688" t="s">
        <v>744</v>
      </c>
      <c r="B688">
        <v>28</v>
      </c>
      <c r="C688" t="s">
        <v>44</v>
      </c>
      <c r="D688" t="s">
        <v>49</v>
      </c>
      <c r="E688" t="s">
        <v>68</v>
      </c>
      <c r="F688" t="s">
        <v>61</v>
      </c>
      <c r="G688">
        <v>86720</v>
      </c>
      <c r="H688">
        <v>6</v>
      </c>
      <c r="I688">
        <v>7</v>
      </c>
      <c r="J688">
        <v>3</v>
      </c>
      <c r="K688">
        <v>1</v>
      </c>
      <c r="L688">
        <v>4</v>
      </c>
      <c r="M688">
        <v>1</v>
      </c>
      <c r="N688" t="s">
        <v>31</v>
      </c>
      <c r="O688" t="s">
        <v>32</v>
      </c>
      <c r="P688">
        <v>19</v>
      </c>
      <c r="Q688">
        <v>52</v>
      </c>
      <c r="R688">
        <v>3</v>
      </c>
      <c r="S688" t="s">
        <v>33</v>
      </c>
      <c r="T688">
        <v>5</v>
      </c>
      <c r="U688" t="s">
        <v>33</v>
      </c>
      <c r="V688" s="1">
        <v>42060</v>
      </c>
      <c r="W688" s="1">
        <v>42858</v>
      </c>
      <c r="X688" s="1" t="str">
        <f t="shared" si="30"/>
        <v>2017-05-03</v>
      </c>
      <c r="Y688" t="str">
        <f t="shared" si="31"/>
        <v>26-35</v>
      </c>
      <c r="Z688" t="str">
        <f t="shared" si="32"/>
        <v>6-10 Years</v>
      </c>
    </row>
    <row r="689" spans="1:26" x14ac:dyDescent="0.35">
      <c r="A689" t="s">
        <v>745</v>
      </c>
      <c r="B689">
        <v>34</v>
      </c>
      <c r="C689" t="s">
        <v>44</v>
      </c>
      <c r="D689" t="s">
        <v>28</v>
      </c>
      <c r="E689" t="s">
        <v>29</v>
      </c>
      <c r="F689" t="s">
        <v>56</v>
      </c>
      <c r="G689">
        <v>103332</v>
      </c>
      <c r="H689">
        <v>10</v>
      </c>
      <c r="I689">
        <v>12</v>
      </c>
      <c r="J689">
        <v>4</v>
      </c>
      <c r="K689">
        <v>4</v>
      </c>
      <c r="L689">
        <v>1</v>
      </c>
      <c r="M689">
        <v>3</v>
      </c>
      <c r="N689" t="s">
        <v>31</v>
      </c>
      <c r="O689" t="s">
        <v>47</v>
      </c>
      <c r="P689">
        <v>28</v>
      </c>
      <c r="Q689">
        <v>53</v>
      </c>
      <c r="R689">
        <v>3</v>
      </c>
      <c r="S689" t="s">
        <v>31</v>
      </c>
      <c r="T689">
        <v>5</v>
      </c>
      <c r="U689" t="s">
        <v>31</v>
      </c>
      <c r="V689" s="1">
        <v>41690</v>
      </c>
      <c r="X689" s="1" t="str">
        <f t="shared" si="30"/>
        <v>Active</v>
      </c>
      <c r="Y689" t="str">
        <f t="shared" si="31"/>
        <v>26-35</v>
      </c>
      <c r="Z689" t="str">
        <f t="shared" si="32"/>
        <v>6-10 Years</v>
      </c>
    </row>
    <row r="690" spans="1:26" x14ac:dyDescent="0.35">
      <c r="A690" t="s">
        <v>746</v>
      </c>
      <c r="B690">
        <v>47</v>
      </c>
      <c r="C690" t="s">
        <v>27</v>
      </c>
      <c r="D690" t="s">
        <v>45</v>
      </c>
      <c r="E690" t="s">
        <v>46</v>
      </c>
      <c r="F690" t="s">
        <v>61</v>
      </c>
      <c r="G690">
        <v>78839</v>
      </c>
      <c r="H690">
        <v>3</v>
      </c>
      <c r="I690">
        <v>23</v>
      </c>
      <c r="J690">
        <v>3</v>
      </c>
      <c r="K690">
        <v>1</v>
      </c>
      <c r="L690">
        <v>3</v>
      </c>
      <c r="M690">
        <v>3</v>
      </c>
      <c r="N690" t="s">
        <v>33</v>
      </c>
      <c r="O690" t="s">
        <v>32</v>
      </c>
      <c r="P690">
        <v>9</v>
      </c>
      <c r="Q690">
        <v>53</v>
      </c>
      <c r="R690">
        <v>3</v>
      </c>
      <c r="S690" t="s">
        <v>31</v>
      </c>
      <c r="T690">
        <v>5</v>
      </c>
      <c r="U690" t="s">
        <v>31</v>
      </c>
      <c r="V690" s="1">
        <v>41311</v>
      </c>
      <c r="X690" s="1" t="str">
        <f t="shared" si="30"/>
        <v>Active</v>
      </c>
      <c r="Y690" t="str">
        <f t="shared" si="31"/>
        <v>46-55</v>
      </c>
      <c r="Z690" t="str">
        <f t="shared" si="32"/>
        <v>2-3 Years</v>
      </c>
    </row>
    <row r="691" spans="1:26" x14ac:dyDescent="0.35">
      <c r="A691" t="s">
        <v>747</v>
      </c>
      <c r="B691">
        <v>23</v>
      </c>
      <c r="C691" t="s">
        <v>27</v>
      </c>
      <c r="D691" t="s">
        <v>45</v>
      </c>
      <c r="E691" t="s">
        <v>46</v>
      </c>
      <c r="F691" t="s">
        <v>56</v>
      </c>
      <c r="G691">
        <v>58675</v>
      </c>
      <c r="H691">
        <v>2</v>
      </c>
      <c r="I691">
        <v>2</v>
      </c>
      <c r="J691">
        <v>2</v>
      </c>
      <c r="K691">
        <v>1</v>
      </c>
      <c r="L691">
        <v>3</v>
      </c>
      <c r="M691">
        <v>1</v>
      </c>
      <c r="N691" t="s">
        <v>31</v>
      </c>
      <c r="O691" t="s">
        <v>42</v>
      </c>
      <c r="P691">
        <v>21</v>
      </c>
      <c r="Q691">
        <v>57</v>
      </c>
      <c r="R691">
        <v>3</v>
      </c>
      <c r="S691" t="s">
        <v>31</v>
      </c>
      <c r="T691">
        <v>3</v>
      </c>
      <c r="U691" t="s">
        <v>31</v>
      </c>
      <c r="V691" s="1">
        <v>42369</v>
      </c>
      <c r="X691" s="1" t="str">
        <f t="shared" si="30"/>
        <v>Active</v>
      </c>
      <c r="Y691" t="str">
        <f t="shared" si="31"/>
        <v>18-25</v>
      </c>
      <c r="Z691" t="str">
        <f t="shared" si="32"/>
        <v>2-3 Years</v>
      </c>
    </row>
    <row r="692" spans="1:26" x14ac:dyDescent="0.35">
      <c r="A692" t="s">
        <v>748</v>
      </c>
      <c r="B692">
        <v>52</v>
      </c>
      <c r="C692" t="s">
        <v>27</v>
      </c>
      <c r="D692" t="s">
        <v>52</v>
      </c>
      <c r="E692" t="s">
        <v>53</v>
      </c>
      <c r="F692" t="s">
        <v>56</v>
      </c>
      <c r="G692">
        <v>147271</v>
      </c>
      <c r="H692">
        <v>25</v>
      </c>
      <c r="I692">
        <v>30</v>
      </c>
      <c r="J692">
        <v>5</v>
      </c>
      <c r="K692">
        <v>1</v>
      </c>
      <c r="L692">
        <v>3</v>
      </c>
      <c r="M692">
        <v>2</v>
      </c>
      <c r="N692" t="s">
        <v>31</v>
      </c>
      <c r="O692" t="s">
        <v>32</v>
      </c>
      <c r="P692">
        <v>11</v>
      </c>
      <c r="Q692">
        <v>34</v>
      </c>
      <c r="R692">
        <v>4</v>
      </c>
      <c r="S692" t="s">
        <v>31</v>
      </c>
      <c r="T692">
        <v>7</v>
      </c>
      <c r="U692" t="s">
        <v>33</v>
      </c>
      <c r="V692" s="1">
        <v>44542</v>
      </c>
      <c r="W692" s="1">
        <v>45013</v>
      </c>
      <c r="X692" s="1" t="str">
        <f t="shared" si="30"/>
        <v>2023-03-28</v>
      </c>
      <c r="Y692" t="str">
        <f t="shared" si="31"/>
        <v>46-55</v>
      </c>
      <c r="Z692" t="str">
        <f t="shared" si="32"/>
        <v>10+ Years</v>
      </c>
    </row>
    <row r="693" spans="1:26" x14ac:dyDescent="0.35">
      <c r="A693" t="s">
        <v>749</v>
      </c>
      <c r="B693">
        <v>37</v>
      </c>
      <c r="C693" t="s">
        <v>44</v>
      </c>
      <c r="D693" t="s">
        <v>49</v>
      </c>
      <c r="E693" t="s">
        <v>50</v>
      </c>
      <c r="F693" t="s">
        <v>41</v>
      </c>
      <c r="G693">
        <v>81637</v>
      </c>
      <c r="H693">
        <v>7</v>
      </c>
      <c r="I693">
        <v>16</v>
      </c>
      <c r="J693">
        <v>3</v>
      </c>
      <c r="K693">
        <v>1</v>
      </c>
      <c r="L693">
        <v>3</v>
      </c>
      <c r="M693">
        <v>1</v>
      </c>
      <c r="N693" t="s">
        <v>31</v>
      </c>
      <c r="O693" t="s">
        <v>32</v>
      </c>
      <c r="P693">
        <v>11</v>
      </c>
      <c r="Q693">
        <v>42</v>
      </c>
      <c r="R693">
        <v>3</v>
      </c>
      <c r="S693" t="s">
        <v>33</v>
      </c>
      <c r="T693">
        <v>7</v>
      </c>
      <c r="U693" t="s">
        <v>33</v>
      </c>
      <c r="V693" s="1">
        <v>42658</v>
      </c>
      <c r="W693" s="1">
        <v>43204</v>
      </c>
      <c r="X693" s="1" t="str">
        <f t="shared" si="30"/>
        <v>2018-04-14</v>
      </c>
      <c r="Y693" t="str">
        <f t="shared" si="31"/>
        <v>36-45</v>
      </c>
      <c r="Z693" t="str">
        <f t="shared" si="32"/>
        <v>6-10 Years</v>
      </c>
    </row>
    <row r="694" spans="1:26" x14ac:dyDescent="0.35">
      <c r="A694" t="s">
        <v>750</v>
      </c>
      <c r="B694">
        <v>25</v>
      </c>
      <c r="C694" t="s">
        <v>44</v>
      </c>
      <c r="D694" t="s">
        <v>49</v>
      </c>
      <c r="E694" t="s">
        <v>68</v>
      </c>
      <c r="F694" t="s">
        <v>30</v>
      </c>
      <c r="G694">
        <v>46692</v>
      </c>
      <c r="H694">
        <v>2</v>
      </c>
      <c r="I694">
        <v>3</v>
      </c>
      <c r="J694">
        <v>1</v>
      </c>
      <c r="K694">
        <v>3</v>
      </c>
      <c r="L694">
        <v>2</v>
      </c>
      <c r="M694">
        <v>3</v>
      </c>
      <c r="N694" t="s">
        <v>31</v>
      </c>
      <c r="O694" t="s">
        <v>32</v>
      </c>
      <c r="P694">
        <v>8</v>
      </c>
      <c r="Q694">
        <v>41</v>
      </c>
      <c r="R694">
        <v>2</v>
      </c>
      <c r="S694" t="s">
        <v>31</v>
      </c>
      <c r="T694">
        <v>7</v>
      </c>
      <c r="U694" t="s">
        <v>31</v>
      </c>
      <c r="V694" s="1">
        <v>43056</v>
      </c>
      <c r="X694" s="1" t="str">
        <f t="shared" si="30"/>
        <v>Active</v>
      </c>
      <c r="Y694" t="str">
        <f t="shared" si="31"/>
        <v>18-25</v>
      </c>
      <c r="Z694" t="str">
        <f t="shared" si="32"/>
        <v>2-3 Years</v>
      </c>
    </row>
    <row r="695" spans="1:26" x14ac:dyDescent="0.35">
      <c r="A695" t="s">
        <v>751</v>
      </c>
      <c r="B695">
        <v>24</v>
      </c>
      <c r="C695" t="s">
        <v>27</v>
      </c>
      <c r="D695" t="s">
        <v>28</v>
      </c>
      <c r="E695" t="s">
        <v>66</v>
      </c>
      <c r="F695" t="s">
        <v>30</v>
      </c>
      <c r="G695">
        <v>61435</v>
      </c>
      <c r="H695">
        <v>1</v>
      </c>
      <c r="I695">
        <v>3</v>
      </c>
      <c r="J695">
        <v>2</v>
      </c>
      <c r="K695">
        <v>4</v>
      </c>
      <c r="L695">
        <v>2</v>
      </c>
      <c r="M695">
        <v>2</v>
      </c>
      <c r="N695" t="s">
        <v>31</v>
      </c>
      <c r="O695" t="s">
        <v>32</v>
      </c>
      <c r="P695">
        <v>26</v>
      </c>
      <c r="Q695">
        <v>42</v>
      </c>
      <c r="R695">
        <v>2</v>
      </c>
      <c r="S695" t="s">
        <v>31</v>
      </c>
      <c r="T695">
        <v>9</v>
      </c>
      <c r="U695" t="s">
        <v>31</v>
      </c>
      <c r="V695" s="1">
        <v>44314</v>
      </c>
      <c r="X695" s="1" t="str">
        <f t="shared" si="30"/>
        <v>Active</v>
      </c>
      <c r="Y695" t="str">
        <f t="shared" si="31"/>
        <v>18-25</v>
      </c>
      <c r="Z695" t="str">
        <f t="shared" si="32"/>
        <v>0-1 Year</v>
      </c>
    </row>
    <row r="696" spans="1:26" x14ac:dyDescent="0.35">
      <c r="A696" t="s">
        <v>752</v>
      </c>
      <c r="B696">
        <v>32</v>
      </c>
      <c r="C696" t="s">
        <v>27</v>
      </c>
      <c r="D696" t="s">
        <v>39</v>
      </c>
      <c r="E696" t="s">
        <v>59</v>
      </c>
      <c r="F696" t="s">
        <v>30</v>
      </c>
      <c r="G696">
        <v>64180</v>
      </c>
      <c r="H696">
        <v>5</v>
      </c>
      <c r="I696">
        <v>10</v>
      </c>
      <c r="J696">
        <v>2</v>
      </c>
      <c r="K696">
        <v>1</v>
      </c>
      <c r="L696">
        <v>3</v>
      </c>
      <c r="M696">
        <v>3</v>
      </c>
      <c r="N696" t="s">
        <v>31</v>
      </c>
      <c r="O696" t="s">
        <v>32</v>
      </c>
      <c r="P696">
        <v>14</v>
      </c>
      <c r="Q696">
        <v>58</v>
      </c>
      <c r="R696">
        <v>3</v>
      </c>
      <c r="S696" t="s">
        <v>31</v>
      </c>
      <c r="T696">
        <v>4</v>
      </c>
      <c r="U696" t="s">
        <v>31</v>
      </c>
      <c r="V696" s="1">
        <v>43157</v>
      </c>
      <c r="X696" s="1" t="str">
        <f t="shared" si="30"/>
        <v>Active</v>
      </c>
      <c r="Y696" t="str">
        <f t="shared" si="31"/>
        <v>26-35</v>
      </c>
      <c r="Z696" t="str">
        <f t="shared" si="32"/>
        <v>4-5 Years</v>
      </c>
    </row>
    <row r="697" spans="1:26" x14ac:dyDescent="0.35">
      <c r="A697" t="s">
        <v>753</v>
      </c>
      <c r="B697">
        <v>26</v>
      </c>
      <c r="C697" t="s">
        <v>27</v>
      </c>
      <c r="D697" t="s">
        <v>39</v>
      </c>
      <c r="E697" t="s">
        <v>59</v>
      </c>
      <c r="F697" t="s">
        <v>78</v>
      </c>
      <c r="G697">
        <v>54076</v>
      </c>
      <c r="H697">
        <v>0</v>
      </c>
      <c r="I697">
        <v>5</v>
      </c>
      <c r="J697">
        <v>2</v>
      </c>
      <c r="K697">
        <v>2</v>
      </c>
      <c r="L697">
        <v>1</v>
      </c>
      <c r="M697">
        <v>2</v>
      </c>
      <c r="N697" t="s">
        <v>33</v>
      </c>
      <c r="O697" t="s">
        <v>32</v>
      </c>
      <c r="P697">
        <v>13</v>
      </c>
      <c r="Q697">
        <v>47</v>
      </c>
      <c r="R697">
        <v>2</v>
      </c>
      <c r="S697" t="s">
        <v>31</v>
      </c>
      <c r="T697">
        <v>2</v>
      </c>
      <c r="U697" t="s">
        <v>31</v>
      </c>
      <c r="V697" s="1">
        <v>40941</v>
      </c>
      <c r="X697" s="1" t="str">
        <f t="shared" si="30"/>
        <v>Active</v>
      </c>
      <c r="Y697" t="str">
        <f t="shared" si="31"/>
        <v>26-35</v>
      </c>
      <c r="Z697" t="str">
        <f t="shared" si="32"/>
        <v>0-1 Year</v>
      </c>
    </row>
    <row r="698" spans="1:26" x14ac:dyDescent="0.35">
      <c r="A698" t="s">
        <v>754</v>
      </c>
      <c r="B698">
        <v>28</v>
      </c>
      <c r="C698" t="s">
        <v>27</v>
      </c>
      <c r="D698" t="s">
        <v>28</v>
      </c>
      <c r="E698" t="s">
        <v>66</v>
      </c>
      <c r="F698" t="s">
        <v>78</v>
      </c>
      <c r="G698">
        <v>39871</v>
      </c>
      <c r="H698">
        <v>0</v>
      </c>
      <c r="I698">
        <v>6</v>
      </c>
      <c r="J698">
        <v>1</v>
      </c>
      <c r="K698">
        <v>2</v>
      </c>
      <c r="L698">
        <v>3</v>
      </c>
      <c r="M698">
        <v>2</v>
      </c>
      <c r="N698" t="s">
        <v>31</v>
      </c>
      <c r="O698" t="s">
        <v>32</v>
      </c>
      <c r="P698">
        <v>7</v>
      </c>
      <c r="Q698">
        <v>49</v>
      </c>
      <c r="R698">
        <v>2</v>
      </c>
      <c r="S698" t="s">
        <v>31</v>
      </c>
      <c r="T698">
        <v>4</v>
      </c>
      <c r="U698" t="s">
        <v>31</v>
      </c>
      <c r="V698" s="1">
        <v>44161</v>
      </c>
      <c r="X698" s="1" t="str">
        <f t="shared" si="30"/>
        <v>Active</v>
      </c>
      <c r="Y698" t="str">
        <f t="shared" si="31"/>
        <v>26-35</v>
      </c>
      <c r="Z698" t="str">
        <f t="shared" si="32"/>
        <v>0-1 Year</v>
      </c>
    </row>
    <row r="699" spans="1:26" x14ac:dyDescent="0.35">
      <c r="A699" t="s">
        <v>755</v>
      </c>
      <c r="B699">
        <v>23</v>
      </c>
      <c r="C699" t="s">
        <v>44</v>
      </c>
      <c r="D699" t="s">
        <v>39</v>
      </c>
      <c r="E699" t="s">
        <v>74</v>
      </c>
      <c r="F699" t="s">
        <v>41</v>
      </c>
      <c r="G699">
        <v>38939</v>
      </c>
      <c r="H699">
        <v>0</v>
      </c>
      <c r="I699">
        <v>1</v>
      </c>
      <c r="J699">
        <v>1</v>
      </c>
      <c r="K699">
        <v>3</v>
      </c>
      <c r="L699">
        <v>2</v>
      </c>
      <c r="M699">
        <v>4</v>
      </c>
      <c r="N699" t="s">
        <v>31</v>
      </c>
      <c r="O699" t="s">
        <v>32</v>
      </c>
      <c r="P699">
        <v>19</v>
      </c>
      <c r="Q699">
        <v>39</v>
      </c>
      <c r="R699">
        <v>3</v>
      </c>
      <c r="S699" t="s">
        <v>31</v>
      </c>
      <c r="T699">
        <v>5</v>
      </c>
      <c r="U699" t="s">
        <v>31</v>
      </c>
      <c r="V699" s="1">
        <v>42397</v>
      </c>
      <c r="X699" s="1" t="str">
        <f t="shared" si="30"/>
        <v>Active</v>
      </c>
      <c r="Y699" t="str">
        <f t="shared" si="31"/>
        <v>18-25</v>
      </c>
      <c r="Z699" t="str">
        <f t="shared" si="32"/>
        <v>0-1 Year</v>
      </c>
    </row>
    <row r="700" spans="1:26" x14ac:dyDescent="0.35">
      <c r="A700" t="s">
        <v>756</v>
      </c>
      <c r="B700">
        <v>32</v>
      </c>
      <c r="C700" t="s">
        <v>44</v>
      </c>
      <c r="D700" t="s">
        <v>35</v>
      </c>
      <c r="E700" t="s">
        <v>36</v>
      </c>
      <c r="F700" t="s">
        <v>41</v>
      </c>
      <c r="G700">
        <v>55995</v>
      </c>
      <c r="H700">
        <v>1</v>
      </c>
      <c r="I700">
        <v>10</v>
      </c>
      <c r="J700">
        <v>2</v>
      </c>
      <c r="K700">
        <v>4</v>
      </c>
      <c r="L700">
        <v>2</v>
      </c>
      <c r="M700">
        <v>3</v>
      </c>
      <c r="N700" t="s">
        <v>33</v>
      </c>
      <c r="O700" t="s">
        <v>32</v>
      </c>
      <c r="P700">
        <v>10</v>
      </c>
      <c r="Q700">
        <v>52</v>
      </c>
      <c r="R700">
        <v>3</v>
      </c>
      <c r="S700" t="s">
        <v>31</v>
      </c>
      <c r="T700">
        <v>4</v>
      </c>
      <c r="U700" t="s">
        <v>33</v>
      </c>
      <c r="V700" s="1">
        <v>42082</v>
      </c>
      <c r="W700" s="1">
        <v>42520</v>
      </c>
      <c r="X700" s="1" t="str">
        <f t="shared" si="30"/>
        <v>2016-05-30</v>
      </c>
      <c r="Y700" t="str">
        <f t="shared" si="31"/>
        <v>26-35</v>
      </c>
      <c r="Z700" t="str">
        <f t="shared" si="32"/>
        <v>0-1 Year</v>
      </c>
    </row>
    <row r="701" spans="1:26" x14ac:dyDescent="0.35">
      <c r="A701" t="s">
        <v>757</v>
      </c>
      <c r="B701">
        <v>31</v>
      </c>
      <c r="C701" t="s">
        <v>27</v>
      </c>
      <c r="D701" t="s">
        <v>28</v>
      </c>
      <c r="E701" t="s">
        <v>66</v>
      </c>
      <c r="F701" t="s">
        <v>30</v>
      </c>
      <c r="G701">
        <v>103647</v>
      </c>
      <c r="H701">
        <v>10</v>
      </c>
      <c r="I701">
        <v>10</v>
      </c>
      <c r="J701">
        <v>4</v>
      </c>
      <c r="K701">
        <v>3</v>
      </c>
      <c r="L701">
        <v>1</v>
      </c>
      <c r="M701">
        <v>3</v>
      </c>
      <c r="N701" t="s">
        <v>31</v>
      </c>
      <c r="O701" t="s">
        <v>42</v>
      </c>
      <c r="P701">
        <v>26</v>
      </c>
      <c r="Q701">
        <v>34</v>
      </c>
      <c r="R701">
        <v>3</v>
      </c>
      <c r="S701" t="s">
        <v>31</v>
      </c>
      <c r="T701">
        <v>2</v>
      </c>
      <c r="U701" t="s">
        <v>31</v>
      </c>
      <c r="V701" s="1">
        <v>44570</v>
      </c>
      <c r="X701" s="1" t="str">
        <f t="shared" si="30"/>
        <v>Active</v>
      </c>
      <c r="Y701" t="str">
        <f t="shared" si="31"/>
        <v>26-35</v>
      </c>
      <c r="Z701" t="str">
        <f t="shared" si="32"/>
        <v>6-10 Years</v>
      </c>
    </row>
    <row r="702" spans="1:26" x14ac:dyDescent="0.35">
      <c r="A702" t="s">
        <v>758</v>
      </c>
      <c r="B702">
        <v>38</v>
      </c>
      <c r="C702" t="s">
        <v>27</v>
      </c>
      <c r="D702" t="s">
        <v>39</v>
      </c>
      <c r="E702" t="s">
        <v>74</v>
      </c>
      <c r="F702" t="s">
        <v>56</v>
      </c>
      <c r="G702">
        <v>133735</v>
      </c>
      <c r="H702">
        <v>15</v>
      </c>
      <c r="I702">
        <v>16</v>
      </c>
      <c r="J702">
        <v>5</v>
      </c>
      <c r="K702">
        <v>2</v>
      </c>
      <c r="L702">
        <v>2</v>
      </c>
      <c r="M702">
        <v>4</v>
      </c>
      <c r="N702" t="s">
        <v>31</v>
      </c>
      <c r="O702" t="s">
        <v>42</v>
      </c>
      <c r="P702">
        <v>26</v>
      </c>
      <c r="Q702">
        <v>46</v>
      </c>
      <c r="R702">
        <v>3</v>
      </c>
      <c r="S702" t="s">
        <v>31</v>
      </c>
      <c r="T702">
        <v>5</v>
      </c>
      <c r="U702" t="s">
        <v>31</v>
      </c>
      <c r="V702" s="1">
        <v>44053</v>
      </c>
      <c r="X702" s="1" t="str">
        <f t="shared" si="30"/>
        <v>Active</v>
      </c>
      <c r="Y702" t="str">
        <f t="shared" si="31"/>
        <v>36-45</v>
      </c>
      <c r="Z702" t="str">
        <f t="shared" si="32"/>
        <v>10+ Years</v>
      </c>
    </row>
    <row r="703" spans="1:26" x14ac:dyDescent="0.35">
      <c r="A703" t="s">
        <v>759</v>
      </c>
      <c r="B703">
        <v>44</v>
      </c>
      <c r="C703" t="s">
        <v>44</v>
      </c>
      <c r="D703" t="s">
        <v>35</v>
      </c>
      <c r="E703" t="s">
        <v>36</v>
      </c>
      <c r="F703" t="s">
        <v>37</v>
      </c>
      <c r="G703">
        <v>107186</v>
      </c>
      <c r="H703">
        <v>9</v>
      </c>
      <c r="I703">
        <v>22</v>
      </c>
      <c r="J703">
        <v>4</v>
      </c>
      <c r="K703">
        <v>1</v>
      </c>
      <c r="L703">
        <v>3</v>
      </c>
      <c r="M703">
        <v>4</v>
      </c>
      <c r="N703" t="s">
        <v>31</v>
      </c>
      <c r="O703" t="s">
        <v>32</v>
      </c>
      <c r="P703">
        <v>17</v>
      </c>
      <c r="Q703">
        <v>11</v>
      </c>
      <c r="R703">
        <v>2</v>
      </c>
      <c r="S703" t="s">
        <v>31</v>
      </c>
      <c r="T703">
        <v>5</v>
      </c>
      <c r="U703" t="s">
        <v>31</v>
      </c>
      <c r="V703" s="1">
        <v>45247</v>
      </c>
      <c r="X703" s="1" t="str">
        <f t="shared" si="30"/>
        <v>Active</v>
      </c>
      <c r="Y703" t="str">
        <f t="shared" si="31"/>
        <v>36-45</v>
      </c>
      <c r="Z703" t="str">
        <f t="shared" si="32"/>
        <v>6-10 Years</v>
      </c>
    </row>
    <row r="704" spans="1:26" x14ac:dyDescent="0.35">
      <c r="A704" t="s">
        <v>760</v>
      </c>
      <c r="B704">
        <v>30</v>
      </c>
      <c r="C704" t="s">
        <v>44</v>
      </c>
      <c r="D704" t="s">
        <v>28</v>
      </c>
      <c r="E704" t="s">
        <v>29</v>
      </c>
      <c r="F704" t="s">
        <v>56</v>
      </c>
      <c r="G704">
        <v>82208</v>
      </c>
      <c r="H704">
        <v>7</v>
      </c>
      <c r="I704">
        <v>9</v>
      </c>
      <c r="J704">
        <v>3</v>
      </c>
      <c r="K704">
        <v>3</v>
      </c>
      <c r="L704">
        <v>4</v>
      </c>
      <c r="M704">
        <v>4</v>
      </c>
      <c r="N704" t="s">
        <v>31</v>
      </c>
      <c r="O704" t="s">
        <v>32</v>
      </c>
      <c r="P704">
        <v>7</v>
      </c>
      <c r="Q704">
        <v>16</v>
      </c>
      <c r="R704">
        <v>3</v>
      </c>
      <c r="S704" t="s">
        <v>33</v>
      </c>
      <c r="T704">
        <v>3</v>
      </c>
      <c r="U704" t="s">
        <v>31</v>
      </c>
      <c r="V704" s="1">
        <v>43238</v>
      </c>
      <c r="X704" s="1" t="str">
        <f t="shared" si="30"/>
        <v>Active</v>
      </c>
      <c r="Y704" t="str">
        <f t="shared" si="31"/>
        <v>26-35</v>
      </c>
      <c r="Z704" t="str">
        <f t="shared" si="32"/>
        <v>6-10 Years</v>
      </c>
    </row>
    <row r="705" spans="1:26" x14ac:dyDescent="0.35">
      <c r="A705" t="s">
        <v>761</v>
      </c>
      <c r="B705">
        <v>57</v>
      </c>
      <c r="C705" t="s">
        <v>44</v>
      </c>
      <c r="D705" t="s">
        <v>49</v>
      </c>
      <c r="E705" t="s">
        <v>50</v>
      </c>
      <c r="F705" t="s">
        <v>37</v>
      </c>
      <c r="G705">
        <v>167605</v>
      </c>
      <c r="H705">
        <v>32</v>
      </c>
      <c r="I705">
        <v>33</v>
      </c>
      <c r="J705">
        <v>5</v>
      </c>
      <c r="K705">
        <v>1</v>
      </c>
      <c r="L705">
        <v>2</v>
      </c>
      <c r="M705">
        <v>1</v>
      </c>
      <c r="N705" t="s">
        <v>31</v>
      </c>
      <c r="O705" t="s">
        <v>42</v>
      </c>
      <c r="P705">
        <v>22</v>
      </c>
      <c r="Q705">
        <v>32</v>
      </c>
      <c r="R705">
        <v>3</v>
      </c>
      <c r="S705" t="s">
        <v>31</v>
      </c>
      <c r="T705">
        <v>5</v>
      </c>
      <c r="U705" t="s">
        <v>33</v>
      </c>
      <c r="V705" s="1">
        <v>44725</v>
      </c>
      <c r="W705" s="1">
        <v>45483</v>
      </c>
      <c r="X705" s="1" t="str">
        <f t="shared" si="30"/>
        <v>2024-07-10</v>
      </c>
      <c r="Y705" t="str">
        <f t="shared" si="31"/>
        <v>56+</v>
      </c>
      <c r="Z705" t="str">
        <f t="shared" si="32"/>
        <v>10+ Years</v>
      </c>
    </row>
    <row r="706" spans="1:26" x14ac:dyDescent="0.35">
      <c r="A706" t="s">
        <v>762</v>
      </c>
      <c r="B706">
        <v>59</v>
      </c>
      <c r="C706" t="s">
        <v>27</v>
      </c>
      <c r="D706" t="s">
        <v>49</v>
      </c>
      <c r="E706" t="s">
        <v>68</v>
      </c>
      <c r="F706" t="s">
        <v>61</v>
      </c>
      <c r="G706">
        <v>136675</v>
      </c>
      <c r="H706">
        <v>16</v>
      </c>
      <c r="I706">
        <v>36</v>
      </c>
      <c r="J706">
        <v>5</v>
      </c>
      <c r="K706">
        <v>3</v>
      </c>
      <c r="L706">
        <v>1</v>
      </c>
      <c r="M706">
        <v>3</v>
      </c>
      <c r="N706" t="s">
        <v>31</v>
      </c>
      <c r="O706" t="s">
        <v>32</v>
      </c>
      <c r="P706">
        <v>3</v>
      </c>
      <c r="Q706">
        <v>43</v>
      </c>
      <c r="R706">
        <v>3</v>
      </c>
      <c r="S706" t="s">
        <v>31</v>
      </c>
      <c r="T706">
        <v>0</v>
      </c>
      <c r="U706" t="s">
        <v>31</v>
      </c>
      <c r="V706" s="1">
        <v>43873</v>
      </c>
      <c r="X706" s="1" t="str">
        <f t="shared" si="30"/>
        <v>Active</v>
      </c>
      <c r="Y706" t="str">
        <f t="shared" si="31"/>
        <v>56+</v>
      </c>
      <c r="Z706" t="str">
        <f t="shared" si="32"/>
        <v>10+ Years</v>
      </c>
    </row>
    <row r="707" spans="1:26" x14ac:dyDescent="0.35">
      <c r="A707" t="s">
        <v>763</v>
      </c>
      <c r="B707">
        <v>52</v>
      </c>
      <c r="C707" t="s">
        <v>27</v>
      </c>
      <c r="D707" t="s">
        <v>39</v>
      </c>
      <c r="E707" t="s">
        <v>59</v>
      </c>
      <c r="F707" t="s">
        <v>61</v>
      </c>
      <c r="G707">
        <v>120027</v>
      </c>
      <c r="H707">
        <v>9</v>
      </c>
      <c r="I707">
        <v>29</v>
      </c>
      <c r="J707">
        <v>5</v>
      </c>
      <c r="K707">
        <v>2</v>
      </c>
      <c r="L707">
        <v>3</v>
      </c>
      <c r="M707">
        <v>4</v>
      </c>
      <c r="N707" t="s">
        <v>31</v>
      </c>
      <c r="O707" t="s">
        <v>32</v>
      </c>
      <c r="P707">
        <v>12</v>
      </c>
      <c r="Q707">
        <v>57</v>
      </c>
      <c r="R707">
        <v>4</v>
      </c>
      <c r="S707" t="s">
        <v>33</v>
      </c>
      <c r="T707">
        <v>4</v>
      </c>
      <c r="U707" t="s">
        <v>31</v>
      </c>
      <c r="V707" s="1">
        <v>42872</v>
      </c>
      <c r="X707" s="1" t="str">
        <f t="shared" ref="X707:X770" si="33">IF(ISBLANK(W707), "Active", TEXT(W707, "yyyy-mm-dd"))</f>
        <v>Active</v>
      </c>
      <c r="Y707" t="str">
        <f t="shared" ref="Y707:Y770" si="34">_xlfn.IFS(B707&lt;=25, "18-25", B707&lt;=35, "26-35", B707&lt;=45, "36-45", B707&lt;=55, "46-55", B707&gt;55, "56+")</f>
        <v>46-55</v>
      </c>
      <c r="Z707" t="str">
        <f t="shared" ref="Z707:Z770" si="35">_xlfn.IFS(H707&lt;=1, "0-1 Year", H707&lt;=3, "2-3 Years", H707&lt;=5, "4-5 Years", H707&lt;=10, "6-10 Years", H707&gt;10, "10+ Years")</f>
        <v>6-10 Years</v>
      </c>
    </row>
    <row r="708" spans="1:26" x14ac:dyDescent="0.35">
      <c r="A708" t="s">
        <v>764</v>
      </c>
      <c r="B708">
        <v>56</v>
      </c>
      <c r="C708" t="s">
        <v>44</v>
      </c>
      <c r="D708" t="s">
        <v>35</v>
      </c>
      <c r="E708" t="s">
        <v>36</v>
      </c>
      <c r="F708" t="s">
        <v>41</v>
      </c>
      <c r="G708">
        <v>119837</v>
      </c>
      <c r="H708">
        <v>11</v>
      </c>
      <c r="I708">
        <v>33</v>
      </c>
      <c r="J708">
        <v>5</v>
      </c>
      <c r="K708">
        <v>4</v>
      </c>
      <c r="L708">
        <v>2</v>
      </c>
      <c r="M708">
        <v>2</v>
      </c>
      <c r="N708" t="s">
        <v>33</v>
      </c>
      <c r="O708" t="s">
        <v>32</v>
      </c>
      <c r="P708">
        <v>16</v>
      </c>
      <c r="Q708">
        <v>20</v>
      </c>
      <c r="R708">
        <v>3</v>
      </c>
      <c r="S708" t="s">
        <v>31</v>
      </c>
      <c r="T708">
        <v>5</v>
      </c>
      <c r="U708" t="s">
        <v>31</v>
      </c>
      <c r="V708" s="1">
        <v>41058</v>
      </c>
      <c r="X708" s="1" t="str">
        <f t="shared" si="33"/>
        <v>Active</v>
      </c>
      <c r="Y708" t="str">
        <f t="shared" si="34"/>
        <v>56+</v>
      </c>
      <c r="Z708" t="str">
        <f t="shared" si="35"/>
        <v>10+ Years</v>
      </c>
    </row>
    <row r="709" spans="1:26" x14ac:dyDescent="0.35">
      <c r="A709" t="s">
        <v>765</v>
      </c>
      <c r="B709">
        <v>34</v>
      </c>
      <c r="C709" t="s">
        <v>27</v>
      </c>
      <c r="D709" t="s">
        <v>35</v>
      </c>
      <c r="E709" t="s">
        <v>36</v>
      </c>
      <c r="F709" t="s">
        <v>41</v>
      </c>
      <c r="G709">
        <v>109743</v>
      </c>
      <c r="H709">
        <v>10</v>
      </c>
      <c r="I709">
        <v>11</v>
      </c>
      <c r="J709">
        <v>4</v>
      </c>
      <c r="K709">
        <v>3</v>
      </c>
      <c r="L709">
        <v>4</v>
      </c>
      <c r="M709">
        <v>2</v>
      </c>
      <c r="N709" t="s">
        <v>31</v>
      </c>
      <c r="O709" t="s">
        <v>32</v>
      </c>
      <c r="P709">
        <v>1</v>
      </c>
      <c r="Q709">
        <v>50</v>
      </c>
      <c r="R709">
        <v>3</v>
      </c>
      <c r="S709" t="s">
        <v>33</v>
      </c>
      <c r="T709">
        <v>5</v>
      </c>
      <c r="U709" t="s">
        <v>31</v>
      </c>
      <c r="V709" s="1">
        <v>43906</v>
      </c>
      <c r="X709" s="1" t="str">
        <f t="shared" si="33"/>
        <v>Active</v>
      </c>
      <c r="Y709" t="str">
        <f t="shared" si="34"/>
        <v>26-35</v>
      </c>
      <c r="Z709" t="str">
        <f t="shared" si="35"/>
        <v>6-10 Years</v>
      </c>
    </row>
    <row r="710" spans="1:26" x14ac:dyDescent="0.35">
      <c r="A710" t="s">
        <v>766</v>
      </c>
      <c r="B710">
        <v>44</v>
      </c>
      <c r="C710" t="s">
        <v>27</v>
      </c>
      <c r="D710" t="s">
        <v>45</v>
      </c>
      <c r="E710" t="s">
        <v>63</v>
      </c>
      <c r="F710" t="s">
        <v>37</v>
      </c>
      <c r="G710">
        <v>105700</v>
      </c>
      <c r="H710">
        <v>9</v>
      </c>
      <c r="I710">
        <v>20</v>
      </c>
      <c r="J710">
        <v>4</v>
      </c>
      <c r="K710">
        <v>3</v>
      </c>
      <c r="L710">
        <v>1</v>
      </c>
      <c r="M710">
        <v>2</v>
      </c>
      <c r="N710" t="s">
        <v>33</v>
      </c>
      <c r="O710" t="s">
        <v>32</v>
      </c>
      <c r="P710">
        <v>22</v>
      </c>
      <c r="Q710">
        <v>27</v>
      </c>
      <c r="R710">
        <v>3</v>
      </c>
      <c r="S710" t="s">
        <v>31</v>
      </c>
      <c r="T710">
        <v>4</v>
      </c>
      <c r="U710" t="s">
        <v>31</v>
      </c>
      <c r="V710" s="1">
        <v>44696</v>
      </c>
      <c r="X710" s="1" t="str">
        <f t="shared" si="33"/>
        <v>Active</v>
      </c>
      <c r="Y710" t="str">
        <f t="shared" si="34"/>
        <v>36-45</v>
      </c>
      <c r="Z710" t="str">
        <f t="shared" si="35"/>
        <v>6-10 Years</v>
      </c>
    </row>
    <row r="711" spans="1:26" x14ac:dyDescent="0.35">
      <c r="A711" t="s">
        <v>767</v>
      </c>
      <c r="B711">
        <v>30</v>
      </c>
      <c r="C711" t="s">
        <v>27</v>
      </c>
      <c r="D711" t="s">
        <v>39</v>
      </c>
      <c r="E711" t="s">
        <v>59</v>
      </c>
      <c r="F711" t="s">
        <v>37</v>
      </c>
      <c r="G711">
        <v>58611</v>
      </c>
      <c r="H711">
        <v>3</v>
      </c>
      <c r="I711">
        <v>8</v>
      </c>
      <c r="J711">
        <v>2</v>
      </c>
      <c r="K711">
        <v>4</v>
      </c>
      <c r="L711">
        <v>2</v>
      </c>
      <c r="M711">
        <v>2</v>
      </c>
      <c r="N711" t="s">
        <v>33</v>
      </c>
      <c r="O711" t="s">
        <v>32</v>
      </c>
      <c r="P711">
        <v>2</v>
      </c>
      <c r="Q711">
        <v>38</v>
      </c>
      <c r="R711">
        <v>2</v>
      </c>
      <c r="S711" t="s">
        <v>31</v>
      </c>
      <c r="T711">
        <v>6</v>
      </c>
      <c r="U711" t="s">
        <v>31</v>
      </c>
      <c r="V711" s="1">
        <v>43407</v>
      </c>
      <c r="X711" s="1" t="str">
        <f t="shared" si="33"/>
        <v>Active</v>
      </c>
      <c r="Y711" t="str">
        <f t="shared" si="34"/>
        <v>26-35</v>
      </c>
      <c r="Z711" t="str">
        <f t="shared" si="35"/>
        <v>2-3 Years</v>
      </c>
    </row>
    <row r="712" spans="1:26" x14ac:dyDescent="0.35">
      <c r="A712" t="s">
        <v>768</v>
      </c>
      <c r="B712">
        <v>27</v>
      </c>
      <c r="C712" t="s">
        <v>44</v>
      </c>
      <c r="D712" t="s">
        <v>45</v>
      </c>
      <c r="E712" t="s">
        <v>46</v>
      </c>
      <c r="F712" t="s">
        <v>41</v>
      </c>
      <c r="G712">
        <v>44709</v>
      </c>
      <c r="H712">
        <v>1</v>
      </c>
      <c r="I712">
        <v>5</v>
      </c>
      <c r="J712">
        <v>1</v>
      </c>
      <c r="K712">
        <v>4</v>
      </c>
      <c r="L712">
        <v>4</v>
      </c>
      <c r="M712">
        <v>3</v>
      </c>
      <c r="N712" t="s">
        <v>31</v>
      </c>
      <c r="O712" t="s">
        <v>47</v>
      </c>
      <c r="P712">
        <v>24</v>
      </c>
      <c r="Q712">
        <v>19</v>
      </c>
      <c r="R712">
        <v>2</v>
      </c>
      <c r="S712" t="s">
        <v>31</v>
      </c>
      <c r="T712">
        <v>3</v>
      </c>
      <c r="U712" t="s">
        <v>31</v>
      </c>
      <c r="V712" s="1">
        <v>42786</v>
      </c>
      <c r="X712" s="1" t="str">
        <f t="shared" si="33"/>
        <v>Active</v>
      </c>
      <c r="Y712" t="str">
        <f t="shared" si="34"/>
        <v>26-35</v>
      </c>
      <c r="Z712" t="str">
        <f t="shared" si="35"/>
        <v>0-1 Year</v>
      </c>
    </row>
    <row r="713" spans="1:26" x14ac:dyDescent="0.35">
      <c r="A713" t="s">
        <v>769</v>
      </c>
      <c r="B713">
        <v>53</v>
      </c>
      <c r="C713" t="s">
        <v>27</v>
      </c>
      <c r="D713" t="s">
        <v>35</v>
      </c>
      <c r="E713" t="s">
        <v>36</v>
      </c>
      <c r="F713" t="s">
        <v>78</v>
      </c>
      <c r="G713">
        <v>121900</v>
      </c>
      <c r="H713">
        <v>11</v>
      </c>
      <c r="I713">
        <v>31</v>
      </c>
      <c r="J713">
        <v>5</v>
      </c>
      <c r="K713">
        <v>3</v>
      </c>
      <c r="L713">
        <v>2</v>
      </c>
      <c r="M713">
        <v>3</v>
      </c>
      <c r="N713" t="s">
        <v>31</v>
      </c>
      <c r="O713" t="s">
        <v>32</v>
      </c>
      <c r="P713">
        <v>4</v>
      </c>
      <c r="Q713">
        <v>51</v>
      </c>
      <c r="R713">
        <v>4</v>
      </c>
      <c r="S713" t="s">
        <v>31</v>
      </c>
      <c r="T713">
        <v>14</v>
      </c>
      <c r="U713" t="s">
        <v>33</v>
      </c>
      <c r="V713" s="1">
        <v>42612</v>
      </c>
      <c r="W713" s="1">
        <v>42974</v>
      </c>
      <c r="X713" s="1" t="str">
        <f t="shared" si="33"/>
        <v>2017-08-27</v>
      </c>
      <c r="Y713" t="str">
        <f t="shared" si="34"/>
        <v>46-55</v>
      </c>
      <c r="Z713" t="str">
        <f t="shared" si="35"/>
        <v>10+ Years</v>
      </c>
    </row>
    <row r="714" spans="1:26" x14ac:dyDescent="0.35">
      <c r="A714" t="s">
        <v>770</v>
      </c>
      <c r="B714">
        <v>26</v>
      </c>
      <c r="C714" t="s">
        <v>27</v>
      </c>
      <c r="D714" t="s">
        <v>35</v>
      </c>
      <c r="E714" t="s">
        <v>36</v>
      </c>
      <c r="F714" t="s">
        <v>37</v>
      </c>
      <c r="G714">
        <v>55880</v>
      </c>
      <c r="H714">
        <v>0</v>
      </c>
      <c r="I714">
        <v>5</v>
      </c>
      <c r="J714">
        <v>2</v>
      </c>
      <c r="K714">
        <v>3</v>
      </c>
      <c r="L714">
        <v>2</v>
      </c>
      <c r="M714">
        <v>4</v>
      </c>
      <c r="N714" t="s">
        <v>31</v>
      </c>
      <c r="O714" t="s">
        <v>32</v>
      </c>
      <c r="P714">
        <v>7</v>
      </c>
      <c r="Q714">
        <v>29</v>
      </c>
      <c r="R714">
        <v>2</v>
      </c>
      <c r="S714" t="s">
        <v>31</v>
      </c>
      <c r="T714">
        <v>4</v>
      </c>
      <c r="U714" t="s">
        <v>31</v>
      </c>
      <c r="V714" s="1">
        <v>44824</v>
      </c>
      <c r="X714" s="1" t="str">
        <f t="shared" si="33"/>
        <v>Active</v>
      </c>
      <c r="Y714" t="str">
        <f t="shared" si="34"/>
        <v>26-35</v>
      </c>
      <c r="Z714" t="str">
        <f t="shared" si="35"/>
        <v>0-1 Year</v>
      </c>
    </row>
    <row r="715" spans="1:26" x14ac:dyDescent="0.35">
      <c r="A715" t="s">
        <v>771</v>
      </c>
      <c r="B715">
        <v>38</v>
      </c>
      <c r="C715" t="s">
        <v>27</v>
      </c>
      <c r="D715" t="s">
        <v>35</v>
      </c>
      <c r="E715" t="s">
        <v>85</v>
      </c>
      <c r="F715" t="s">
        <v>56</v>
      </c>
      <c r="G715">
        <v>105620</v>
      </c>
      <c r="H715">
        <v>9</v>
      </c>
      <c r="I715">
        <v>14</v>
      </c>
      <c r="J715">
        <v>4</v>
      </c>
      <c r="K715">
        <v>3</v>
      </c>
      <c r="L715">
        <v>2</v>
      </c>
      <c r="M715">
        <v>4</v>
      </c>
      <c r="N715" t="s">
        <v>31</v>
      </c>
      <c r="O715" t="s">
        <v>32</v>
      </c>
      <c r="P715">
        <v>12</v>
      </c>
      <c r="Q715">
        <v>50</v>
      </c>
      <c r="R715">
        <v>3</v>
      </c>
      <c r="S715" t="s">
        <v>33</v>
      </c>
      <c r="T715">
        <v>8</v>
      </c>
      <c r="U715" t="s">
        <v>31</v>
      </c>
      <c r="V715" s="1">
        <v>45178</v>
      </c>
      <c r="X715" s="1" t="str">
        <f t="shared" si="33"/>
        <v>Active</v>
      </c>
      <c r="Y715" t="str">
        <f t="shared" si="34"/>
        <v>36-45</v>
      </c>
      <c r="Z715" t="str">
        <f t="shared" si="35"/>
        <v>6-10 Years</v>
      </c>
    </row>
    <row r="716" spans="1:26" x14ac:dyDescent="0.35">
      <c r="A716" t="s">
        <v>772</v>
      </c>
      <c r="B716">
        <v>47</v>
      </c>
      <c r="C716" t="s">
        <v>27</v>
      </c>
      <c r="D716" t="s">
        <v>28</v>
      </c>
      <c r="E716" t="s">
        <v>66</v>
      </c>
      <c r="F716" t="s">
        <v>41</v>
      </c>
      <c r="G716">
        <v>139667</v>
      </c>
      <c r="H716">
        <v>18</v>
      </c>
      <c r="I716">
        <v>26</v>
      </c>
      <c r="J716">
        <v>5</v>
      </c>
      <c r="K716">
        <v>4</v>
      </c>
      <c r="L716">
        <v>1</v>
      </c>
      <c r="M716">
        <v>4</v>
      </c>
      <c r="N716" t="s">
        <v>31</v>
      </c>
      <c r="O716" t="s">
        <v>32</v>
      </c>
      <c r="P716">
        <v>19</v>
      </c>
      <c r="Q716">
        <v>23</v>
      </c>
      <c r="R716">
        <v>4</v>
      </c>
      <c r="S716" t="s">
        <v>33</v>
      </c>
      <c r="T716">
        <v>6</v>
      </c>
      <c r="U716" t="s">
        <v>31</v>
      </c>
      <c r="V716" s="1">
        <v>42442</v>
      </c>
      <c r="X716" s="1" t="str">
        <f t="shared" si="33"/>
        <v>Active</v>
      </c>
      <c r="Y716" t="str">
        <f t="shared" si="34"/>
        <v>46-55</v>
      </c>
      <c r="Z716" t="str">
        <f t="shared" si="35"/>
        <v>10+ Years</v>
      </c>
    </row>
    <row r="717" spans="1:26" x14ac:dyDescent="0.35">
      <c r="A717" t="s">
        <v>773</v>
      </c>
      <c r="B717">
        <v>58</v>
      </c>
      <c r="C717" t="s">
        <v>44</v>
      </c>
      <c r="D717" t="s">
        <v>39</v>
      </c>
      <c r="E717" t="s">
        <v>40</v>
      </c>
      <c r="F717" t="s">
        <v>37</v>
      </c>
      <c r="G717">
        <v>125176</v>
      </c>
      <c r="H717">
        <v>14</v>
      </c>
      <c r="I717">
        <v>36</v>
      </c>
      <c r="J717">
        <v>5</v>
      </c>
      <c r="K717">
        <v>1</v>
      </c>
      <c r="L717">
        <v>1</v>
      </c>
      <c r="M717">
        <v>2</v>
      </c>
      <c r="N717" t="s">
        <v>31</v>
      </c>
      <c r="O717" t="s">
        <v>32</v>
      </c>
      <c r="P717">
        <v>20</v>
      </c>
      <c r="Q717">
        <v>11</v>
      </c>
      <c r="R717">
        <v>3</v>
      </c>
      <c r="S717" t="s">
        <v>33</v>
      </c>
      <c r="T717">
        <v>4</v>
      </c>
      <c r="U717" t="s">
        <v>33</v>
      </c>
      <c r="V717" s="1">
        <v>42657</v>
      </c>
      <c r="W717" s="1">
        <v>42889</v>
      </c>
      <c r="X717" s="1" t="str">
        <f t="shared" si="33"/>
        <v>2017-06-03</v>
      </c>
      <c r="Y717" t="str">
        <f t="shared" si="34"/>
        <v>56+</v>
      </c>
      <c r="Z717" t="str">
        <f t="shared" si="35"/>
        <v>10+ Years</v>
      </c>
    </row>
    <row r="718" spans="1:26" x14ac:dyDescent="0.35">
      <c r="A718" t="s">
        <v>774</v>
      </c>
      <c r="B718">
        <v>50</v>
      </c>
      <c r="C718" t="s">
        <v>44</v>
      </c>
      <c r="D718" t="s">
        <v>49</v>
      </c>
      <c r="E718" t="s">
        <v>68</v>
      </c>
      <c r="F718" t="s">
        <v>56</v>
      </c>
      <c r="G718">
        <v>146442</v>
      </c>
      <c r="H718">
        <v>24</v>
      </c>
      <c r="I718">
        <v>28</v>
      </c>
      <c r="J718">
        <v>5</v>
      </c>
      <c r="K718">
        <v>4</v>
      </c>
      <c r="L718">
        <v>2</v>
      </c>
      <c r="M718">
        <v>4</v>
      </c>
      <c r="N718" t="s">
        <v>31</v>
      </c>
      <c r="O718" t="s">
        <v>32</v>
      </c>
      <c r="P718">
        <v>18</v>
      </c>
      <c r="Q718">
        <v>11</v>
      </c>
      <c r="R718">
        <v>4</v>
      </c>
      <c r="S718" t="s">
        <v>33</v>
      </c>
      <c r="T718">
        <v>2</v>
      </c>
      <c r="U718" t="s">
        <v>31</v>
      </c>
      <c r="V718" s="1">
        <v>43648</v>
      </c>
      <c r="X718" s="1" t="str">
        <f t="shared" si="33"/>
        <v>Active</v>
      </c>
      <c r="Y718" t="str">
        <f t="shared" si="34"/>
        <v>46-55</v>
      </c>
      <c r="Z718" t="str">
        <f t="shared" si="35"/>
        <v>10+ Years</v>
      </c>
    </row>
    <row r="719" spans="1:26" x14ac:dyDescent="0.35">
      <c r="A719" t="s">
        <v>775</v>
      </c>
      <c r="B719">
        <v>44</v>
      </c>
      <c r="C719" t="s">
        <v>27</v>
      </c>
      <c r="D719" t="s">
        <v>49</v>
      </c>
      <c r="E719" t="s">
        <v>50</v>
      </c>
      <c r="F719" t="s">
        <v>78</v>
      </c>
      <c r="G719">
        <v>42229</v>
      </c>
      <c r="H719">
        <v>0</v>
      </c>
      <c r="I719">
        <v>23</v>
      </c>
      <c r="J719">
        <v>1</v>
      </c>
      <c r="K719">
        <v>1</v>
      </c>
      <c r="L719">
        <v>4</v>
      </c>
      <c r="M719">
        <v>1</v>
      </c>
      <c r="N719" t="s">
        <v>31</v>
      </c>
      <c r="O719" t="s">
        <v>32</v>
      </c>
      <c r="P719">
        <v>19</v>
      </c>
      <c r="Q719">
        <v>36</v>
      </c>
      <c r="R719">
        <v>4</v>
      </c>
      <c r="S719" t="s">
        <v>31</v>
      </c>
      <c r="T719">
        <v>8</v>
      </c>
      <c r="U719" t="s">
        <v>31</v>
      </c>
      <c r="V719" s="1">
        <v>42725</v>
      </c>
      <c r="X719" s="1" t="str">
        <f t="shared" si="33"/>
        <v>Active</v>
      </c>
      <c r="Y719" t="str">
        <f t="shared" si="34"/>
        <v>36-45</v>
      </c>
      <c r="Z719" t="str">
        <f t="shared" si="35"/>
        <v>0-1 Year</v>
      </c>
    </row>
    <row r="720" spans="1:26" x14ac:dyDescent="0.35">
      <c r="A720" t="s">
        <v>776</v>
      </c>
      <c r="B720">
        <v>29</v>
      </c>
      <c r="C720" t="s">
        <v>44</v>
      </c>
      <c r="D720" t="s">
        <v>49</v>
      </c>
      <c r="E720" t="s">
        <v>50</v>
      </c>
      <c r="F720" t="s">
        <v>37</v>
      </c>
      <c r="G720">
        <v>40082</v>
      </c>
      <c r="H720">
        <v>0</v>
      </c>
      <c r="I720">
        <v>6</v>
      </c>
      <c r="J720">
        <v>1</v>
      </c>
      <c r="K720">
        <v>2</v>
      </c>
      <c r="L720">
        <v>1</v>
      </c>
      <c r="M720">
        <v>2</v>
      </c>
      <c r="N720" t="s">
        <v>31</v>
      </c>
      <c r="O720" t="s">
        <v>32</v>
      </c>
      <c r="P720">
        <v>1</v>
      </c>
      <c r="Q720">
        <v>20</v>
      </c>
      <c r="R720">
        <v>3</v>
      </c>
      <c r="S720" t="s">
        <v>31</v>
      </c>
      <c r="T720">
        <v>8</v>
      </c>
      <c r="U720" t="s">
        <v>31</v>
      </c>
      <c r="V720" s="1">
        <v>42024</v>
      </c>
      <c r="X720" s="1" t="str">
        <f t="shared" si="33"/>
        <v>Active</v>
      </c>
      <c r="Y720" t="str">
        <f t="shared" si="34"/>
        <v>26-35</v>
      </c>
      <c r="Z720" t="str">
        <f t="shared" si="35"/>
        <v>0-1 Year</v>
      </c>
    </row>
    <row r="721" spans="1:26" x14ac:dyDescent="0.35">
      <c r="A721" t="s">
        <v>777</v>
      </c>
      <c r="B721">
        <v>32</v>
      </c>
      <c r="C721" t="s">
        <v>27</v>
      </c>
      <c r="D721" t="s">
        <v>52</v>
      </c>
      <c r="E721" t="s">
        <v>53</v>
      </c>
      <c r="F721" t="s">
        <v>61</v>
      </c>
      <c r="G721">
        <v>40276</v>
      </c>
      <c r="H721">
        <v>0</v>
      </c>
      <c r="I721">
        <v>8</v>
      </c>
      <c r="J721">
        <v>1</v>
      </c>
      <c r="K721">
        <v>1</v>
      </c>
      <c r="L721">
        <v>2</v>
      </c>
      <c r="M721">
        <v>1</v>
      </c>
      <c r="N721" t="s">
        <v>31</v>
      </c>
      <c r="O721" t="s">
        <v>32</v>
      </c>
      <c r="P721">
        <v>5</v>
      </c>
      <c r="Q721">
        <v>56</v>
      </c>
      <c r="R721">
        <v>3</v>
      </c>
      <c r="S721" t="s">
        <v>31</v>
      </c>
      <c r="T721">
        <v>4</v>
      </c>
      <c r="U721" t="s">
        <v>31</v>
      </c>
      <c r="V721" s="1">
        <v>41978</v>
      </c>
      <c r="X721" s="1" t="str">
        <f t="shared" si="33"/>
        <v>Active</v>
      </c>
      <c r="Y721" t="str">
        <f t="shared" si="34"/>
        <v>26-35</v>
      </c>
      <c r="Z721" t="str">
        <f t="shared" si="35"/>
        <v>0-1 Year</v>
      </c>
    </row>
    <row r="722" spans="1:26" x14ac:dyDescent="0.35">
      <c r="A722" t="s">
        <v>778</v>
      </c>
      <c r="B722">
        <v>27</v>
      </c>
      <c r="C722" t="s">
        <v>27</v>
      </c>
      <c r="D722" t="s">
        <v>49</v>
      </c>
      <c r="E722" t="s">
        <v>68</v>
      </c>
      <c r="F722" t="s">
        <v>61</v>
      </c>
      <c r="G722">
        <v>67742</v>
      </c>
      <c r="H722">
        <v>4</v>
      </c>
      <c r="I722">
        <v>5</v>
      </c>
      <c r="J722">
        <v>2</v>
      </c>
      <c r="K722">
        <v>4</v>
      </c>
      <c r="L722">
        <v>2</v>
      </c>
      <c r="M722">
        <v>2</v>
      </c>
      <c r="N722" t="s">
        <v>31</v>
      </c>
      <c r="O722" t="s">
        <v>32</v>
      </c>
      <c r="P722">
        <v>6</v>
      </c>
      <c r="Q722">
        <v>33</v>
      </c>
      <c r="R722">
        <v>3</v>
      </c>
      <c r="S722" t="s">
        <v>31</v>
      </c>
      <c r="T722">
        <v>2</v>
      </c>
      <c r="U722" t="s">
        <v>31</v>
      </c>
      <c r="V722" s="1">
        <v>41269</v>
      </c>
      <c r="X722" s="1" t="str">
        <f t="shared" si="33"/>
        <v>Active</v>
      </c>
      <c r="Y722" t="str">
        <f t="shared" si="34"/>
        <v>26-35</v>
      </c>
      <c r="Z722" t="str">
        <f t="shared" si="35"/>
        <v>4-5 Years</v>
      </c>
    </row>
    <row r="723" spans="1:26" x14ac:dyDescent="0.35">
      <c r="A723" t="s">
        <v>779</v>
      </c>
      <c r="B723">
        <v>51</v>
      </c>
      <c r="C723" t="s">
        <v>27</v>
      </c>
      <c r="D723" t="s">
        <v>39</v>
      </c>
      <c r="E723" t="s">
        <v>40</v>
      </c>
      <c r="F723" t="s">
        <v>61</v>
      </c>
      <c r="G723">
        <v>145877</v>
      </c>
      <c r="H723">
        <v>24</v>
      </c>
      <c r="I723">
        <v>27</v>
      </c>
      <c r="J723">
        <v>5</v>
      </c>
      <c r="K723">
        <v>4</v>
      </c>
      <c r="L723">
        <v>4</v>
      </c>
      <c r="M723">
        <v>4</v>
      </c>
      <c r="N723" t="s">
        <v>31</v>
      </c>
      <c r="O723" t="s">
        <v>32</v>
      </c>
      <c r="P723">
        <v>22</v>
      </c>
      <c r="Q723">
        <v>17</v>
      </c>
      <c r="R723">
        <v>3</v>
      </c>
      <c r="S723" t="s">
        <v>31</v>
      </c>
      <c r="T723">
        <v>2</v>
      </c>
      <c r="U723" t="s">
        <v>31</v>
      </c>
      <c r="V723" s="1">
        <v>44890</v>
      </c>
      <c r="X723" s="1" t="str">
        <f t="shared" si="33"/>
        <v>Active</v>
      </c>
      <c r="Y723" t="str">
        <f t="shared" si="34"/>
        <v>46-55</v>
      </c>
      <c r="Z723" t="str">
        <f t="shared" si="35"/>
        <v>10+ Years</v>
      </c>
    </row>
    <row r="724" spans="1:26" x14ac:dyDescent="0.35">
      <c r="A724" t="s">
        <v>780</v>
      </c>
      <c r="B724">
        <v>32</v>
      </c>
      <c r="C724" t="s">
        <v>44</v>
      </c>
      <c r="D724" t="s">
        <v>28</v>
      </c>
      <c r="E724" t="s">
        <v>66</v>
      </c>
      <c r="F724" t="s">
        <v>41</v>
      </c>
      <c r="G724">
        <v>61389</v>
      </c>
      <c r="H724">
        <v>2</v>
      </c>
      <c r="I724">
        <v>11</v>
      </c>
      <c r="J724">
        <v>2</v>
      </c>
      <c r="K724">
        <v>2</v>
      </c>
      <c r="L724">
        <v>1</v>
      </c>
      <c r="M724">
        <v>1</v>
      </c>
      <c r="N724" t="s">
        <v>31</v>
      </c>
      <c r="O724" t="s">
        <v>32</v>
      </c>
      <c r="P724">
        <v>8</v>
      </c>
      <c r="Q724">
        <v>19</v>
      </c>
      <c r="R724">
        <v>2</v>
      </c>
      <c r="S724" t="s">
        <v>31</v>
      </c>
      <c r="T724">
        <v>5</v>
      </c>
      <c r="U724" t="s">
        <v>31</v>
      </c>
      <c r="V724" s="1">
        <v>43055</v>
      </c>
      <c r="X724" s="1" t="str">
        <f t="shared" si="33"/>
        <v>Active</v>
      </c>
      <c r="Y724" t="str">
        <f t="shared" si="34"/>
        <v>26-35</v>
      </c>
      <c r="Z724" t="str">
        <f t="shared" si="35"/>
        <v>2-3 Years</v>
      </c>
    </row>
    <row r="725" spans="1:26" x14ac:dyDescent="0.35">
      <c r="A725" t="s">
        <v>781</v>
      </c>
      <c r="B725">
        <v>54</v>
      </c>
      <c r="C725" t="s">
        <v>27</v>
      </c>
      <c r="D725" t="s">
        <v>35</v>
      </c>
      <c r="E725" t="s">
        <v>36</v>
      </c>
      <c r="F725" t="s">
        <v>61</v>
      </c>
      <c r="G725">
        <v>161863</v>
      </c>
      <c r="H725">
        <v>30</v>
      </c>
      <c r="I725">
        <v>31</v>
      </c>
      <c r="J725">
        <v>5</v>
      </c>
      <c r="K725">
        <v>4</v>
      </c>
      <c r="L725">
        <v>3</v>
      </c>
      <c r="M725">
        <v>2</v>
      </c>
      <c r="N725" t="s">
        <v>31</v>
      </c>
      <c r="O725" t="s">
        <v>32</v>
      </c>
      <c r="P725">
        <v>10</v>
      </c>
      <c r="Q725">
        <v>55</v>
      </c>
      <c r="R725">
        <v>4</v>
      </c>
      <c r="S725" t="s">
        <v>31</v>
      </c>
      <c r="T725">
        <v>3</v>
      </c>
      <c r="U725" t="s">
        <v>33</v>
      </c>
      <c r="V725" s="1">
        <v>43658</v>
      </c>
      <c r="W725" s="1">
        <v>44394</v>
      </c>
      <c r="X725" s="1" t="str">
        <f t="shared" si="33"/>
        <v>2021-07-17</v>
      </c>
      <c r="Y725" t="str">
        <f t="shared" si="34"/>
        <v>46-55</v>
      </c>
      <c r="Z725" t="str">
        <f t="shared" si="35"/>
        <v>10+ Years</v>
      </c>
    </row>
    <row r="726" spans="1:26" x14ac:dyDescent="0.35">
      <c r="A726" t="s">
        <v>782</v>
      </c>
      <c r="B726">
        <v>50</v>
      </c>
      <c r="C726" t="s">
        <v>44</v>
      </c>
      <c r="D726" t="s">
        <v>28</v>
      </c>
      <c r="E726" t="s">
        <v>29</v>
      </c>
      <c r="F726" t="s">
        <v>78</v>
      </c>
      <c r="G726">
        <v>140937</v>
      </c>
      <c r="H726">
        <v>18</v>
      </c>
      <c r="I726">
        <v>26</v>
      </c>
      <c r="J726">
        <v>5</v>
      </c>
      <c r="K726">
        <v>1</v>
      </c>
      <c r="L726">
        <v>4</v>
      </c>
      <c r="M726">
        <v>2</v>
      </c>
      <c r="N726" t="s">
        <v>33</v>
      </c>
      <c r="O726" t="s">
        <v>32</v>
      </c>
      <c r="P726">
        <v>9</v>
      </c>
      <c r="Q726">
        <v>41</v>
      </c>
      <c r="R726">
        <v>3</v>
      </c>
      <c r="S726" t="s">
        <v>31</v>
      </c>
      <c r="T726">
        <v>6</v>
      </c>
      <c r="U726" t="s">
        <v>31</v>
      </c>
      <c r="V726" s="1">
        <v>44125</v>
      </c>
      <c r="X726" s="1" t="str">
        <f t="shared" si="33"/>
        <v>Active</v>
      </c>
      <c r="Y726" t="str">
        <f t="shared" si="34"/>
        <v>46-55</v>
      </c>
      <c r="Z726" t="str">
        <f t="shared" si="35"/>
        <v>10+ Years</v>
      </c>
    </row>
    <row r="727" spans="1:26" x14ac:dyDescent="0.35">
      <c r="A727" t="s">
        <v>783</v>
      </c>
      <c r="B727">
        <v>45</v>
      </c>
      <c r="C727" t="s">
        <v>27</v>
      </c>
      <c r="D727" t="s">
        <v>39</v>
      </c>
      <c r="E727" t="s">
        <v>40</v>
      </c>
      <c r="F727" t="s">
        <v>56</v>
      </c>
      <c r="G727">
        <v>145548</v>
      </c>
      <c r="H727">
        <v>21</v>
      </c>
      <c r="I727">
        <v>23</v>
      </c>
      <c r="J727">
        <v>5</v>
      </c>
      <c r="K727">
        <v>1</v>
      </c>
      <c r="L727">
        <v>3</v>
      </c>
      <c r="M727">
        <v>2</v>
      </c>
      <c r="N727" t="s">
        <v>31</v>
      </c>
      <c r="O727" t="s">
        <v>32</v>
      </c>
      <c r="P727">
        <v>16</v>
      </c>
      <c r="Q727">
        <v>56</v>
      </c>
      <c r="R727">
        <v>3</v>
      </c>
      <c r="S727" t="s">
        <v>31</v>
      </c>
      <c r="T727">
        <v>3</v>
      </c>
      <c r="U727" t="s">
        <v>31</v>
      </c>
      <c r="V727" s="1">
        <v>43275</v>
      </c>
      <c r="X727" s="1" t="str">
        <f t="shared" si="33"/>
        <v>Active</v>
      </c>
      <c r="Y727" t="str">
        <f t="shared" si="34"/>
        <v>36-45</v>
      </c>
      <c r="Z727" t="str">
        <f t="shared" si="35"/>
        <v>10+ Years</v>
      </c>
    </row>
    <row r="728" spans="1:26" x14ac:dyDescent="0.35">
      <c r="A728" t="s">
        <v>784</v>
      </c>
      <c r="B728">
        <v>36</v>
      </c>
      <c r="C728" t="s">
        <v>44</v>
      </c>
      <c r="D728" t="s">
        <v>39</v>
      </c>
      <c r="E728" t="s">
        <v>74</v>
      </c>
      <c r="F728" t="s">
        <v>61</v>
      </c>
      <c r="G728">
        <v>121028</v>
      </c>
      <c r="H728">
        <v>11</v>
      </c>
      <c r="I728">
        <v>13</v>
      </c>
      <c r="J728">
        <v>5</v>
      </c>
      <c r="K728">
        <v>3</v>
      </c>
      <c r="L728">
        <v>2</v>
      </c>
      <c r="M728">
        <v>2</v>
      </c>
      <c r="N728" t="s">
        <v>33</v>
      </c>
      <c r="O728" t="s">
        <v>32</v>
      </c>
      <c r="P728">
        <v>6</v>
      </c>
      <c r="Q728">
        <v>28</v>
      </c>
      <c r="R728">
        <v>3</v>
      </c>
      <c r="S728" t="s">
        <v>31</v>
      </c>
      <c r="T728">
        <v>4</v>
      </c>
      <c r="U728" t="s">
        <v>31</v>
      </c>
      <c r="V728" s="1">
        <v>44160</v>
      </c>
      <c r="X728" s="1" t="str">
        <f t="shared" si="33"/>
        <v>Active</v>
      </c>
      <c r="Y728" t="str">
        <f t="shared" si="34"/>
        <v>36-45</v>
      </c>
      <c r="Z728" t="str">
        <f t="shared" si="35"/>
        <v>10+ Years</v>
      </c>
    </row>
    <row r="729" spans="1:26" x14ac:dyDescent="0.35">
      <c r="A729" t="s">
        <v>785</v>
      </c>
      <c r="B729">
        <v>57</v>
      </c>
      <c r="C729" t="s">
        <v>27</v>
      </c>
      <c r="D729" t="s">
        <v>39</v>
      </c>
      <c r="E729" t="s">
        <v>40</v>
      </c>
      <c r="F729" t="s">
        <v>30</v>
      </c>
      <c r="G729">
        <v>43487</v>
      </c>
      <c r="H729">
        <v>0</v>
      </c>
      <c r="I729">
        <v>35</v>
      </c>
      <c r="J729">
        <v>1</v>
      </c>
      <c r="K729">
        <v>2</v>
      </c>
      <c r="L729">
        <v>2</v>
      </c>
      <c r="M729">
        <v>2</v>
      </c>
      <c r="N729" t="s">
        <v>31</v>
      </c>
      <c r="O729" t="s">
        <v>42</v>
      </c>
      <c r="P729">
        <v>27</v>
      </c>
      <c r="Q729">
        <v>11</v>
      </c>
      <c r="R729">
        <v>3</v>
      </c>
      <c r="S729" t="s">
        <v>31</v>
      </c>
      <c r="T729">
        <v>7</v>
      </c>
      <c r="U729" t="s">
        <v>31</v>
      </c>
      <c r="V729" s="1">
        <v>44204</v>
      </c>
      <c r="X729" s="1" t="str">
        <f t="shared" si="33"/>
        <v>Active</v>
      </c>
      <c r="Y729" t="str">
        <f t="shared" si="34"/>
        <v>56+</v>
      </c>
      <c r="Z729" t="str">
        <f t="shared" si="35"/>
        <v>0-1 Year</v>
      </c>
    </row>
    <row r="730" spans="1:26" x14ac:dyDescent="0.35">
      <c r="A730" t="s">
        <v>786</v>
      </c>
      <c r="B730">
        <v>29</v>
      </c>
      <c r="C730" t="s">
        <v>44</v>
      </c>
      <c r="D730" t="s">
        <v>39</v>
      </c>
      <c r="E730" t="s">
        <v>40</v>
      </c>
      <c r="F730" t="s">
        <v>56</v>
      </c>
      <c r="G730">
        <v>82700</v>
      </c>
      <c r="H730">
        <v>5</v>
      </c>
      <c r="I730">
        <v>8</v>
      </c>
      <c r="J730">
        <v>3</v>
      </c>
      <c r="K730">
        <v>1</v>
      </c>
      <c r="L730">
        <v>1</v>
      </c>
      <c r="M730">
        <v>1</v>
      </c>
      <c r="N730" t="s">
        <v>31</v>
      </c>
      <c r="O730" t="s">
        <v>32</v>
      </c>
      <c r="P730">
        <v>3</v>
      </c>
      <c r="Q730">
        <v>15</v>
      </c>
      <c r="R730">
        <v>3</v>
      </c>
      <c r="S730" t="s">
        <v>31</v>
      </c>
      <c r="T730">
        <v>3</v>
      </c>
      <c r="U730" t="s">
        <v>31</v>
      </c>
      <c r="V730" s="1">
        <v>42903</v>
      </c>
      <c r="X730" s="1" t="str">
        <f t="shared" si="33"/>
        <v>Active</v>
      </c>
      <c r="Y730" t="str">
        <f t="shared" si="34"/>
        <v>26-35</v>
      </c>
      <c r="Z730" t="str">
        <f t="shared" si="35"/>
        <v>4-5 Years</v>
      </c>
    </row>
    <row r="731" spans="1:26" x14ac:dyDescent="0.35">
      <c r="A731" t="s">
        <v>787</v>
      </c>
      <c r="B731">
        <v>55</v>
      </c>
      <c r="C731" t="s">
        <v>44</v>
      </c>
      <c r="D731" t="s">
        <v>28</v>
      </c>
      <c r="E731" t="s">
        <v>29</v>
      </c>
      <c r="F731" t="s">
        <v>78</v>
      </c>
      <c r="G731">
        <v>128249</v>
      </c>
      <c r="H731">
        <v>15</v>
      </c>
      <c r="I731">
        <v>31</v>
      </c>
      <c r="J731">
        <v>5</v>
      </c>
      <c r="K731">
        <v>4</v>
      </c>
      <c r="L731">
        <v>1</v>
      </c>
      <c r="M731">
        <v>1</v>
      </c>
      <c r="N731" t="s">
        <v>31</v>
      </c>
      <c r="O731" t="s">
        <v>32</v>
      </c>
      <c r="P731">
        <v>23</v>
      </c>
      <c r="Q731">
        <v>43</v>
      </c>
      <c r="R731">
        <v>3</v>
      </c>
      <c r="S731" t="s">
        <v>31</v>
      </c>
      <c r="T731">
        <v>4</v>
      </c>
      <c r="U731" t="s">
        <v>31</v>
      </c>
      <c r="V731" s="1">
        <v>42513</v>
      </c>
      <c r="X731" s="1" t="str">
        <f t="shared" si="33"/>
        <v>Active</v>
      </c>
      <c r="Y731" t="str">
        <f t="shared" si="34"/>
        <v>46-55</v>
      </c>
      <c r="Z731" t="str">
        <f t="shared" si="35"/>
        <v>10+ Years</v>
      </c>
    </row>
    <row r="732" spans="1:26" x14ac:dyDescent="0.35">
      <c r="A732" t="s">
        <v>788</v>
      </c>
      <c r="B732">
        <v>29</v>
      </c>
      <c r="C732" t="s">
        <v>27</v>
      </c>
      <c r="D732" t="s">
        <v>45</v>
      </c>
      <c r="E732" t="s">
        <v>63</v>
      </c>
      <c r="F732" t="s">
        <v>56</v>
      </c>
      <c r="G732">
        <v>42944</v>
      </c>
      <c r="H732">
        <v>1</v>
      </c>
      <c r="I732">
        <v>7</v>
      </c>
      <c r="J732">
        <v>1</v>
      </c>
      <c r="K732">
        <v>1</v>
      </c>
      <c r="L732">
        <v>4</v>
      </c>
      <c r="M732">
        <v>1</v>
      </c>
      <c r="N732" t="s">
        <v>33</v>
      </c>
      <c r="O732" t="s">
        <v>42</v>
      </c>
      <c r="P732">
        <v>15</v>
      </c>
      <c r="Q732">
        <v>28</v>
      </c>
      <c r="R732">
        <v>4</v>
      </c>
      <c r="S732" t="s">
        <v>31</v>
      </c>
      <c r="T732">
        <v>3</v>
      </c>
      <c r="U732" t="s">
        <v>31</v>
      </c>
      <c r="V732" s="1">
        <v>43785</v>
      </c>
      <c r="X732" s="1" t="str">
        <f t="shared" si="33"/>
        <v>Active</v>
      </c>
      <c r="Y732" t="str">
        <f t="shared" si="34"/>
        <v>26-35</v>
      </c>
      <c r="Z732" t="str">
        <f t="shared" si="35"/>
        <v>0-1 Year</v>
      </c>
    </row>
    <row r="733" spans="1:26" x14ac:dyDescent="0.35">
      <c r="A733" t="s">
        <v>789</v>
      </c>
      <c r="B733">
        <v>37</v>
      </c>
      <c r="C733" t="s">
        <v>44</v>
      </c>
      <c r="D733" t="s">
        <v>28</v>
      </c>
      <c r="E733" t="s">
        <v>29</v>
      </c>
      <c r="F733" t="s">
        <v>78</v>
      </c>
      <c r="G733">
        <v>37125</v>
      </c>
      <c r="H733">
        <v>0</v>
      </c>
      <c r="I733">
        <v>14</v>
      </c>
      <c r="J733">
        <v>1</v>
      </c>
      <c r="K733">
        <v>2</v>
      </c>
      <c r="L733">
        <v>3</v>
      </c>
      <c r="M733">
        <v>4</v>
      </c>
      <c r="N733" t="s">
        <v>31</v>
      </c>
      <c r="O733" t="s">
        <v>32</v>
      </c>
      <c r="P733">
        <v>14</v>
      </c>
      <c r="Q733">
        <v>57</v>
      </c>
      <c r="R733">
        <v>3</v>
      </c>
      <c r="S733" t="s">
        <v>31</v>
      </c>
      <c r="T733">
        <v>9</v>
      </c>
      <c r="U733" t="s">
        <v>31</v>
      </c>
      <c r="V733" s="1">
        <v>44368</v>
      </c>
      <c r="X733" s="1" t="str">
        <f t="shared" si="33"/>
        <v>Active</v>
      </c>
      <c r="Y733" t="str">
        <f t="shared" si="34"/>
        <v>36-45</v>
      </c>
      <c r="Z733" t="str">
        <f t="shared" si="35"/>
        <v>0-1 Year</v>
      </c>
    </row>
    <row r="734" spans="1:26" x14ac:dyDescent="0.35">
      <c r="A734" t="s">
        <v>790</v>
      </c>
      <c r="B734">
        <v>34</v>
      </c>
      <c r="C734" t="s">
        <v>44</v>
      </c>
      <c r="D734" t="s">
        <v>49</v>
      </c>
      <c r="E734" t="s">
        <v>50</v>
      </c>
      <c r="F734" t="s">
        <v>61</v>
      </c>
      <c r="G734">
        <v>99106</v>
      </c>
      <c r="H734">
        <v>7</v>
      </c>
      <c r="I734">
        <v>13</v>
      </c>
      <c r="J734">
        <v>4</v>
      </c>
      <c r="K734">
        <v>2</v>
      </c>
      <c r="L734">
        <v>1</v>
      </c>
      <c r="M734">
        <v>4</v>
      </c>
      <c r="N734" t="s">
        <v>31</v>
      </c>
      <c r="O734" t="s">
        <v>32</v>
      </c>
      <c r="P734">
        <v>5</v>
      </c>
      <c r="Q734">
        <v>18</v>
      </c>
      <c r="R734">
        <v>3</v>
      </c>
      <c r="S734" t="s">
        <v>31</v>
      </c>
      <c r="T734">
        <v>5</v>
      </c>
      <c r="U734" t="s">
        <v>31</v>
      </c>
      <c r="V734" s="1">
        <v>42987</v>
      </c>
      <c r="X734" s="1" t="str">
        <f t="shared" si="33"/>
        <v>Active</v>
      </c>
      <c r="Y734" t="str">
        <f t="shared" si="34"/>
        <v>26-35</v>
      </c>
      <c r="Z734" t="str">
        <f t="shared" si="35"/>
        <v>6-10 Years</v>
      </c>
    </row>
    <row r="735" spans="1:26" x14ac:dyDescent="0.35">
      <c r="A735" t="s">
        <v>791</v>
      </c>
      <c r="B735">
        <v>26</v>
      </c>
      <c r="C735" t="s">
        <v>44</v>
      </c>
      <c r="D735" t="s">
        <v>35</v>
      </c>
      <c r="E735" t="s">
        <v>36</v>
      </c>
      <c r="F735" t="s">
        <v>41</v>
      </c>
      <c r="G735">
        <v>63977</v>
      </c>
      <c r="H735">
        <v>4</v>
      </c>
      <c r="I735">
        <v>4</v>
      </c>
      <c r="J735">
        <v>2</v>
      </c>
      <c r="K735">
        <v>3</v>
      </c>
      <c r="L735">
        <v>1</v>
      </c>
      <c r="M735">
        <v>4</v>
      </c>
      <c r="N735" t="s">
        <v>31</v>
      </c>
      <c r="O735" t="s">
        <v>32</v>
      </c>
      <c r="P735">
        <v>14</v>
      </c>
      <c r="Q735">
        <v>20</v>
      </c>
      <c r="R735">
        <v>3</v>
      </c>
      <c r="S735" t="s">
        <v>31</v>
      </c>
      <c r="T735">
        <v>5</v>
      </c>
      <c r="U735" t="s">
        <v>31</v>
      </c>
      <c r="V735" s="1">
        <v>43112</v>
      </c>
      <c r="X735" s="1" t="str">
        <f t="shared" si="33"/>
        <v>Active</v>
      </c>
      <c r="Y735" t="str">
        <f t="shared" si="34"/>
        <v>26-35</v>
      </c>
      <c r="Z735" t="str">
        <f t="shared" si="35"/>
        <v>4-5 Years</v>
      </c>
    </row>
    <row r="736" spans="1:26" x14ac:dyDescent="0.35">
      <c r="A736" t="s">
        <v>792</v>
      </c>
      <c r="B736">
        <v>25</v>
      </c>
      <c r="C736" t="s">
        <v>27</v>
      </c>
      <c r="D736" t="s">
        <v>52</v>
      </c>
      <c r="E736" t="s">
        <v>55</v>
      </c>
      <c r="F736" t="s">
        <v>78</v>
      </c>
      <c r="G736">
        <v>55133</v>
      </c>
      <c r="H736">
        <v>0</v>
      </c>
      <c r="I736">
        <v>3</v>
      </c>
      <c r="J736">
        <v>2</v>
      </c>
      <c r="K736">
        <v>4</v>
      </c>
      <c r="L736">
        <v>2</v>
      </c>
      <c r="M736">
        <v>4</v>
      </c>
      <c r="N736" t="s">
        <v>31</v>
      </c>
      <c r="O736" t="s">
        <v>32</v>
      </c>
      <c r="P736">
        <v>17</v>
      </c>
      <c r="Q736">
        <v>58</v>
      </c>
      <c r="R736">
        <v>3</v>
      </c>
      <c r="S736" t="s">
        <v>31</v>
      </c>
      <c r="T736">
        <v>8</v>
      </c>
      <c r="U736" t="s">
        <v>33</v>
      </c>
      <c r="V736" s="1">
        <v>42779</v>
      </c>
      <c r="W736" s="1">
        <v>43151</v>
      </c>
      <c r="X736" s="1" t="str">
        <f t="shared" si="33"/>
        <v>2018-02-20</v>
      </c>
      <c r="Y736" t="str">
        <f t="shared" si="34"/>
        <v>18-25</v>
      </c>
      <c r="Z736" t="str">
        <f t="shared" si="35"/>
        <v>0-1 Year</v>
      </c>
    </row>
    <row r="737" spans="1:26" x14ac:dyDescent="0.35">
      <c r="A737" t="s">
        <v>793</v>
      </c>
      <c r="B737">
        <v>28</v>
      </c>
      <c r="C737" t="s">
        <v>44</v>
      </c>
      <c r="D737" t="s">
        <v>39</v>
      </c>
      <c r="E737" t="s">
        <v>74</v>
      </c>
      <c r="F737" t="s">
        <v>56</v>
      </c>
      <c r="G737">
        <v>76764</v>
      </c>
      <c r="H737">
        <v>4</v>
      </c>
      <c r="I737">
        <v>7</v>
      </c>
      <c r="J737">
        <v>3</v>
      </c>
      <c r="K737">
        <v>3</v>
      </c>
      <c r="L737">
        <v>3</v>
      </c>
      <c r="M737">
        <v>3</v>
      </c>
      <c r="N737" t="s">
        <v>31</v>
      </c>
      <c r="O737" t="s">
        <v>42</v>
      </c>
      <c r="P737">
        <v>18</v>
      </c>
      <c r="Q737">
        <v>30</v>
      </c>
      <c r="R737">
        <v>3</v>
      </c>
      <c r="S737" t="s">
        <v>31</v>
      </c>
      <c r="T737">
        <v>7</v>
      </c>
      <c r="U737" t="s">
        <v>31</v>
      </c>
      <c r="V737" s="1">
        <v>44668</v>
      </c>
      <c r="X737" s="1" t="str">
        <f t="shared" si="33"/>
        <v>Active</v>
      </c>
      <c r="Y737" t="str">
        <f t="shared" si="34"/>
        <v>26-35</v>
      </c>
      <c r="Z737" t="str">
        <f t="shared" si="35"/>
        <v>4-5 Years</v>
      </c>
    </row>
    <row r="738" spans="1:26" x14ac:dyDescent="0.35">
      <c r="A738" t="s">
        <v>794</v>
      </c>
      <c r="B738">
        <v>50</v>
      </c>
      <c r="C738" t="s">
        <v>27</v>
      </c>
      <c r="D738" t="s">
        <v>49</v>
      </c>
      <c r="E738" t="s">
        <v>68</v>
      </c>
      <c r="F738" t="s">
        <v>30</v>
      </c>
      <c r="G738">
        <v>98114</v>
      </c>
      <c r="H738">
        <v>6</v>
      </c>
      <c r="I738">
        <v>29</v>
      </c>
      <c r="J738">
        <v>4</v>
      </c>
      <c r="K738">
        <v>3</v>
      </c>
      <c r="L738">
        <v>4</v>
      </c>
      <c r="M738">
        <v>3</v>
      </c>
      <c r="N738" t="s">
        <v>31</v>
      </c>
      <c r="O738" t="s">
        <v>32</v>
      </c>
      <c r="P738">
        <v>27</v>
      </c>
      <c r="Q738">
        <v>48</v>
      </c>
      <c r="R738">
        <v>3</v>
      </c>
      <c r="S738" t="s">
        <v>33</v>
      </c>
      <c r="T738">
        <v>4</v>
      </c>
      <c r="U738" t="s">
        <v>31</v>
      </c>
      <c r="V738" s="1">
        <v>42085</v>
      </c>
      <c r="X738" s="1" t="str">
        <f t="shared" si="33"/>
        <v>Active</v>
      </c>
      <c r="Y738" t="str">
        <f t="shared" si="34"/>
        <v>46-55</v>
      </c>
      <c r="Z738" t="str">
        <f t="shared" si="35"/>
        <v>6-10 Years</v>
      </c>
    </row>
    <row r="739" spans="1:26" x14ac:dyDescent="0.35">
      <c r="A739" t="s">
        <v>795</v>
      </c>
      <c r="B739">
        <v>25</v>
      </c>
      <c r="C739" t="s">
        <v>27</v>
      </c>
      <c r="D739" t="s">
        <v>39</v>
      </c>
      <c r="E739" t="s">
        <v>40</v>
      </c>
      <c r="F739" t="s">
        <v>30</v>
      </c>
      <c r="G739">
        <v>59243</v>
      </c>
      <c r="H739">
        <v>0</v>
      </c>
      <c r="I739">
        <v>1</v>
      </c>
      <c r="J739">
        <v>2</v>
      </c>
      <c r="K739">
        <v>3</v>
      </c>
      <c r="L739">
        <v>4</v>
      </c>
      <c r="M739">
        <v>3</v>
      </c>
      <c r="N739" t="s">
        <v>31</v>
      </c>
      <c r="O739" t="s">
        <v>32</v>
      </c>
      <c r="P739">
        <v>12</v>
      </c>
      <c r="Q739">
        <v>42</v>
      </c>
      <c r="R739">
        <v>3</v>
      </c>
      <c r="S739" t="s">
        <v>31</v>
      </c>
      <c r="T739">
        <v>6</v>
      </c>
      <c r="U739" t="s">
        <v>31</v>
      </c>
      <c r="V739" s="1">
        <v>44706</v>
      </c>
      <c r="X739" s="1" t="str">
        <f t="shared" si="33"/>
        <v>Active</v>
      </c>
      <c r="Y739" t="str">
        <f t="shared" si="34"/>
        <v>18-25</v>
      </c>
      <c r="Z739" t="str">
        <f t="shared" si="35"/>
        <v>0-1 Year</v>
      </c>
    </row>
    <row r="740" spans="1:26" x14ac:dyDescent="0.35">
      <c r="A740" t="s">
        <v>796</v>
      </c>
      <c r="B740">
        <v>57</v>
      </c>
      <c r="C740" t="s">
        <v>27</v>
      </c>
      <c r="D740" t="s">
        <v>39</v>
      </c>
      <c r="E740" t="s">
        <v>59</v>
      </c>
      <c r="F740" t="s">
        <v>61</v>
      </c>
      <c r="G740">
        <v>160619</v>
      </c>
      <c r="H740">
        <v>29</v>
      </c>
      <c r="I740">
        <v>33</v>
      </c>
      <c r="J740">
        <v>5</v>
      </c>
      <c r="K740">
        <v>2</v>
      </c>
      <c r="L740">
        <v>4</v>
      </c>
      <c r="M740">
        <v>2</v>
      </c>
      <c r="N740" t="s">
        <v>31</v>
      </c>
      <c r="O740" t="s">
        <v>32</v>
      </c>
      <c r="P740">
        <v>2</v>
      </c>
      <c r="Q740">
        <v>29</v>
      </c>
      <c r="R740">
        <v>3</v>
      </c>
      <c r="S740" t="s">
        <v>31</v>
      </c>
      <c r="T740">
        <v>9</v>
      </c>
      <c r="U740" t="s">
        <v>33</v>
      </c>
      <c r="V740" s="1">
        <v>45218</v>
      </c>
      <c r="W740" s="1">
        <v>45923</v>
      </c>
      <c r="X740" s="1" t="str">
        <f t="shared" si="33"/>
        <v>2025-09-23</v>
      </c>
      <c r="Y740" t="str">
        <f t="shared" si="34"/>
        <v>56+</v>
      </c>
      <c r="Z740" t="str">
        <f t="shared" si="35"/>
        <v>10+ Years</v>
      </c>
    </row>
    <row r="741" spans="1:26" x14ac:dyDescent="0.35">
      <c r="A741" t="s">
        <v>797</v>
      </c>
      <c r="B741">
        <v>51</v>
      </c>
      <c r="C741" t="s">
        <v>27</v>
      </c>
      <c r="D741" t="s">
        <v>49</v>
      </c>
      <c r="E741" t="s">
        <v>68</v>
      </c>
      <c r="F741" t="s">
        <v>78</v>
      </c>
      <c r="G741">
        <v>150661</v>
      </c>
      <c r="H741">
        <v>25</v>
      </c>
      <c r="I741">
        <v>30</v>
      </c>
      <c r="J741">
        <v>5</v>
      </c>
      <c r="K741">
        <v>2</v>
      </c>
      <c r="L741">
        <v>2</v>
      </c>
      <c r="M741">
        <v>1</v>
      </c>
      <c r="N741" t="s">
        <v>31</v>
      </c>
      <c r="O741" t="s">
        <v>42</v>
      </c>
      <c r="P741">
        <v>21</v>
      </c>
      <c r="Q741">
        <v>28</v>
      </c>
      <c r="R741">
        <v>3</v>
      </c>
      <c r="S741" t="s">
        <v>31</v>
      </c>
      <c r="T741">
        <v>9</v>
      </c>
      <c r="U741" t="s">
        <v>31</v>
      </c>
      <c r="V741" s="1">
        <v>42181</v>
      </c>
      <c r="X741" s="1" t="str">
        <f t="shared" si="33"/>
        <v>Active</v>
      </c>
      <c r="Y741" t="str">
        <f t="shared" si="34"/>
        <v>46-55</v>
      </c>
      <c r="Z741" t="str">
        <f t="shared" si="35"/>
        <v>10+ Years</v>
      </c>
    </row>
    <row r="742" spans="1:26" x14ac:dyDescent="0.35">
      <c r="A742" t="s">
        <v>798</v>
      </c>
      <c r="B742">
        <v>25</v>
      </c>
      <c r="C742" t="s">
        <v>44</v>
      </c>
      <c r="D742" t="s">
        <v>28</v>
      </c>
      <c r="E742" t="s">
        <v>66</v>
      </c>
      <c r="F742" t="s">
        <v>78</v>
      </c>
      <c r="G742">
        <v>57021</v>
      </c>
      <c r="H742">
        <v>2</v>
      </c>
      <c r="I742">
        <v>2</v>
      </c>
      <c r="J742">
        <v>2</v>
      </c>
      <c r="K742">
        <v>4</v>
      </c>
      <c r="L742">
        <v>2</v>
      </c>
      <c r="M742">
        <v>2</v>
      </c>
      <c r="N742" t="s">
        <v>31</v>
      </c>
      <c r="O742" t="s">
        <v>42</v>
      </c>
      <c r="P742">
        <v>28</v>
      </c>
      <c r="Q742">
        <v>49</v>
      </c>
      <c r="R742">
        <v>3</v>
      </c>
      <c r="S742" t="s">
        <v>31</v>
      </c>
      <c r="T742">
        <v>7</v>
      </c>
      <c r="U742" t="s">
        <v>31</v>
      </c>
      <c r="V742" s="1">
        <v>45068</v>
      </c>
      <c r="X742" s="1" t="str">
        <f t="shared" si="33"/>
        <v>Active</v>
      </c>
      <c r="Y742" t="str">
        <f t="shared" si="34"/>
        <v>18-25</v>
      </c>
      <c r="Z742" t="str">
        <f t="shared" si="35"/>
        <v>2-3 Years</v>
      </c>
    </row>
    <row r="743" spans="1:26" x14ac:dyDescent="0.35">
      <c r="A743" t="s">
        <v>799</v>
      </c>
      <c r="B743">
        <v>47</v>
      </c>
      <c r="C743" t="s">
        <v>44</v>
      </c>
      <c r="D743" t="s">
        <v>39</v>
      </c>
      <c r="E743" t="s">
        <v>74</v>
      </c>
      <c r="F743" t="s">
        <v>41</v>
      </c>
      <c r="G743">
        <v>126272</v>
      </c>
      <c r="H743">
        <v>12</v>
      </c>
      <c r="I743">
        <v>26</v>
      </c>
      <c r="J743">
        <v>5</v>
      </c>
      <c r="K743">
        <v>3</v>
      </c>
      <c r="L743">
        <v>2</v>
      </c>
      <c r="M743">
        <v>3</v>
      </c>
      <c r="N743" t="s">
        <v>31</v>
      </c>
      <c r="O743" t="s">
        <v>32</v>
      </c>
      <c r="P743">
        <v>4</v>
      </c>
      <c r="Q743">
        <v>42</v>
      </c>
      <c r="R743">
        <v>3</v>
      </c>
      <c r="S743" t="s">
        <v>33</v>
      </c>
      <c r="T743">
        <v>6</v>
      </c>
      <c r="U743" t="s">
        <v>31</v>
      </c>
      <c r="V743" s="1">
        <v>44199</v>
      </c>
      <c r="X743" s="1" t="str">
        <f t="shared" si="33"/>
        <v>Active</v>
      </c>
      <c r="Y743" t="str">
        <f t="shared" si="34"/>
        <v>46-55</v>
      </c>
      <c r="Z743" t="str">
        <f t="shared" si="35"/>
        <v>10+ Years</v>
      </c>
    </row>
    <row r="744" spans="1:26" x14ac:dyDescent="0.35">
      <c r="A744" t="s">
        <v>800</v>
      </c>
      <c r="B744">
        <v>59</v>
      </c>
      <c r="C744" t="s">
        <v>27</v>
      </c>
      <c r="D744" t="s">
        <v>52</v>
      </c>
      <c r="E744" t="s">
        <v>55</v>
      </c>
      <c r="F744" t="s">
        <v>56</v>
      </c>
      <c r="G744">
        <v>143923</v>
      </c>
      <c r="H744">
        <v>23</v>
      </c>
      <c r="I744">
        <v>37</v>
      </c>
      <c r="J744">
        <v>5</v>
      </c>
      <c r="K744">
        <v>2</v>
      </c>
      <c r="L744">
        <v>1</v>
      </c>
      <c r="M744">
        <v>4</v>
      </c>
      <c r="N744" t="s">
        <v>33</v>
      </c>
      <c r="O744" t="s">
        <v>32</v>
      </c>
      <c r="P744">
        <v>14</v>
      </c>
      <c r="Q744">
        <v>41</v>
      </c>
      <c r="R744">
        <v>3</v>
      </c>
      <c r="S744" t="s">
        <v>31</v>
      </c>
      <c r="T744">
        <v>3</v>
      </c>
      <c r="U744" t="s">
        <v>31</v>
      </c>
      <c r="V744" s="1">
        <v>43455</v>
      </c>
      <c r="X744" s="1" t="str">
        <f t="shared" si="33"/>
        <v>Active</v>
      </c>
      <c r="Y744" t="str">
        <f t="shared" si="34"/>
        <v>56+</v>
      </c>
      <c r="Z744" t="str">
        <f t="shared" si="35"/>
        <v>10+ Years</v>
      </c>
    </row>
    <row r="745" spans="1:26" x14ac:dyDescent="0.35">
      <c r="A745" t="s">
        <v>801</v>
      </c>
      <c r="B745">
        <v>27</v>
      </c>
      <c r="C745" t="s">
        <v>27</v>
      </c>
      <c r="D745" t="s">
        <v>52</v>
      </c>
      <c r="E745" t="s">
        <v>55</v>
      </c>
      <c r="F745" t="s">
        <v>61</v>
      </c>
      <c r="G745">
        <v>48242</v>
      </c>
      <c r="H745">
        <v>2</v>
      </c>
      <c r="I745">
        <v>3</v>
      </c>
      <c r="J745">
        <v>1</v>
      </c>
      <c r="K745">
        <v>1</v>
      </c>
      <c r="L745">
        <v>3</v>
      </c>
      <c r="M745">
        <v>1</v>
      </c>
      <c r="N745" t="s">
        <v>33</v>
      </c>
      <c r="O745" t="s">
        <v>42</v>
      </c>
      <c r="P745">
        <v>1</v>
      </c>
      <c r="Q745">
        <v>43</v>
      </c>
      <c r="R745">
        <v>3</v>
      </c>
      <c r="S745" t="s">
        <v>31</v>
      </c>
      <c r="T745">
        <v>5</v>
      </c>
      <c r="U745" t="s">
        <v>31</v>
      </c>
      <c r="V745" s="1">
        <v>44245</v>
      </c>
      <c r="X745" s="1" t="str">
        <f t="shared" si="33"/>
        <v>Active</v>
      </c>
      <c r="Y745" t="str">
        <f t="shared" si="34"/>
        <v>26-35</v>
      </c>
      <c r="Z745" t="str">
        <f t="shared" si="35"/>
        <v>2-3 Years</v>
      </c>
    </row>
    <row r="746" spans="1:26" x14ac:dyDescent="0.35">
      <c r="A746" t="s">
        <v>802</v>
      </c>
      <c r="B746">
        <v>26</v>
      </c>
      <c r="C746" t="s">
        <v>44</v>
      </c>
      <c r="D746" t="s">
        <v>49</v>
      </c>
      <c r="E746" t="s">
        <v>50</v>
      </c>
      <c r="F746" t="s">
        <v>41</v>
      </c>
      <c r="G746">
        <v>38125</v>
      </c>
      <c r="H746">
        <v>0</v>
      </c>
      <c r="I746">
        <v>4</v>
      </c>
      <c r="J746">
        <v>1</v>
      </c>
      <c r="K746">
        <v>4</v>
      </c>
      <c r="L746">
        <v>1</v>
      </c>
      <c r="M746">
        <v>4</v>
      </c>
      <c r="N746" t="s">
        <v>31</v>
      </c>
      <c r="O746" t="s">
        <v>47</v>
      </c>
      <c r="P746">
        <v>23</v>
      </c>
      <c r="Q746">
        <v>20</v>
      </c>
      <c r="R746">
        <v>2</v>
      </c>
      <c r="S746" t="s">
        <v>31</v>
      </c>
      <c r="T746">
        <v>1</v>
      </c>
      <c r="U746" t="s">
        <v>31</v>
      </c>
      <c r="V746" s="1">
        <v>43247</v>
      </c>
      <c r="X746" s="1" t="str">
        <f t="shared" si="33"/>
        <v>Active</v>
      </c>
      <c r="Y746" t="str">
        <f t="shared" si="34"/>
        <v>26-35</v>
      </c>
      <c r="Z746" t="str">
        <f t="shared" si="35"/>
        <v>0-1 Year</v>
      </c>
    </row>
    <row r="747" spans="1:26" x14ac:dyDescent="0.35">
      <c r="A747" t="s">
        <v>803</v>
      </c>
      <c r="B747">
        <v>42</v>
      </c>
      <c r="C747" t="s">
        <v>27</v>
      </c>
      <c r="D747" t="s">
        <v>39</v>
      </c>
      <c r="E747" t="s">
        <v>74</v>
      </c>
      <c r="F747" t="s">
        <v>41</v>
      </c>
      <c r="G747">
        <v>64915</v>
      </c>
      <c r="H747">
        <v>5</v>
      </c>
      <c r="I747">
        <v>19</v>
      </c>
      <c r="J747">
        <v>2</v>
      </c>
      <c r="K747">
        <v>3</v>
      </c>
      <c r="L747">
        <v>4</v>
      </c>
      <c r="M747">
        <v>1</v>
      </c>
      <c r="N747" t="s">
        <v>31</v>
      </c>
      <c r="O747" t="s">
        <v>32</v>
      </c>
      <c r="P747">
        <v>4</v>
      </c>
      <c r="Q747">
        <v>52</v>
      </c>
      <c r="R747">
        <v>2</v>
      </c>
      <c r="S747" t="s">
        <v>31</v>
      </c>
      <c r="T747">
        <v>2</v>
      </c>
      <c r="U747" t="s">
        <v>31</v>
      </c>
      <c r="V747" s="1">
        <v>41811</v>
      </c>
      <c r="X747" s="1" t="str">
        <f t="shared" si="33"/>
        <v>Active</v>
      </c>
      <c r="Y747" t="str">
        <f t="shared" si="34"/>
        <v>36-45</v>
      </c>
      <c r="Z747" t="str">
        <f t="shared" si="35"/>
        <v>4-5 Years</v>
      </c>
    </row>
    <row r="748" spans="1:26" x14ac:dyDescent="0.35">
      <c r="A748" t="s">
        <v>804</v>
      </c>
      <c r="B748">
        <v>45</v>
      </c>
      <c r="C748" t="s">
        <v>44</v>
      </c>
      <c r="D748" t="s">
        <v>52</v>
      </c>
      <c r="E748" t="s">
        <v>55</v>
      </c>
      <c r="F748" t="s">
        <v>30</v>
      </c>
      <c r="G748">
        <v>128625</v>
      </c>
      <c r="H748">
        <v>12</v>
      </c>
      <c r="I748">
        <v>21</v>
      </c>
      <c r="J748">
        <v>5</v>
      </c>
      <c r="K748">
        <v>1</v>
      </c>
      <c r="L748">
        <v>1</v>
      </c>
      <c r="M748">
        <v>1</v>
      </c>
      <c r="N748" t="s">
        <v>31</v>
      </c>
      <c r="O748" t="s">
        <v>32</v>
      </c>
      <c r="P748">
        <v>12</v>
      </c>
      <c r="Q748">
        <v>25</v>
      </c>
      <c r="R748">
        <v>4</v>
      </c>
      <c r="S748" t="s">
        <v>31</v>
      </c>
      <c r="T748">
        <v>4</v>
      </c>
      <c r="U748" t="s">
        <v>33</v>
      </c>
      <c r="V748" s="1">
        <v>43749</v>
      </c>
      <c r="W748" s="1">
        <v>43974</v>
      </c>
      <c r="X748" s="1" t="str">
        <f t="shared" si="33"/>
        <v>2020-05-23</v>
      </c>
      <c r="Y748" t="str">
        <f t="shared" si="34"/>
        <v>36-45</v>
      </c>
      <c r="Z748" t="str">
        <f t="shared" si="35"/>
        <v>10+ Years</v>
      </c>
    </row>
    <row r="749" spans="1:26" x14ac:dyDescent="0.35">
      <c r="A749" t="s">
        <v>805</v>
      </c>
      <c r="B749">
        <v>29</v>
      </c>
      <c r="C749" t="s">
        <v>27</v>
      </c>
      <c r="D749" t="s">
        <v>45</v>
      </c>
      <c r="E749" t="s">
        <v>63</v>
      </c>
      <c r="F749" t="s">
        <v>56</v>
      </c>
      <c r="G749">
        <v>78859</v>
      </c>
      <c r="H749">
        <v>3</v>
      </c>
      <c r="I749">
        <v>7</v>
      </c>
      <c r="J749">
        <v>3</v>
      </c>
      <c r="K749">
        <v>2</v>
      </c>
      <c r="L749">
        <v>3</v>
      </c>
      <c r="M749">
        <v>2</v>
      </c>
      <c r="N749" t="s">
        <v>31</v>
      </c>
      <c r="O749" t="s">
        <v>32</v>
      </c>
      <c r="P749">
        <v>6</v>
      </c>
      <c r="Q749">
        <v>35</v>
      </c>
      <c r="R749">
        <v>3</v>
      </c>
      <c r="S749" t="s">
        <v>31</v>
      </c>
      <c r="T749">
        <v>6</v>
      </c>
      <c r="U749" t="s">
        <v>31</v>
      </c>
      <c r="V749" s="1">
        <v>41925</v>
      </c>
      <c r="X749" s="1" t="str">
        <f t="shared" si="33"/>
        <v>Active</v>
      </c>
      <c r="Y749" t="str">
        <f t="shared" si="34"/>
        <v>26-35</v>
      </c>
      <c r="Z749" t="str">
        <f t="shared" si="35"/>
        <v>2-3 Years</v>
      </c>
    </row>
    <row r="750" spans="1:26" x14ac:dyDescent="0.35">
      <c r="A750" t="s">
        <v>806</v>
      </c>
      <c r="B750">
        <v>56</v>
      </c>
      <c r="C750" t="s">
        <v>44</v>
      </c>
      <c r="D750" t="s">
        <v>28</v>
      </c>
      <c r="E750" t="s">
        <v>66</v>
      </c>
      <c r="F750" t="s">
        <v>37</v>
      </c>
      <c r="G750">
        <v>60299</v>
      </c>
      <c r="H750">
        <v>1</v>
      </c>
      <c r="I750">
        <v>35</v>
      </c>
      <c r="J750">
        <v>2</v>
      </c>
      <c r="K750">
        <v>3</v>
      </c>
      <c r="L750">
        <v>4</v>
      </c>
      <c r="M750">
        <v>1</v>
      </c>
      <c r="N750" t="s">
        <v>31</v>
      </c>
      <c r="O750" t="s">
        <v>42</v>
      </c>
      <c r="P750">
        <v>3</v>
      </c>
      <c r="Q750">
        <v>53</v>
      </c>
      <c r="R750">
        <v>2</v>
      </c>
      <c r="S750" t="s">
        <v>31</v>
      </c>
      <c r="T750">
        <v>1</v>
      </c>
      <c r="U750" t="s">
        <v>31</v>
      </c>
      <c r="V750" s="1">
        <v>41513</v>
      </c>
      <c r="X750" s="1" t="str">
        <f t="shared" si="33"/>
        <v>Active</v>
      </c>
      <c r="Y750" t="str">
        <f t="shared" si="34"/>
        <v>56+</v>
      </c>
      <c r="Z750" t="str">
        <f t="shared" si="35"/>
        <v>0-1 Year</v>
      </c>
    </row>
    <row r="751" spans="1:26" x14ac:dyDescent="0.35">
      <c r="A751" t="s">
        <v>807</v>
      </c>
      <c r="B751">
        <v>26</v>
      </c>
      <c r="C751" t="s">
        <v>44</v>
      </c>
      <c r="D751" t="s">
        <v>28</v>
      </c>
      <c r="E751" t="s">
        <v>29</v>
      </c>
      <c r="F751" t="s">
        <v>56</v>
      </c>
      <c r="G751">
        <v>80477</v>
      </c>
      <c r="H751">
        <v>4</v>
      </c>
      <c r="I751">
        <v>5</v>
      </c>
      <c r="J751">
        <v>3</v>
      </c>
      <c r="K751">
        <v>3</v>
      </c>
      <c r="L751">
        <v>4</v>
      </c>
      <c r="M751">
        <v>2</v>
      </c>
      <c r="N751" t="s">
        <v>33</v>
      </c>
      <c r="O751" t="s">
        <v>32</v>
      </c>
      <c r="P751">
        <v>2</v>
      </c>
      <c r="Q751">
        <v>51</v>
      </c>
      <c r="R751">
        <v>3</v>
      </c>
      <c r="S751" t="s">
        <v>31</v>
      </c>
      <c r="T751">
        <v>6</v>
      </c>
      <c r="U751" t="s">
        <v>31</v>
      </c>
      <c r="V751" s="1">
        <v>42521</v>
      </c>
      <c r="X751" s="1" t="str">
        <f t="shared" si="33"/>
        <v>Active</v>
      </c>
      <c r="Y751" t="str">
        <f t="shared" si="34"/>
        <v>26-35</v>
      </c>
      <c r="Z751" t="str">
        <f t="shared" si="35"/>
        <v>4-5 Years</v>
      </c>
    </row>
    <row r="752" spans="1:26" x14ac:dyDescent="0.35">
      <c r="A752" t="s">
        <v>808</v>
      </c>
      <c r="B752">
        <v>42</v>
      </c>
      <c r="C752" t="s">
        <v>27</v>
      </c>
      <c r="D752" t="s">
        <v>49</v>
      </c>
      <c r="E752" t="s">
        <v>68</v>
      </c>
      <c r="F752" t="s">
        <v>56</v>
      </c>
      <c r="G752">
        <v>57260</v>
      </c>
      <c r="H752">
        <v>1</v>
      </c>
      <c r="I752">
        <v>19</v>
      </c>
      <c r="J752">
        <v>2</v>
      </c>
      <c r="K752">
        <v>4</v>
      </c>
      <c r="L752">
        <v>3</v>
      </c>
      <c r="M752">
        <v>1</v>
      </c>
      <c r="N752" t="s">
        <v>33</v>
      </c>
      <c r="O752" t="s">
        <v>32</v>
      </c>
      <c r="P752">
        <v>17</v>
      </c>
      <c r="Q752">
        <v>14</v>
      </c>
      <c r="R752">
        <v>4</v>
      </c>
      <c r="S752" t="s">
        <v>31</v>
      </c>
      <c r="T752">
        <v>1</v>
      </c>
      <c r="U752" t="s">
        <v>31</v>
      </c>
      <c r="V752" s="1">
        <v>43803</v>
      </c>
      <c r="X752" s="1" t="str">
        <f t="shared" si="33"/>
        <v>Active</v>
      </c>
      <c r="Y752" t="str">
        <f t="shared" si="34"/>
        <v>36-45</v>
      </c>
      <c r="Z752" t="str">
        <f t="shared" si="35"/>
        <v>0-1 Year</v>
      </c>
    </row>
    <row r="753" spans="1:26" x14ac:dyDescent="0.35">
      <c r="A753" t="s">
        <v>809</v>
      </c>
      <c r="B753">
        <v>47</v>
      </c>
      <c r="C753" t="s">
        <v>44</v>
      </c>
      <c r="D753" t="s">
        <v>35</v>
      </c>
      <c r="E753" t="s">
        <v>36</v>
      </c>
      <c r="F753" t="s">
        <v>56</v>
      </c>
      <c r="G753">
        <v>136862</v>
      </c>
      <c r="H753">
        <v>16</v>
      </c>
      <c r="I753">
        <v>26</v>
      </c>
      <c r="J753">
        <v>5</v>
      </c>
      <c r="K753">
        <v>1</v>
      </c>
      <c r="L753">
        <v>1</v>
      </c>
      <c r="M753">
        <v>2</v>
      </c>
      <c r="N753" t="s">
        <v>31</v>
      </c>
      <c r="O753" t="s">
        <v>42</v>
      </c>
      <c r="P753">
        <v>16</v>
      </c>
      <c r="Q753">
        <v>11</v>
      </c>
      <c r="R753">
        <v>3</v>
      </c>
      <c r="S753" t="s">
        <v>31</v>
      </c>
      <c r="T753">
        <v>8</v>
      </c>
      <c r="U753" t="s">
        <v>31</v>
      </c>
      <c r="V753" s="1">
        <v>43590</v>
      </c>
      <c r="X753" s="1" t="str">
        <f t="shared" si="33"/>
        <v>Active</v>
      </c>
      <c r="Y753" t="str">
        <f t="shared" si="34"/>
        <v>46-55</v>
      </c>
      <c r="Z753" t="str">
        <f t="shared" si="35"/>
        <v>10+ Years</v>
      </c>
    </row>
    <row r="754" spans="1:26" x14ac:dyDescent="0.35">
      <c r="A754" t="s">
        <v>810</v>
      </c>
      <c r="B754">
        <v>37</v>
      </c>
      <c r="C754" t="s">
        <v>27</v>
      </c>
      <c r="D754" t="s">
        <v>28</v>
      </c>
      <c r="E754" t="s">
        <v>29</v>
      </c>
      <c r="F754" t="s">
        <v>41</v>
      </c>
      <c r="G754">
        <v>82452</v>
      </c>
      <c r="H754">
        <v>7</v>
      </c>
      <c r="I754">
        <v>13</v>
      </c>
      <c r="J754">
        <v>3</v>
      </c>
      <c r="K754">
        <v>4</v>
      </c>
      <c r="L754">
        <v>3</v>
      </c>
      <c r="M754">
        <v>3</v>
      </c>
      <c r="N754" t="s">
        <v>33</v>
      </c>
      <c r="O754" t="s">
        <v>32</v>
      </c>
      <c r="P754">
        <v>7</v>
      </c>
      <c r="Q754">
        <v>27</v>
      </c>
      <c r="R754">
        <v>3</v>
      </c>
      <c r="S754" t="s">
        <v>31</v>
      </c>
      <c r="T754">
        <v>4</v>
      </c>
      <c r="U754" t="s">
        <v>31</v>
      </c>
      <c r="V754" s="1">
        <v>42533</v>
      </c>
      <c r="X754" s="1" t="str">
        <f t="shared" si="33"/>
        <v>Active</v>
      </c>
      <c r="Y754" t="str">
        <f t="shared" si="34"/>
        <v>36-45</v>
      </c>
      <c r="Z754" t="str">
        <f t="shared" si="35"/>
        <v>6-10 Years</v>
      </c>
    </row>
    <row r="755" spans="1:26" x14ac:dyDescent="0.35">
      <c r="A755" t="s">
        <v>811</v>
      </c>
      <c r="B755">
        <v>24</v>
      </c>
      <c r="C755" t="s">
        <v>44</v>
      </c>
      <c r="D755" t="s">
        <v>28</v>
      </c>
      <c r="E755" t="s">
        <v>66</v>
      </c>
      <c r="F755" t="s">
        <v>56</v>
      </c>
      <c r="G755">
        <v>61235</v>
      </c>
      <c r="H755">
        <v>1</v>
      </c>
      <c r="I755">
        <v>1</v>
      </c>
      <c r="J755">
        <v>2</v>
      </c>
      <c r="K755">
        <v>2</v>
      </c>
      <c r="L755">
        <v>3</v>
      </c>
      <c r="M755">
        <v>3</v>
      </c>
      <c r="N755" t="s">
        <v>31</v>
      </c>
      <c r="O755" t="s">
        <v>32</v>
      </c>
      <c r="P755">
        <v>9</v>
      </c>
      <c r="Q755">
        <v>30</v>
      </c>
      <c r="R755">
        <v>3</v>
      </c>
      <c r="S755" t="s">
        <v>31</v>
      </c>
      <c r="T755">
        <v>4</v>
      </c>
      <c r="U755" t="s">
        <v>33</v>
      </c>
      <c r="V755" s="1">
        <v>41884</v>
      </c>
      <c r="W755" s="1">
        <v>42014</v>
      </c>
      <c r="X755" s="1" t="str">
        <f t="shared" si="33"/>
        <v>2015-01-10</v>
      </c>
      <c r="Y755" t="str">
        <f t="shared" si="34"/>
        <v>18-25</v>
      </c>
      <c r="Z755" t="str">
        <f t="shared" si="35"/>
        <v>0-1 Year</v>
      </c>
    </row>
    <row r="756" spans="1:26" x14ac:dyDescent="0.35">
      <c r="A756" t="s">
        <v>812</v>
      </c>
      <c r="B756">
        <v>52</v>
      </c>
      <c r="C756" t="s">
        <v>27</v>
      </c>
      <c r="D756" t="s">
        <v>39</v>
      </c>
      <c r="E756" t="s">
        <v>74</v>
      </c>
      <c r="F756" t="s">
        <v>41</v>
      </c>
      <c r="G756">
        <v>89664</v>
      </c>
      <c r="H756">
        <v>8</v>
      </c>
      <c r="I756">
        <v>30</v>
      </c>
      <c r="J756">
        <v>3</v>
      </c>
      <c r="K756">
        <v>3</v>
      </c>
      <c r="L756">
        <v>2</v>
      </c>
      <c r="M756">
        <v>4</v>
      </c>
      <c r="N756" t="s">
        <v>33</v>
      </c>
      <c r="O756" t="s">
        <v>47</v>
      </c>
      <c r="P756">
        <v>16</v>
      </c>
      <c r="Q756">
        <v>38</v>
      </c>
      <c r="R756">
        <v>4</v>
      </c>
      <c r="S756" t="s">
        <v>31</v>
      </c>
      <c r="T756">
        <v>14</v>
      </c>
      <c r="U756" t="s">
        <v>31</v>
      </c>
      <c r="V756" s="1">
        <v>41169</v>
      </c>
      <c r="X756" s="1" t="str">
        <f t="shared" si="33"/>
        <v>Active</v>
      </c>
      <c r="Y756" t="str">
        <f t="shared" si="34"/>
        <v>46-55</v>
      </c>
      <c r="Z756" t="str">
        <f t="shared" si="35"/>
        <v>6-10 Years</v>
      </c>
    </row>
    <row r="757" spans="1:26" x14ac:dyDescent="0.35">
      <c r="A757" t="s">
        <v>813</v>
      </c>
      <c r="B757">
        <v>47</v>
      </c>
      <c r="C757" t="s">
        <v>44</v>
      </c>
      <c r="D757" t="s">
        <v>49</v>
      </c>
      <c r="E757" t="s">
        <v>50</v>
      </c>
      <c r="F757" t="s">
        <v>41</v>
      </c>
      <c r="G757">
        <v>63476</v>
      </c>
      <c r="H757">
        <v>2</v>
      </c>
      <c r="I757">
        <v>23</v>
      </c>
      <c r="J757">
        <v>2</v>
      </c>
      <c r="K757">
        <v>3</v>
      </c>
      <c r="L757">
        <v>1</v>
      </c>
      <c r="M757">
        <v>1</v>
      </c>
      <c r="N757" t="s">
        <v>31</v>
      </c>
      <c r="O757" t="s">
        <v>32</v>
      </c>
      <c r="P757">
        <v>15</v>
      </c>
      <c r="Q757">
        <v>59</v>
      </c>
      <c r="R757">
        <v>3</v>
      </c>
      <c r="S757" t="s">
        <v>31</v>
      </c>
      <c r="T757">
        <v>8</v>
      </c>
      <c r="U757" t="s">
        <v>31</v>
      </c>
      <c r="V757" s="1">
        <v>45279</v>
      </c>
      <c r="X757" s="1" t="str">
        <f t="shared" si="33"/>
        <v>Active</v>
      </c>
      <c r="Y757" t="str">
        <f t="shared" si="34"/>
        <v>46-55</v>
      </c>
      <c r="Z757" t="str">
        <f t="shared" si="35"/>
        <v>2-3 Years</v>
      </c>
    </row>
    <row r="758" spans="1:26" x14ac:dyDescent="0.35">
      <c r="A758" t="s">
        <v>814</v>
      </c>
      <c r="B758">
        <v>59</v>
      </c>
      <c r="C758" t="s">
        <v>27</v>
      </c>
      <c r="D758" t="s">
        <v>49</v>
      </c>
      <c r="E758" t="s">
        <v>68</v>
      </c>
      <c r="F758" t="s">
        <v>37</v>
      </c>
      <c r="G758">
        <v>163663</v>
      </c>
      <c r="H758">
        <v>33</v>
      </c>
      <c r="I758">
        <v>37</v>
      </c>
      <c r="J758">
        <v>5</v>
      </c>
      <c r="K758">
        <v>2</v>
      </c>
      <c r="L758">
        <v>1</v>
      </c>
      <c r="M758">
        <v>4</v>
      </c>
      <c r="N758" t="s">
        <v>31</v>
      </c>
      <c r="O758" t="s">
        <v>32</v>
      </c>
      <c r="P758">
        <v>21</v>
      </c>
      <c r="Q758">
        <v>43</v>
      </c>
      <c r="R758">
        <v>3</v>
      </c>
      <c r="S758" t="s">
        <v>33</v>
      </c>
      <c r="T758">
        <v>12</v>
      </c>
      <c r="U758" t="s">
        <v>31</v>
      </c>
      <c r="V758" s="1">
        <v>43753</v>
      </c>
      <c r="X758" s="1" t="str">
        <f t="shared" si="33"/>
        <v>Active</v>
      </c>
      <c r="Y758" t="str">
        <f t="shared" si="34"/>
        <v>56+</v>
      </c>
      <c r="Z758" t="str">
        <f t="shared" si="35"/>
        <v>10+ Years</v>
      </c>
    </row>
    <row r="759" spans="1:26" x14ac:dyDescent="0.35">
      <c r="A759" t="s">
        <v>815</v>
      </c>
      <c r="B759">
        <v>26</v>
      </c>
      <c r="C759" t="s">
        <v>44</v>
      </c>
      <c r="D759" t="s">
        <v>49</v>
      </c>
      <c r="E759" t="s">
        <v>50</v>
      </c>
      <c r="F759" t="s">
        <v>41</v>
      </c>
      <c r="G759">
        <v>40524</v>
      </c>
      <c r="H759">
        <v>0</v>
      </c>
      <c r="I759">
        <v>5</v>
      </c>
      <c r="J759">
        <v>1</v>
      </c>
      <c r="K759">
        <v>1</v>
      </c>
      <c r="L759">
        <v>4</v>
      </c>
      <c r="M759">
        <v>1</v>
      </c>
      <c r="N759" t="s">
        <v>31</v>
      </c>
      <c r="O759" t="s">
        <v>32</v>
      </c>
      <c r="P759">
        <v>18</v>
      </c>
      <c r="Q759">
        <v>11</v>
      </c>
      <c r="R759">
        <v>3</v>
      </c>
      <c r="S759" t="s">
        <v>31</v>
      </c>
      <c r="T759">
        <v>4</v>
      </c>
      <c r="U759" t="s">
        <v>31</v>
      </c>
      <c r="V759" s="1">
        <v>42879</v>
      </c>
      <c r="X759" s="1" t="str">
        <f t="shared" si="33"/>
        <v>Active</v>
      </c>
      <c r="Y759" t="str">
        <f t="shared" si="34"/>
        <v>26-35</v>
      </c>
      <c r="Z759" t="str">
        <f t="shared" si="35"/>
        <v>0-1 Year</v>
      </c>
    </row>
    <row r="760" spans="1:26" x14ac:dyDescent="0.35">
      <c r="A760" t="s">
        <v>816</v>
      </c>
      <c r="B760">
        <v>46</v>
      </c>
      <c r="C760" t="s">
        <v>27</v>
      </c>
      <c r="D760" t="s">
        <v>49</v>
      </c>
      <c r="E760" t="s">
        <v>50</v>
      </c>
      <c r="F760" t="s">
        <v>41</v>
      </c>
      <c r="G760">
        <v>131825</v>
      </c>
      <c r="H760">
        <v>16</v>
      </c>
      <c r="I760">
        <v>23</v>
      </c>
      <c r="J760">
        <v>5</v>
      </c>
      <c r="K760">
        <v>1</v>
      </c>
      <c r="L760">
        <v>4</v>
      </c>
      <c r="M760">
        <v>3</v>
      </c>
      <c r="N760" t="s">
        <v>31</v>
      </c>
      <c r="O760" t="s">
        <v>32</v>
      </c>
      <c r="P760">
        <v>6</v>
      </c>
      <c r="Q760">
        <v>21</v>
      </c>
      <c r="R760">
        <v>4</v>
      </c>
      <c r="S760" t="s">
        <v>33</v>
      </c>
      <c r="T760">
        <v>5</v>
      </c>
      <c r="U760" t="s">
        <v>31</v>
      </c>
      <c r="V760" s="1">
        <v>44815</v>
      </c>
      <c r="X760" s="1" t="str">
        <f t="shared" si="33"/>
        <v>Active</v>
      </c>
      <c r="Y760" t="str">
        <f t="shared" si="34"/>
        <v>46-55</v>
      </c>
      <c r="Z760" t="str">
        <f t="shared" si="35"/>
        <v>10+ Years</v>
      </c>
    </row>
    <row r="761" spans="1:26" x14ac:dyDescent="0.35">
      <c r="A761" t="s">
        <v>817</v>
      </c>
      <c r="B761">
        <v>37</v>
      </c>
      <c r="C761" t="s">
        <v>27</v>
      </c>
      <c r="D761" t="s">
        <v>28</v>
      </c>
      <c r="E761" t="s">
        <v>66</v>
      </c>
      <c r="F761" t="s">
        <v>30</v>
      </c>
      <c r="G761">
        <v>47595</v>
      </c>
      <c r="H761">
        <v>2</v>
      </c>
      <c r="I761">
        <v>15</v>
      </c>
      <c r="J761">
        <v>1</v>
      </c>
      <c r="K761">
        <v>3</v>
      </c>
      <c r="L761">
        <v>2</v>
      </c>
      <c r="M761">
        <v>2</v>
      </c>
      <c r="N761" t="s">
        <v>33</v>
      </c>
      <c r="O761" t="s">
        <v>32</v>
      </c>
      <c r="P761">
        <v>10</v>
      </c>
      <c r="Q761">
        <v>28</v>
      </c>
      <c r="R761">
        <v>4</v>
      </c>
      <c r="S761" t="s">
        <v>31</v>
      </c>
      <c r="T761">
        <v>2</v>
      </c>
      <c r="U761" t="s">
        <v>31</v>
      </c>
      <c r="V761" s="1">
        <v>44906</v>
      </c>
      <c r="X761" s="1" t="str">
        <f t="shared" si="33"/>
        <v>Active</v>
      </c>
      <c r="Y761" t="str">
        <f t="shared" si="34"/>
        <v>36-45</v>
      </c>
      <c r="Z761" t="str">
        <f t="shared" si="35"/>
        <v>2-3 Years</v>
      </c>
    </row>
    <row r="762" spans="1:26" x14ac:dyDescent="0.35">
      <c r="A762" t="s">
        <v>818</v>
      </c>
      <c r="B762">
        <v>27</v>
      </c>
      <c r="C762" t="s">
        <v>27</v>
      </c>
      <c r="D762" t="s">
        <v>52</v>
      </c>
      <c r="E762" t="s">
        <v>53</v>
      </c>
      <c r="F762" t="s">
        <v>30</v>
      </c>
      <c r="G762">
        <v>69419</v>
      </c>
      <c r="H762">
        <v>5</v>
      </c>
      <c r="I762">
        <v>6</v>
      </c>
      <c r="J762">
        <v>2</v>
      </c>
      <c r="K762">
        <v>3</v>
      </c>
      <c r="L762">
        <v>4</v>
      </c>
      <c r="M762">
        <v>4</v>
      </c>
      <c r="N762" t="s">
        <v>33</v>
      </c>
      <c r="O762" t="s">
        <v>42</v>
      </c>
      <c r="P762">
        <v>14</v>
      </c>
      <c r="Q762">
        <v>26</v>
      </c>
      <c r="R762">
        <v>2</v>
      </c>
      <c r="S762" t="s">
        <v>33</v>
      </c>
      <c r="T762">
        <v>1</v>
      </c>
      <c r="U762" t="s">
        <v>31</v>
      </c>
      <c r="V762" s="1">
        <v>44521</v>
      </c>
      <c r="X762" s="1" t="str">
        <f t="shared" si="33"/>
        <v>Active</v>
      </c>
      <c r="Y762" t="str">
        <f t="shared" si="34"/>
        <v>26-35</v>
      </c>
      <c r="Z762" t="str">
        <f t="shared" si="35"/>
        <v>4-5 Years</v>
      </c>
    </row>
    <row r="763" spans="1:26" x14ac:dyDescent="0.35">
      <c r="A763" t="s">
        <v>819</v>
      </c>
      <c r="B763">
        <v>56</v>
      </c>
      <c r="C763" t="s">
        <v>44</v>
      </c>
      <c r="D763" t="s">
        <v>45</v>
      </c>
      <c r="E763" t="s">
        <v>46</v>
      </c>
      <c r="F763" t="s">
        <v>78</v>
      </c>
      <c r="G763">
        <v>128504</v>
      </c>
      <c r="H763">
        <v>15</v>
      </c>
      <c r="I763">
        <v>33</v>
      </c>
      <c r="J763">
        <v>5</v>
      </c>
      <c r="K763">
        <v>2</v>
      </c>
      <c r="L763">
        <v>3</v>
      </c>
      <c r="M763">
        <v>1</v>
      </c>
      <c r="N763" t="s">
        <v>33</v>
      </c>
      <c r="O763" t="s">
        <v>32</v>
      </c>
      <c r="P763">
        <v>1</v>
      </c>
      <c r="Q763">
        <v>37</v>
      </c>
      <c r="R763">
        <v>4</v>
      </c>
      <c r="S763" t="s">
        <v>33</v>
      </c>
      <c r="T763">
        <v>6</v>
      </c>
      <c r="U763" t="s">
        <v>31</v>
      </c>
      <c r="V763" s="1">
        <v>41604</v>
      </c>
      <c r="X763" s="1" t="str">
        <f t="shared" si="33"/>
        <v>Active</v>
      </c>
      <c r="Y763" t="str">
        <f t="shared" si="34"/>
        <v>56+</v>
      </c>
      <c r="Z763" t="str">
        <f t="shared" si="35"/>
        <v>10+ Years</v>
      </c>
    </row>
    <row r="764" spans="1:26" x14ac:dyDescent="0.35">
      <c r="A764" t="s">
        <v>820</v>
      </c>
      <c r="B764">
        <v>50</v>
      </c>
      <c r="C764" t="s">
        <v>27</v>
      </c>
      <c r="D764" t="s">
        <v>39</v>
      </c>
      <c r="E764" t="s">
        <v>59</v>
      </c>
      <c r="F764" t="s">
        <v>41</v>
      </c>
      <c r="G764">
        <v>149073</v>
      </c>
      <c r="H764">
        <v>26</v>
      </c>
      <c r="I764">
        <v>29</v>
      </c>
      <c r="J764">
        <v>5</v>
      </c>
      <c r="K764">
        <v>4</v>
      </c>
      <c r="L764">
        <v>1</v>
      </c>
      <c r="M764">
        <v>1</v>
      </c>
      <c r="N764" t="s">
        <v>33</v>
      </c>
      <c r="O764" t="s">
        <v>32</v>
      </c>
      <c r="P764">
        <v>2</v>
      </c>
      <c r="Q764">
        <v>20</v>
      </c>
      <c r="R764">
        <v>3</v>
      </c>
      <c r="S764" t="s">
        <v>33</v>
      </c>
      <c r="T764">
        <v>5</v>
      </c>
      <c r="U764" t="s">
        <v>31</v>
      </c>
      <c r="V764" s="1">
        <v>44877</v>
      </c>
      <c r="X764" s="1" t="str">
        <f t="shared" si="33"/>
        <v>Active</v>
      </c>
      <c r="Y764" t="str">
        <f t="shared" si="34"/>
        <v>46-55</v>
      </c>
      <c r="Z764" t="str">
        <f t="shared" si="35"/>
        <v>10+ Years</v>
      </c>
    </row>
    <row r="765" spans="1:26" x14ac:dyDescent="0.35">
      <c r="A765" t="s">
        <v>821</v>
      </c>
      <c r="B765">
        <v>31</v>
      </c>
      <c r="C765" t="s">
        <v>44</v>
      </c>
      <c r="D765" t="s">
        <v>45</v>
      </c>
      <c r="E765" t="s">
        <v>63</v>
      </c>
      <c r="F765" t="s">
        <v>37</v>
      </c>
      <c r="G765">
        <v>80571</v>
      </c>
      <c r="H765">
        <v>6</v>
      </c>
      <c r="I765">
        <v>8</v>
      </c>
      <c r="J765">
        <v>3</v>
      </c>
      <c r="K765">
        <v>2</v>
      </c>
      <c r="L765">
        <v>1</v>
      </c>
      <c r="M765">
        <v>2</v>
      </c>
      <c r="N765" t="s">
        <v>31</v>
      </c>
      <c r="O765" t="s">
        <v>32</v>
      </c>
      <c r="P765">
        <v>18</v>
      </c>
      <c r="Q765">
        <v>39</v>
      </c>
      <c r="R765">
        <v>3</v>
      </c>
      <c r="S765" t="s">
        <v>33</v>
      </c>
      <c r="T765">
        <v>5</v>
      </c>
      <c r="U765" t="s">
        <v>31</v>
      </c>
      <c r="V765" s="1">
        <v>45234</v>
      </c>
      <c r="X765" s="1" t="str">
        <f t="shared" si="33"/>
        <v>Active</v>
      </c>
      <c r="Y765" t="str">
        <f t="shared" si="34"/>
        <v>26-35</v>
      </c>
      <c r="Z765" t="str">
        <f t="shared" si="35"/>
        <v>6-10 Years</v>
      </c>
    </row>
    <row r="766" spans="1:26" x14ac:dyDescent="0.35">
      <c r="A766" t="s">
        <v>822</v>
      </c>
      <c r="B766">
        <v>44</v>
      </c>
      <c r="C766" t="s">
        <v>27</v>
      </c>
      <c r="D766" t="s">
        <v>28</v>
      </c>
      <c r="E766" t="s">
        <v>29</v>
      </c>
      <c r="F766" t="s">
        <v>61</v>
      </c>
      <c r="G766">
        <v>130867</v>
      </c>
      <c r="H766">
        <v>15</v>
      </c>
      <c r="I766">
        <v>20</v>
      </c>
      <c r="J766">
        <v>5</v>
      </c>
      <c r="K766">
        <v>3</v>
      </c>
      <c r="L766">
        <v>4</v>
      </c>
      <c r="M766">
        <v>4</v>
      </c>
      <c r="N766" t="s">
        <v>31</v>
      </c>
      <c r="O766" t="s">
        <v>32</v>
      </c>
      <c r="P766">
        <v>12</v>
      </c>
      <c r="Q766">
        <v>47</v>
      </c>
      <c r="R766">
        <v>2</v>
      </c>
      <c r="S766" t="s">
        <v>31</v>
      </c>
      <c r="T766">
        <v>5</v>
      </c>
      <c r="U766" t="s">
        <v>31</v>
      </c>
      <c r="V766" s="1">
        <v>43124</v>
      </c>
      <c r="X766" s="1" t="str">
        <f t="shared" si="33"/>
        <v>Active</v>
      </c>
      <c r="Y766" t="str">
        <f t="shared" si="34"/>
        <v>36-45</v>
      </c>
      <c r="Z766" t="str">
        <f t="shared" si="35"/>
        <v>10+ Years</v>
      </c>
    </row>
    <row r="767" spans="1:26" x14ac:dyDescent="0.35">
      <c r="A767" t="s">
        <v>823</v>
      </c>
      <c r="B767">
        <v>38</v>
      </c>
      <c r="C767" t="s">
        <v>44</v>
      </c>
      <c r="D767" t="s">
        <v>35</v>
      </c>
      <c r="E767" t="s">
        <v>85</v>
      </c>
      <c r="F767" t="s">
        <v>30</v>
      </c>
      <c r="G767">
        <v>87878</v>
      </c>
      <c r="H767">
        <v>7</v>
      </c>
      <c r="I767">
        <v>17</v>
      </c>
      <c r="J767">
        <v>3</v>
      </c>
      <c r="K767">
        <v>2</v>
      </c>
      <c r="L767">
        <v>1</v>
      </c>
      <c r="M767">
        <v>4</v>
      </c>
      <c r="N767" t="s">
        <v>31</v>
      </c>
      <c r="O767" t="s">
        <v>32</v>
      </c>
      <c r="P767">
        <v>12</v>
      </c>
      <c r="Q767">
        <v>32</v>
      </c>
      <c r="R767">
        <v>3</v>
      </c>
      <c r="S767" t="s">
        <v>33</v>
      </c>
      <c r="T767">
        <v>7</v>
      </c>
      <c r="U767" t="s">
        <v>31</v>
      </c>
      <c r="V767" s="1">
        <v>43394</v>
      </c>
      <c r="X767" s="1" t="str">
        <f t="shared" si="33"/>
        <v>Active</v>
      </c>
      <c r="Y767" t="str">
        <f t="shared" si="34"/>
        <v>36-45</v>
      </c>
      <c r="Z767" t="str">
        <f t="shared" si="35"/>
        <v>6-10 Years</v>
      </c>
    </row>
    <row r="768" spans="1:26" x14ac:dyDescent="0.35">
      <c r="A768" t="s">
        <v>824</v>
      </c>
      <c r="B768">
        <v>55</v>
      </c>
      <c r="C768" t="s">
        <v>44</v>
      </c>
      <c r="D768" t="s">
        <v>45</v>
      </c>
      <c r="E768" t="s">
        <v>63</v>
      </c>
      <c r="F768" t="s">
        <v>41</v>
      </c>
      <c r="G768">
        <v>123571</v>
      </c>
      <c r="H768">
        <v>12</v>
      </c>
      <c r="I768">
        <v>32</v>
      </c>
      <c r="J768">
        <v>5</v>
      </c>
      <c r="K768">
        <v>2</v>
      </c>
      <c r="L768">
        <v>4</v>
      </c>
      <c r="M768">
        <v>1</v>
      </c>
      <c r="N768" t="s">
        <v>33</v>
      </c>
      <c r="O768" t="s">
        <v>32</v>
      </c>
      <c r="P768">
        <v>8</v>
      </c>
      <c r="Q768">
        <v>51</v>
      </c>
      <c r="R768">
        <v>3</v>
      </c>
      <c r="S768" t="s">
        <v>31</v>
      </c>
      <c r="T768">
        <v>8</v>
      </c>
      <c r="U768" t="s">
        <v>31</v>
      </c>
      <c r="V768" s="1">
        <v>42681</v>
      </c>
      <c r="X768" s="1" t="str">
        <f t="shared" si="33"/>
        <v>Active</v>
      </c>
      <c r="Y768" t="str">
        <f t="shared" si="34"/>
        <v>46-55</v>
      </c>
      <c r="Z768" t="str">
        <f t="shared" si="35"/>
        <v>10+ Years</v>
      </c>
    </row>
    <row r="769" spans="1:26" x14ac:dyDescent="0.35">
      <c r="A769" t="s">
        <v>825</v>
      </c>
      <c r="B769">
        <v>52</v>
      </c>
      <c r="C769" t="s">
        <v>44</v>
      </c>
      <c r="D769" t="s">
        <v>35</v>
      </c>
      <c r="E769" t="s">
        <v>85</v>
      </c>
      <c r="F769" t="s">
        <v>37</v>
      </c>
      <c r="G769">
        <v>128769</v>
      </c>
      <c r="H769">
        <v>13</v>
      </c>
      <c r="I769">
        <v>29</v>
      </c>
      <c r="J769">
        <v>5</v>
      </c>
      <c r="K769">
        <v>1</v>
      </c>
      <c r="L769">
        <v>1</v>
      </c>
      <c r="M769">
        <v>4</v>
      </c>
      <c r="N769" t="s">
        <v>31</v>
      </c>
      <c r="O769" t="s">
        <v>32</v>
      </c>
      <c r="P769">
        <v>9</v>
      </c>
      <c r="Q769">
        <v>33</v>
      </c>
      <c r="R769">
        <v>3</v>
      </c>
      <c r="S769" t="s">
        <v>33</v>
      </c>
      <c r="T769">
        <v>4</v>
      </c>
      <c r="U769" t="s">
        <v>31</v>
      </c>
      <c r="V769" s="1">
        <v>42224</v>
      </c>
      <c r="X769" s="1" t="str">
        <f t="shared" si="33"/>
        <v>Active</v>
      </c>
      <c r="Y769" t="str">
        <f t="shared" si="34"/>
        <v>46-55</v>
      </c>
      <c r="Z769" t="str">
        <f t="shared" si="35"/>
        <v>10+ Years</v>
      </c>
    </row>
    <row r="770" spans="1:26" x14ac:dyDescent="0.35">
      <c r="A770" t="s">
        <v>826</v>
      </c>
      <c r="B770">
        <v>30</v>
      </c>
      <c r="C770" t="s">
        <v>44</v>
      </c>
      <c r="D770" t="s">
        <v>49</v>
      </c>
      <c r="E770" t="s">
        <v>50</v>
      </c>
      <c r="F770" t="s">
        <v>30</v>
      </c>
      <c r="G770">
        <v>47883</v>
      </c>
      <c r="H770">
        <v>2</v>
      </c>
      <c r="I770">
        <v>8</v>
      </c>
      <c r="J770">
        <v>1</v>
      </c>
      <c r="K770">
        <v>1</v>
      </c>
      <c r="L770">
        <v>4</v>
      </c>
      <c r="M770">
        <v>2</v>
      </c>
      <c r="N770" t="s">
        <v>31</v>
      </c>
      <c r="O770" t="s">
        <v>32</v>
      </c>
      <c r="P770">
        <v>15</v>
      </c>
      <c r="Q770">
        <v>16</v>
      </c>
      <c r="R770">
        <v>3</v>
      </c>
      <c r="S770" t="s">
        <v>31</v>
      </c>
      <c r="T770">
        <v>5</v>
      </c>
      <c r="U770" t="s">
        <v>31</v>
      </c>
      <c r="V770" s="1">
        <v>44258</v>
      </c>
      <c r="X770" s="1" t="str">
        <f t="shared" si="33"/>
        <v>Active</v>
      </c>
      <c r="Y770" t="str">
        <f t="shared" si="34"/>
        <v>26-35</v>
      </c>
      <c r="Z770" t="str">
        <f t="shared" si="35"/>
        <v>2-3 Years</v>
      </c>
    </row>
    <row r="771" spans="1:26" x14ac:dyDescent="0.35">
      <c r="A771" t="s">
        <v>827</v>
      </c>
      <c r="B771">
        <v>31</v>
      </c>
      <c r="C771" t="s">
        <v>27</v>
      </c>
      <c r="D771" t="s">
        <v>28</v>
      </c>
      <c r="E771" t="s">
        <v>66</v>
      </c>
      <c r="F771" t="s">
        <v>56</v>
      </c>
      <c r="G771">
        <v>64946</v>
      </c>
      <c r="H771">
        <v>3</v>
      </c>
      <c r="I771">
        <v>7</v>
      </c>
      <c r="J771">
        <v>2</v>
      </c>
      <c r="K771">
        <v>1</v>
      </c>
      <c r="L771">
        <v>1</v>
      </c>
      <c r="M771">
        <v>1</v>
      </c>
      <c r="N771" t="s">
        <v>33</v>
      </c>
      <c r="O771" t="s">
        <v>32</v>
      </c>
      <c r="P771">
        <v>8</v>
      </c>
      <c r="Q771">
        <v>15</v>
      </c>
      <c r="R771">
        <v>3</v>
      </c>
      <c r="S771" t="s">
        <v>31</v>
      </c>
      <c r="T771">
        <v>9</v>
      </c>
      <c r="U771" t="s">
        <v>31</v>
      </c>
      <c r="V771" s="1">
        <v>42945</v>
      </c>
      <c r="X771" s="1" t="str">
        <f t="shared" ref="X771:X834" si="36">IF(ISBLANK(W771), "Active", TEXT(W771, "yyyy-mm-dd"))</f>
        <v>Active</v>
      </c>
      <c r="Y771" t="str">
        <f t="shared" ref="Y771:Y834" si="37">_xlfn.IFS(B771&lt;=25, "18-25", B771&lt;=35, "26-35", B771&lt;=45, "36-45", B771&lt;=55, "46-55", B771&gt;55, "56+")</f>
        <v>26-35</v>
      </c>
      <c r="Z771" t="str">
        <f t="shared" ref="Z771:Z834" si="38">_xlfn.IFS(H771&lt;=1, "0-1 Year", H771&lt;=3, "2-3 Years", H771&lt;=5, "4-5 Years", H771&lt;=10, "6-10 Years", H771&gt;10, "10+ Years")</f>
        <v>2-3 Years</v>
      </c>
    </row>
    <row r="772" spans="1:26" x14ac:dyDescent="0.35">
      <c r="A772" t="s">
        <v>828</v>
      </c>
      <c r="B772">
        <v>28</v>
      </c>
      <c r="C772" t="s">
        <v>27</v>
      </c>
      <c r="D772" t="s">
        <v>45</v>
      </c>
      <c r="E772" t="s">
        <v>63</v>
      </c>
      <c r="F772" t="s">
        <v>56</v>
      </c>
      <c r="G772">
        <v>60456</v>
      </c>
      <c r="H772">
        <v>3</v>
      </c>
      <c r="I772">
        <v>6</v>
      </c>
      <c r="J772">
        <v>2</v>
      </c>
      <c r="K772">
        <v>3</v>
      </c>
      <c r="L772">
        <v>3</v>
      </c>
      <c r="M772">
        <v>2</v>
      </c>
      <c r="N772" t="s">
        <v>31</v>
      </c>
      <c r="O772" t="s">
        <v>32</v>
      </c>
      <c r="P772">
        <v>5</v>
      </c>
      <c r="Q772">
        <v>12</v>
      </c>
      <c r="R772">
        <v>3</v>
      </c>
      <c r="S772" t="s">
        <v>31</v>
      </c>
      <c r="T772">
        <v>4</v>
      </c>
      <c r="U772" t="s">
        <v>31</v>
      </c>
      <c r="V772" s="1">
        <v>44199</v>
      </c>
      <c r="X772" s="1" t="str">
        <f t="shared" si="36"/>
        <v>Active</v>
      </c>
      <c r="Y772" t="str">
        <f t="shared" si="37"/>
        <v>26-35</v>
      </c>
      <c r="Z772" t="str">
        <f t="shared" si="38"/>
        <v>2-3 Years</v>
      </c>
    </row>
    <row r="773" spans="1:26" x14ac:dyDescent="0.35">
      <c r="A773" t="s">
        <v>829</v>
      </c>
      <c r="B773">
        <v>39</v>
      </c>
      <c r="C773" t="s">
        <v>44</v>
      </c>
      <c r="D773" t="s">
        <v>45</v>
      </c>
      <c r="E773" t="s">
        <v>46</v>
      </c>
      <c r="F773" t="s">
        <v>78</v>
      </c>
      <c r="G773">
        <v>127870</v>
      </c>
      <c r="H773">
        <v>12</v>
      </c>
      <c r="I773">
        <v>17</v>
      </c>
      <c r="J773">
        <v>5</v>
      </c>
      <c r="K773">
        <v>4</v>
      </c>
      <c r="L773">
        <v>1</v>
      </c>
      <c r="M773">
        <v>1</v>
      </c>
      <c r="N773" t="s">
        <v>33</v>
      </c>
      <c r="O773" t="s">
        <v>32</v>
      </c>
      <c r="P773">
        <v>12</v>
      </c>
      <c r="Q773">
        <v>11</v>
      </c>
      <c r="R773">
        <v>3</v>
      </c>
      <c r="S773" t="s">
        <v>33</v>
      </c>
      <c r="T773">
        <v>4</v>
      </c>
      <c r="U773" t="s">
        <v>33</v>
      </c>
      <c r="V773" s="1">
        <v>42446</v>
      </c>
      <c r="W773" s="1">
        <v>42795</v>
      </c>
      <c r="X773" s="1" t="str">
        <f t="shared" si="36"/>
        <v>2017-03-01</v>
      </c>
      <c r="Y773" t="str">
        <f t="shared" si="37"/>
        <v>36-45</v>
      </c>
      <c r="Z773" t="str">
        <f t="shared" si="38"/>
        <v>10+ Years</v>
      </c>
    </row>
    <row r="774" spans="1:26" x14ac:dyDescent="0.35">
      <c r="A774" t="s">
        <v>830</v>
      </c>
      <c r="B774">
        <v>51</v>
      </c>
      <c r="C774" t="s">
        <v>44</v>
      </c>
      <c r="D774" t="s">
        <v>49</v>
      </c>
      <c r="E774" t="s">
        <v>68</v>
      </c>
      <c r="F774" t="s">
        <v>78</v>
      </c>
      <c r="G774">
        <v>137599</v>
      </c>
      <c r="H774">
        <v>17</v>
      </c>
      <c r="I774">
        <v>27</v>
      </c>
      <c r="J774">
        <v>5</v>
      </c>
      <c r="K774">
        <v>4</v>
      </c>
      <c r="L774">
        <v>2</v>
      </c>
      <c r="M774">
        <v>3</v>
      </c>
      <c r="N774" t="s">
        <v>31</v>
      </c>
      <c r="O774" t="s">
        <v>47</v>
      </c>
      <c r="P774">
        <v>23</v>
      </c>
      <c r="Q774">
        <v>59</v>
      </c>
      <c r="R774">
        <v>3</v>
      </c>
      <c r="S774" t="s">
        <v>31</v>
      </c>
      <c r="T774">
        <v>8</v>
      </c>
      <c r="U774" t="s">
        <v>31</v>
      </c>
      <c r="V774" s="1">
        <v>41020</v>
      </c>
      <c r="X774" s="1" t="str">
        <f t="shared" si="36"/>
        <v>Active</v>
      </c>
      <c r="Y774" t="str">
        <f t="shared" si="37"/>
        <v>46-55</v>
      </c>
      <c r="Z774" t="str">
        <f t="shared" si="38"/>
        <v>10+ Years</v>
      </c>
    </row>
    <row r="775" spans="1:26" x14ac:dyDescent="0.35">
      <c r="A775" t="s">
        <v>831</v>
      </c>
      <c r="B775">
        <v>41</v>
      </c>
      <c r="C775" t="s">
        <v>44</v>
      </c>
      <c r="D775" t="s">
        <v>39</v>
      </c>
      <c r="E775" t="s">
        <v>74</v>
      </c>
      <c r="F775" t="s">
        <v>37</v>
      </c>
      <c r="G775">
        <v>81908</v>
      </c>
      <c r="H775">
        <v>5</v>
      </c>
      <c r="I775">
        <v>17</v>
      </c>
      <c r="J775">
        <v>3</v>
      </c>
      <c r="K775">
        <v>4</v>
      </c>
      <c r="L775">
        <v>4</v>
      </c>
      <c r="M775">
        <v>1</v>
      </c>
      <c r="N775" t="s">
        <v>31</v>
      </c>
      <c r="O775" t="s">
        <v>32</v>
      </c>
      <c r="P775">
        <v>28</v>
      </c>
      <c r="Q775">
        <v>45</v>
      </c>
      <c r="R775">
        <v>2</v>
      </c>
      <c r="S775" t="s">
        <v>33</v>
      </c>
      <c r="T775">
        <v>4</v>
      </c>
      <c r="U775" t="s">
        <v>31</v>
      </c>
      <c r="V775" s="1">
        <v>42891</v>
      </c>
      <c r="X775" s="1" t="str">
        <f t="shared" si="36"/>
        <v>Active</v>
      </c>
      <c r="Y775" t="str">
        <f t="shared" si="37"/>
        <v>36-45</v>
      </c>
      <c r="Z775" t="str">
        <f t="shared" si="38"/>
        <v>4-5 Years</v>
      </c>
    </row>
    <row r="776" spans="1:26" x14ac:dyDescent="0.35">
      <c r="A776" t="s">
        <v>832</v>
      </c>
      <c r="B776">
        <v>46</v>
      </c>
      <c r="C776" t="s">
        <v>44</v>
      </c>
      <c r="D776" t="s">
        <v>49</v>
      </c>
      <c r="E776" t="s">
        <v>50</v>
      </c>
      <c r="F776" t="s">
        <v>41</v>
      </c>
      <c r="G776">
        <v>41132</v>
      </c>
      <c r="H776">
        <v>2</v>
      </c>
      <c r="I776">
        <v>25</v>
      </c>
      <c r="J776">
        <v>1</v>
      </c>
      <c r="K776">
        <v>1</v>
      </c>
      <c r="L776">
        <v>4</v>
      </c>
      <c r="M776">
        <v>3</v>
      </c>
      <c r="N776" t="s">
        <v>31</v>
      </c>
      <c r="O776" t="s">
        <v>32</v>
      </c>
      <c r="P776">
        <v>5</v>
      </c>
      <c r="Q776">
        <v>13</v>
      </c>
      <c r="R776">
        <v>3</v>
      </c>
      <c r="S776" t="s">
        <v>31</v>
      </c>
      <c r="T776">
        <v>8</v>
      </c>
      <c r="U776" t="s">
        <v>31</v>
      </c>
      <c r="V776" s="1">
        <v>42131</v>
      </c>
      <c r="X776" s="1" t="str">
        <f t="shared" si="36"/>
        <v>Active</v>
      </c>
      <c r="Y776" t="str">
        <f t="shared" si="37"/>
        <v>46-55</v>
      </c>
      <c r="Z776" t="str">
        <f t="shared" si="38"/>
        <v>2-3 Years</v>
      </c>
    </row>
    <row r="777" spans="1:26" x14ac:dyDescent="0.35">
      <c r="A777" t="s">
        <v>833</v>
      </c>
      <c r="B777">
        <v>30</v>
      </c>
      <c r="C777" t="s">
        <v>27</v>
      </c>
      <c r="D777" t="s">
        <v>35</v>
      </c>
      <c r="E777" t="s">
        <v>36</v>
      </c>
      <c r="F777" t="s">
        <v>61</v>
      </c>
      <c r="G777">
        <v>81714</v>
      </c>
      <c r="H777">
        <v>7</v>
      </c>
      <c r="I777">
        <v>9</v>
      </c>
      <c r="J777">
        <v>3</v>
      </c>
      <c r="K777">
        <v>4</v>
      </c>
      <c r="L777">
        <v>1</v>
      </c>
      <c r="M777">
        <v>2</v>
      </c>
      <c r="N777" t="s">
        <v>31</v>
      </c>
      <c r="O777" t="s">
        <v>42</v>
      </c>
      <c r="P777">
        <v>19</v>
      </c>
      <c r="Q777">
        <v>40</v>
      </c>
      <c r="R777">
        <v>4</v>
      </c>
      <c r="S777" t="s">
        <v>31</v>
      </c>
      <c r="T777">
        <v>6</v>
      </c>
      <c r="U777" t="s">
        <v>31</v>
      </c>
      <c r="V777" s="1">
        <v>44056</v>
      </c>
      <c r="X777" s="1" t="str">
        <f t="shared" si="36"/>
        <v>Active</v>
      </c>
      <c r="Y777" t="str">
        <f t="shared" si="37"/>
        <v>26-35</v>
      </c>
      <c r="Z777" t="str">
        <f t="shared" si="38"/>
        <v>6-10 Years</v>
      </c>
    </row>
    <row r="778" spans="1:26" x14ac:dyDescent="0.35">
      <c r="A778" t="s">
        <v>834</v>
      </c>
      <c r="B778">
        <v>45</v>
      </c>
      <c r="C778" t="s">
        <v>27</v>
      </c>
      <c r="D778" t="s">
        <v>49</v>
      </c>
      <c r="E778" t="s">
        <v>68</v>
      </c>
      <c r="F778" t="s">
        <v>37</v>
      </c>
      <c r="G778">
        <v>137197</v>
      </c>
      <c r="H778">
        <v>17</v>
      </c>
      <c r="I778">
        <v>21</v>
      </c>
      <c r="J778">
        <v>5</v>
      </c>
      <c r="K778">
        <v>3</v>
      </c>
      <c r="L778">
        <v>4</v>
      </c>
      <c r="M778">
        <v>1</v>
      </c>
      <c r="N778" t="s">
        <v>31</v>
      </c>
      <c r="O778" t="s">
        <v>32</v>
      </c>
      <c r="P778">
        <v>26</v>
      </c>
      <c r="Q778">
        <v>57</v>
      </c>
      <c r="R778">
        <v>3</v>
      </c>
      <c r="S778" t="s">
        <v>31</v>
      </c>
      <c r="T778">
        <v>3</v>
      </c>
      <c r="U778" t="s">
        <v>31</v>
      </c>
      <c r="V778" s="1">
        <v>42129</v>
      </c>
      <c r="X778" s="1" t="str">
        <f t="shared" si="36"/>
        <v>Active</v>
      </c>
      <c r="Y778" t="str">
        <f t="shared" si="37"/>
        <v>36-45</v>
      </c>
      <c r="Z778" t="str">
        <f t="shared" si="38"/>
        <v>10+ Years</v>
      </c>
    </row>
    <row r="779" spans="1:26" x14ac:dyDescent="0.35">
      <c r="A779" t="s">
        <v>835</v>
      </c>
      <c r="B779">
        <v>30</v>
      </c>
      <c r="C779" t="s">
        <v>27</v>
      </c>
      <c r="D779" t="s">
        <v>52</v>
      </c>
      <c r="E779" t="s">
        <v>55</v>
      </c>
      <c r="F779" t="s">
        <v>41</v>
      </c>
      <c r="G779">
        <v>60576</v>
      </c>
      <c r="H779">
        <v>3</v>
      </c>
      <c r="I779">
        <v>6</v>
      </c>
      <c r="J779">
        <v>2</v>
      </c>
      <c r="K779">
        <v>2</v>
      </c>
      <c r="L779">
        <v>4</v>
      </c>
      <c r="M779">
        <v>4</v>
      </c>
      <c r="N779" t="s">
        <v>31</v>
      </c>
      <c r="O779" t="s">
        <v>42</v>
      </c>
      <c r="P779">
        <v>19</v>
      </c>
      <c r="Q779">
        <v>34</v>
      </c>
      <c r="R779">
        <v>4</v>
      </c>
      <c r="S779" t="s">
        <v>31</v>
      </c>
      <c r="T779">
        <v>6</v>
      </c>
      <c r="U779" t="s">
        <v>31</v>
      </c>
      <c r="V779" s="1">
        <v>41302</v>
      </c>
      <c r="X779" s="1" t="str">
        <f t="shared" si="36"/>
        <v>Active</v>
      </c>
      <c r="Y779" t="str">
        <f t="shared" si="37"/>
        <v>26-35</v>
      </c>
      <c r="Z779" t="str">
        <f t="shared" si="38"/>
        <v>2-3 Years</v>
      </c>
    </row>
    <row r="780" spans="1:26" x14ac:dyDescent="0.35">
      <c r="A780" t="s">
        <v>836</v>
      </c>
      <c r="B780">
        <v>55</v>
      </c>
      <c r="C780" t="s">
        <v>27</v>
      </c>
      <c r="D780" t="s">
        <v>49</v>
      </c>
      <c r="E780" t="s">
        <v>68</v>
      </c>
      <c r="F780" t="s">
        <v>61</v>
      </c>
      <c r="G780">
        <v>132509</v>
      </c>
      <c r="H780">
        <v>14</v>
      </c>
      <c r="I780">
        <v>33</v>
      </c>
      <c r="J780">
        <v>5</v>
      </c>
      <c r="K780">
        <v>1</v>
      </c>
      <c r="L780">
        <v>2</v>
      </c>
      <c r="M780">
        <v>4</v>
      </c>
      <c r="N780" t="s">
        <v>31</v>
      </c>
      <c r="O780" t="s">
        <v>32</v>
      </c>
      <c r="P780">
        <v>10</v>
      </c>
      <c r="Q780">
        <v>39</v>
      </c>
      <c r="R780">
        <v>3</v>
      </c>
      <c r="S780" t="s">
        <v>33</v>
      </c>
      <c r="T780">
        <v>5</v>
      </c>
      <c r="U780" t="s">
        <v>31</v>
      </c>
      <c r="V780" s="1">
        <v>43525</v>
      </c>
      <c r="X780" s="1" t="str">
        <f t="shared" si="36"/>
        <v>Active</v>
      </c>
      <c r="Y780" t="str">
        <f t="shared" si="37"/>
        <v>46-55</v>
      </c>
      <c r="Z780" t="str">
        <f t="shared" si="38"/>
        <v>10+ Years</v>
      </c>
    </row>
    <row r="781" spans="1:26" x14ac:dyDescent="0.35">
      <c r="A781" t="s">
        <v>837</v>
      </c>
      <c r="B781">
        <v>37</v>
      </c>
      <c r="C781" t="s">
        <v>44</v>
      </c>
      <c r="D781" t="s">
        <v>35</v>
      </c>
      <c r="E781" t="s">
        <v>85</v>
      </c>
      <c r="F781" t="s">
        <v>37</v>
      </c>
      <c r="G781">
        <v>126522</v>
      </c>
      <c r="H781">
        <v>13</v>
      </c>
      <c r="I781">
        <v>14</v>
      </c>
      <c r="J781">
        <v>5</v>
      </c>
      <c r="K781">
        <v>4</v>
      </c>
      <c r="L781">
        <v>1</v>
      </c>
      <c r="M781">
        <v>4</v>
      </c>
      <c r="N781" t="s">
        <v>33</v>
      </c>
      <c r="O781" t="s">
        <v>32</v>
      </c>
      <c r="P781">
        <v>22</v>
      </c>
      <c r="Q781">
        <v>26</v>
      </c>
      <c r="R781">
        <v>3</v>
      </c>
      <c r="S781" t="s">
        <v>31</v>
      </c>
      <c r="T781">
        <v>2</v>
      </c>
      <c r="U781" t="s">
        <v>31</v>
      </c>
      <c r="V781" s="1">
        <v>42554</v>
      </c>
      <c r="X781" s="1" t="str">
        <f t="shared" si="36"/>
        <v>Active</v>
      </c>
      <c r="Y781" t="str">
        <f t="shared" si="37"/>
        <v>36-45</v>
      </c>
      <c r="Z781" t="str">
        <f t="shared" si="38"/>
        <v>10+ Years</v>
      </c>
    </row>
    <row r="782" spans="1:26" x14ac:dyDescent="0.35">
      <c r="A782" t="s">
        <v>838</v>
      </c>
      <c r="B782">
        <v>26</v>
      </c>
      <c r="C782" t="s">
        <v>44</v>
      </c>
      <c r="D782" t="s">
        <v>52</v>
      </c>
      <c r="E782" t="s">
        <v>55</v>
      </c>
      <c r="F782" t="s">
        <v>30</v>
      </c>
      <c r="G782">
        <v>46416</v>
      </c>
      <c r="H782">
        <v>1</v>
      </c>
      <c r="I782">
        <v>3</v>
      </c>
      <c r="J782">
        <v>1</v>
      </c>
      <c r="K782">
        <v>3</v>
      </c>
      <c r="L782">
        <v>2</v>
      </c>
      <c r="M782">
        <v>4</v>
      </c>
      <c r="N782" t="s">
        <v>33</v>
      </c>
      <c r="O782" t="s">
        <v>32</v>
      </c>
      <c r="P782">
        <v>7</v>
      </c>
      <c r="Q782">
        <v>31</v>
      </c>
      <c r="R782">
        <v>3</v>
      </c>
      <c r="S782" t="s">
        <v>31</v>
      </c>
      <c r="T782">
        <v>7</v>
      </c>
      <c r="U782" t="s">
        <v>31</v>
      </c>
      <c r="V782" s="1">
        <v>41244</v>
      </c>
      <c r="X782" s="1" t="str">
        <f t="shared" si="36"/>
        <v>Active</v>
      </c>
      <c r="Y782" t="str">
        <f t="shared" si="37"/>
        <v>26-35</v>
      </c>
      <c r="Z782" t="str">
        <f t="shared" si="38"/>
        <v>0-1 Year</v>
      </c>
    </row>
    <row r="783" spans="1:26" x14ac:dyDescent="0.35">
      <c r="A783" t="s">
        <v>839</v>
      </c>
      <c r="B783">
        <v>47</v>
      </c>
      <c r="C783" t="s">
        <v>27</v>
      </c>
      <c r="D783" t="s">
        <v>39</v>
      </c>
      <c r="E783" t="s">
        <v>40</v>
      </c>
      <c r="F783" t="s">
        <v>61</v>
      </c>
      <c r="G783">
        <v>59514</v>
      </c>
      <c r="H783">
        <v>2</v>
      </c>
      <c r="I783">
        <v>23</v>
      </c>
      <c r="J783">
        <v>2</v>
      </c>
      <c r="K783">
        <v>2</v>
      </c>
      <c r="L783">
        <v>3</v>
      </c>
      <c r="M783">
        <v>2</v>
      </c>
      <c r="N783" t="s">
        <v>33</v>
      </c>
      <c r="O783" t="s">
        <v>32</v>
      </c>
      <c r="P783">
        <v>10</v>
      </c>
      <c r="Q783">
        <v>50</v>
      </c>
      <c r="R783">
        <v>2</v>
      </c>
      <c r="S783" t="s">
        <v>31</v>
      </c>
      <c r="T783">
        <v>4</v>
      </c>
      <c r="U783" t="s">
        <v>31</v>
      </c>
      <c r="V783" s="1">
        <v>42043</v>
      </c>
      <c r="X783" s="1" t="str">
        <f t="shared" si="36"/>
        <v>Active</v>
      </c>
      <c r="Y783" t="str">
        <f t="shared" si="37"/>
        <v>46-55</v>
      </c>
      <c r="Z783" t="str">
        <f t="shared" si="38"/>
        <v>2-3 Years</v>
      </c>
    </row>
    <row r="784" spans="1:26" x14ac:dyDescent="0.35">
      <c r="A784" t="s">
        <v>840</v>
      </c>
      <c r="B784">
        <v>37</v>
      </c>
      <c r="C784" t="s">
        <v>44</v>
      </c>
      <c r="D784" t="s">
        <v>35</v>
      </c>
      <c r="E784" t="s">
        <v>36</v>
      </c>
      <c r="F784" t="s">
        <v>56</v>
      </c>
      <c r="G784">
        <v>59999</v>
      </c>
      <c r="H784">
        <v>1</v>
      </c>
      <c r="I784">
        <v>14</v>
      </c>
      <c r="J784">
        <v>2</v>
      </c>
      <c r="K784">
        <v>1</v>
      </c>
      <c r="L784">
        <v>3</v>
      </c>
      <c r="M784">
        <v>2</v>
      </c>
      <c r="N784" t="s">
        <v>33</v>
      </c>
      <c r="O784" t="s">
        <v>42</v>
      </c>
      <c r="P784">
        <v>6</v>
      </c>
      <c r="Q784">
        <v>32</v>
      </c>
      <c r="R784">
        <v>3</v>
      </c>
      <c r="S784" t="s">
        <v>31</v>
      </c>
      <c r="T784">
        <v>3</v>
      </c>
      <c r="U784" t="s">
        <v>31</v>
      </c>
      <c r="V784" s="1">
        <v>42262</v>
      </c>
      <c r="X784" s="1" t="str">
        <f t="shared" si="36"/>
        <v>Active</v>
      </c>
      <c r="Y784" t="str">
        <f t="shared" si="37"/>
        <v>36-45</v>
      </c>
      <c r="Z784" t="str">
        <f t="shared" si="38"/>
        <v>0-1 Year</v>
      </c>
    </row>
    <row r="785" spans="1:26" x14ac:dyDescent="0.35">
      <c r="A785" t="s">
        <v>841</v>
      </c>
      <c r="B785">
        <v>22</v>
      </c>
      <c r="C785" t="s">
        <v>27</v>
      </c>
      <c r="D785" t="s">
        <v>28</v>
      </c>
      <c r="E785" t="s">
        <v>29</v>
      </c>
      <c r="F785" t="s">
        <v>37</v>
      </c>
      <c r="G785">
        <v>38484</v>
      </c>
      <c r="H785">
        <v>0</v>
      </c>
      <c r="I785">
        <v>1</v>
      </c>
      <c r="J785">
        <v>1</v>
      </c>
      <c r="K785">
        <v>3</v>
      </c>
      <c r="L785">
        <v>3</v>
      </c>
      <c r="M785">
        <v>3</v>
      </c>
      <c r="N785" t="s">
        <v>31</v>
      </c>
      <c r="O785" t="s">
        <v>32</v>
      </c>
      <c r="P785">
        <v>24</v>
      </c>
      <c r="Q785">
        <v>50</v>
      </c>
      <c r="R785">
        <v>3</v>
      </c>
      <c r="S785" t="s">
        <v>31</v>
      </c>
      <c r="T785">
        <v>5</v>
      </c>
      <c r="U785" t="s">
        <v>31</v>
      </c>
      <c r="V785" s="1">
        <v>44083</v>
      </c>
      <c r="X785" s="1" t="str">
        <f t="shared" si="36"/>
        <v>Active</v>
      </c>
      <c r="Y785" t="str">
        <f t="shared" si="37"/>
        <v>18-25</v>
      </c>
      <c r="Z785" t="str">
        <f t="shared" si="38"/>
        <v>0-1 Year</v>
      </c>
    </row>
    <row r="786" spans="1:26" x14ac:dyDescent="0.35">
      <c r="A786" t="s">
        <v>842</v>
      </c>
      <c r="B786">
        <v>52</v>
      </c>
      <c r="C786" t="s">
        <v>27</v>
      </c>
      <c r="D786" t="s">
        <v>49</v>
      </c>
      <c r="E786" t="s">
        <v>68</v>
      </c>
      <c r="F786" t="s">
        <v>78</v>
      </c>
      <c r="G786">
        <v>149443</v>
      </c>
      <c r="H786">
        <v>23</v>
      </c>
      <c r="I786">
        <v>31</v>
      </c>
      <c r="J786">
        <v>5</v>
      </c>
      <c r="K786">
        <v>2</v>
      </c>
      <c r="L786">
        <v>3</v>
      </c>
      <c r="M786">
        <v>1</v>
      </c>
      <c r="N786" t="s">
        <v>31</v>
      </c>
      <c r="O786" t="s">
        <v>32</v>
      </c>
      <c r="P786">
        <v>16</v>
      </c>
      <c r="Q786">
        <v>58</v>
      </c>
      <c r="R786">
        <v>2</v>
      </c>
      <c r="S786" t="s">
        <v>31</v>
      </c>
      <c r="T786">
        <v>5</v>
      </c>
      <c r="U786" t="s">
        <v>31</v>
      </c>
      <c r="V786" s="1">
        <v>44120</v>
      </c>
      <c r="X786" s="1" t="str">
        <f t="shared" si="36"/>
        <v>Active</v>
      </c>
      <c r="Y786" t="str">
        <f t="shared" si="37"/>
        <v>46-55</v>
      </c>
      <c r="Z786" t="str">
        <f t="shared" si="38"/>
        <v>10+ Years</v>
      </c>
    </row>
    <row r="787" spans="1:26" x14ac:dyDescent="0.35">
      <c r="A787" t="s">
        <v>843</v>
      </c>
      <c r="B787">
        <v>48</v>
      </c>
      <c r="C787" t="s">
        <v>44</v>
      </c>
      <c r="D787" t="s">
        <v>52</v>
      </c>
      <c r="E787" t="s">
        <v>55</v>
      </c>
      <c r="F787" t="s">
        <v>30</v>
      </c>
      <c r="G787">
        <v>139231</v>
      </c>
      <c r="H787">
        <v>19</v>
      </c>
      <c r="I787">
        <v>24</v>
      </c>
      <c r="J787">
        <v>5</v>
      </c>
      <c r="K787">
        <v>1</v>
      </c>
      <c r="L787">
        <v>1</v>
      </c>
      <c r="M787">
        <v>1</v>
      </c>
      <c r="N787" t="s">
        <v>31</v>
      </c>
      <c r="O787" t="s">
        <v>32</v>
      </c>
      <c r="P787">
        <v>1</v>
      </c>
      <c r="Q787">
        <v>38</v>
      </c>
      <c r="R787">
        <v>4</v>
      </c>
      <c r="S787" t="s">
        <v>31</v>
      </c>
      <c r="T787">
        <v>3</v>
      </c>
      <c r="U787" t="s">
        <v>31</v>
      </c>
      <c r="V787" s="1">
        <v>44703</v>
      </c>
      <c r="X787" s="1" t="str">
        <f t="shared" si="36"/>
        <v>Active</v>
      </c>
      <c r="Y787" t="str">
        <f t="shared" si="37"/>
        <v>46-55</v>
      </c>
      <c r="Z787" t="str">
        <f t="shared" si="38"/>
        <v>10+ Years</v>
      </c>
    </row>
    <row r="788" spans="1:26" x14ac:dyDescent="0.35">
      <c r="A788" t="s">
        <v>844</v>
      </c>
      <c r="B788">
        <v>45</v>
      </c>
      <c r="C788" t="s">
        <v>44</v>
      </c>
      <c r="D788" t="s">
        <v>28</v>
      </c>
      <c r="E788" t="s">
        <v>29</v>
      </c>
      <c r="F788" t="s">
        <v>78</v>
      </c>
      <c r="G788">
        <v>143881</v>
      </c>
      <c r="H788">
        <v>23</v>
      </c>
      <c r="I788">
        <v>24</v>
      </c>
      <c r="J788">
        <v>5</v>
      </c>
      <c r="K788">
        <v>3</v>
      </c>
      <c r="L788">
        <v>2</v>
      </c>
      <c r="M788">
        <v>4</v>
      </c>
      <c r="N788" t="s">
        <v>33</v>
      </c>
      <c r="O788" t="s">
        <v>32</v>
      </c>
      <c r="P788">
        <v>26</v>
      </c>
      <c r="Q788">
        <v>27</v>
      </c>
      <c r="R788">
        <v>2</v>
      </c>
      <c r="S788" t="s">
        <v>31</v>
      </c>
      <c r="T788">
        <v>2</v>
      </c>
      <c r="U788" t="s">
        <v>33</v>
      </c>
      <c r="V788" s="1">
        <v>44557</v>
      </c>
      <c r="W788" s="1">
        <v>44945</v>
      </c>
      <c r="X788" s="1" t="str">
        <f t="shared" si="36"/>
        <v>2023-01-19</v>
      </c>
      <c r="Y788" t="str">
        <f t="shared" si="37"/>
        <v>36-45</v>
      </c>
      <c r="Z788" t="str">
        <f t="shared" si="38"/>
        <v>10+ Years</v>
      </c>
    </row>
    <row r="789" spans="1:26" x14ac:dyDescent="0.35">
      <c r="A789" t="s">
        <v>845</v>
      </c>
      <c r="B789">
        <v>25</v>
      </c>
      <c r="C789" t="s">
        <v>27</v>
      </c>
      <c r="D789" t="s">
        <v>28</v>
      </c>
      <c r="E789" t="s">
        <v>66</v>
      </c>
      <c r="F789" t="s">
        <v>41</v>
      </c>
      <c r="G789">
        <v>59285</v>
      </c>
      <c r="H789">
        <v>3</v>
      </c>
      <c r="I789">
        <v>4</v>
      </c>
      <c r="J789">
        <v>2</v>
      </c>
      <c r="K789">
        <v>1</v>
      </c>
      <c r="L789">
        <v>3</v>
      </c>
      <c r="M789">
        <v>3</v>
      </c>
      <c r="N789" t="s">
        <v>31</v>
      </c>
      <c r="O789" t="s">
        <v>32</v>
      </c>
      <c r="P789">
        <v>5</v>
      </c>
      <c r="Q789">
        <v>54</v>
      </c>
      <c r="R789">
        <v>2</v>
      </c>
      <c r="S789" t="s">
        <v>31</v>
      </c>
      <c r="T789">
        <v>4</v>
      </c>
      <c r="U789" t="s">
        <v>33</v>
      </c>
      <c r="V789" s="1">
        <v>42223</v>
      </c>
      <c r="W789" s="1">
        <v>42889</v>
      </c>
      <c r="X789" s="1" t="str">
        <f t="shared" si="36"/>
        <v>2017-06-03</v>
      </c>
      <c r="Y789" t="str">
        <f t="shared" si="37"/>
        <v>18-25</v>
      </c>
      <c r="Z789" t="str">
        <f t="shared" si="38"/>
        <v>2-3 Years</v>
      </c>
    </row>
    <row r="790" spans="1:26" x14ac:dyDescent="0.35">
      <c r="A790" t="s">
        <v>846</v>
      </c>
      <c r="B790">
        <v>46</v>
      </c>
      <c r="C790" t="s">
        <v>27</v>
      </c>
      <c r="D790" t="s">
        <v>49</v>
      </c>
      <c r="E790" t="s">
        <v>68</v>
      </c>
      <c r="F790" t="s">
        <v>41</v>
      </c>
      <c r="G790">
        <v>46064</v>
      </c>
      <c r="H790">
        <v>2</v>
      </c>
      <c r="I790">
        <v>24</v>
      </c>
      <c r="J790">
        <v>1</v>
      </c>
      <c r="K790">
        <v>1</v>
      </c>
      <c r="L790">
        <v>1</v>
      </c>
      <c r="M790">
        <v>2</v>
      </c>
      <c r="N790" t="s">
        <v>33</v>
      </c>
      <c r="O790" t="s">
        <v>32</v>
      </c>
      <c r="P790">
        <v>19</v>
      </c>
      <c r="Q790">
        <v>37</v>
      </c>
      <c r="R790">
        <v>3</v>
      </c>
      <c r="S790" t="s">
        <v>31</v>
      </c>
      <c r="T790">
        <v>4</v>
      </c>
      <c r="U790" t="s">
        <v>31</v>
      </c>
      <c r="V790" s="1">
        <v>44862</v>
      </c>
      <c r="X790" s="1" t="str">
        <f t="shared" si="36"/>
        <v>Active</v>
      </c>
      <c r="Y790" t="str">
        <f t="shared" si="37"/>
        <v>46-55</v>
      </c>
      <c r="Z790" t="str">
        <f t="shared" si="38"/>
        <v>2-3 Years</v>
      </c>
    </row>
    <row r="791" spans="1:26" x14ac:dyDescent="0.35">
      <c r="A791" t="s">
        <v>847</v>
      </c>
      <c r="B791">
        <v>59</v>
      </c>
      <c r="C791" t="s">
        <v>44</v>
      </c>
      <c r="D791" t="s">
        <v>52</v>
      </c>
      <c r="E791" t="s">
        <v>53</v>
      </c>
      <c r="F791" t="s">
        <v>56</v>
      </c>
      <c r="G791">
        <v>173942</v>
      </c>
      <c r="H791">
        <v>38</v>
      </c>
      <c r="I791">
        <v>38</v>
      </c>
      <c r="J791">
        <v>5</v>
      </c>
      <c r="K791">
        <v>4</v>
      </c>
      <c r="L791">
        <v>1</v>
      </c>
      <c r="M791">
        <v>3</v>
      </c>
      <c r="N791" t="s">
        <v>33</v>
      </c>
      <c r="O791" t="s">
        <v>42</v>
      </c>
      <c r="P791">
        <v>22</v>
      </c>
      <c r="Q791">
        <v>49</v>
      </c>
      <c r="R791">
        <v>3</v>
      </c>
      <c r="S791" t="s">
        <v>31</v>
      </c>
      <c r="T791">
        <v>5</v>
      </c>
      <c r="U791" t="s">
        <v>31</v>
      </c>
      <c r="V791" s="1">
        <v>41265</v>
      </c>
      <c r="X791" s="1" t="str">
        <f t="shared" si="36"/>
        <v>Active</v>
      </c>
      <c r="Y791" t="str">
        <f t="shared" si="37"/>
        <v>56+</v>
      </c>
      <c r="Z791" t="str">
        <f t="shared" si="38"/>
        <v>10+ Years</v>
      </c>
    </row>
    <row r="792" spans="1:26" x14ac:dyDescent="0.35">
      <c r="A792" t="s">
        <v>848</v>
      </c>
      <c r="B792">
        <v>44</v>
      </c>
      <c r="C792" t="s">
        <v>27</v>
      </c>
      <c r="D792" t="s">
        <v>39</v>
      </c>
      <c r="E792" t="s">
        <v>40</v>
      </c>
      <c r="F792" t="s">
        <v>37</v>
      </c>
      <c r="G792">
        <v>61059</v>
      </c>
      <c r="H792">
        <v>1</v>
      </c>
      <c r="I792">
        <v>22</v>
      </c>
      <c r="J792">
        <v>2</v>
      </c>
      <c r="K792">
        <v>2</v>
      </c>
      <c r="L792">
        <v>4</v>
      </c>
      <c r="M792">
        <v>2</v>
      </c>
      <c r="N792" t="s">
        <v>31</v>
      </c>
      <c r="O792" t="s">
        <v>42</v>
      </c>
      <c r="P792">
        <v>6</v>
      </c>
      <c r="Q792">
        <v>46</v>
      </c>
      <c r="R792">
        <v>3</v>
      </c>
      <c r="S792" t="s">
        <v>31</v>
      </c>
      <c r="T792">
        <v>7</v>
      </c>
      <c r="U792" t="s">
        <v>31</v>
      </c>
      <c r="V792" s="1">
        <v>44683</v>
      </c>
      <c r="X792" s="1" t="str">
        <f t="shared" si="36"/>
        <v>Active</v>
      </c>
      <c r="Y792" t="str">
        <f t="shared" si="37"/>
        <v>36-45</v>
      </c>
      <c r="Z792" t="str">
        <f t="shared" si="38"/>
        <v>0-1 Year</v>
      </c>
    </row>
    <row r="793" spans="1:26" x14ac:dyDescent="0.35">
      <c r="A793" t="s">
        <v>849</v>
      </c>
      <c r="B793">
        <v>28</v>
      </c>
      <c r="C793" t="s">
        <v>27</v>
      </c>
      <c r="D793" t="s">
        <v>45</v>
      </c>
      <c r="E793" t="s">
        <v>46</v>
      </c>
      <c r="F793" t="s">
        <v>56</v>
      </c>
      <c r="G793">
        <v>42070</v>
      </c>
      <c r="H793">
        <v>2</v>
      </c>
      <c r="I793">
        <v>4</v>
      </c>
      <c r="J793">
        <v>1</v>
      </c>
      <c r="K793">
        <v>1</v>
      </c>
      <c r="L793">
        <v>2</v>
      </c>
      <c r="M793">
        <v>2</v>
      </c>
      <c r="N793" t="s">
        <v>31</v>
      </c>
      <c r="O793" t="s">
        <v>32</v>
      </c>
      <c r="P793">
        <v>3</v>
      </c>
      <c r="Q793">
        <v>10</v>
      </c>
      <c r="R793">
        <v>3</v>
      </c>
      <c r="S793" t="s">
        <v>31</v>
      </c>
      <c r="T793">
        <v>3</v>
      </c>
      <c r="U793" t="s">
        <v>31</v>
      </c>
      <c r="V793" s="1">
        <v>41451</v>
      </c>
      <c r="X793" s="1" t="str">
        <f t="shared" si="36"/>
        <v>Active</v>
      </c>
      <c r="Y793" t="str">
        <f t="shared" si="37"/>
        <v>26-35</v>
      </c>
      <c r="Z793" t="str">
        <f t="shared" si="38"/>
        <v>2-3 Years</v>
      </c>
    </row>
    <row r="794" spans="1:26" x14ac:dyDescent="0.35">
      <c r="A794" t="s">
        <v>850</v>
      </c>
      <c r="B794">
        <v>23</v>
      </c>
      <c r="C794" t="s">
        <v>27</v>
      </c>
      <c r="D794" t="s">
        <v>28</v>
      </c>
      <c r="E794" t="s">
        <v>29</v>
      </c>
      <c r="F794" t="s">
        <v>30</v>
      </c>
      <c r="G794">
        <v>42909</v>
      </c>
      <c r="H794">
        <v>0</v>
      </c>
      <c r="I794">
        <v>1</v>
      </c>
      <c r="J794">
        <v>1</v>
      </c>
      <c r="K794">
        <v>2</v>
      </c>
      <c r="L794">
        <v>4</v>
      </c>
      <c r="M794">
        <v>2</v>
      </c>
      <c r="N794" t="s">
        <v>31</v>
      </c>
      <c r="O794" t="s">
        <v>32</v>
      </c>
      <c r="P794">
        <v>29</v>
      </c>
      <c r="Q794">
        <v>55</v>
      </c>
      <c r="R794">
        <v>2</v>
      </c>
      <c r="S794" t="s">
        <v>31</v>
      </c>
      <c r="T794">
        <v>4</v>
      </c>
      <c r="U794" t="s">
        <v>31</v>
      </c>
      <c r="V794" s="1">
        <v>43534</v>
      </c>
      <c r="X794" s="1" t="str">
        <f t="shared" si="36"/>
        <v>Active</v>
      </c>
      <c r="Y794" t="str">
        <f t="shared" si="37"/>
        <v>18-25</v>
      </c>
      <c r="Z794" t="str">
        <f t="shared" si="38"/>
        <v>0-1 Year</v>
      </c>
    </row>
    <row r="795" spans="1:26" x14ac:dyDescent="0.35">
      <c r="A795" t="s">
        <v>851</v>
      </c>
      <c r="B795">
        <v>53</v>
      </c>
      <c r="C795" t="s">
        <v>27</v>
      </c>
      <c r="D795" t="s">
        <v>45</v>
      </c>
      <c r="E795" t="s">
        <v>46</v>
      </c>
      <c r="F795" t="s">
        <v>37</v>
      </c>
      <c r="G795">
        <v>136878</v>
      </c>
      <c r="H795">
        <v>17</v>
      </c>
      <c r="I795">
        <v>31</v>
      </c>
      <c r="J795">
        <v>5</v>
      </c>
      <c r="K795">
        <v>2</v>
      </c>
      <c r="L795">
        <v>3</v>
      </c>
      <c r="M795">
        <v>3</v>
      </c>
      <c r="N795" t="s">
        <v>33</v>
      </c>
      <c r="O795" t="s">
        <v>47</v>
      </c>
      <c r="P795">
        <v>16</v>
      </c>
      <c r="Q795">
        <v>48</v>
      </c>
      <c r="R795">
        <v>3</v>
      </c>
      <c r="S795" t="s">
        <v>31</v>
      </c>
      <c r="T795">
        <v>6</v>
      </c>
      <c r="U795" t="s">
        <v>31</v>
      </c>
      <c r="V795" s="1">
        <v>43211</v>
      </c>
      <c r="X795" s="1" t="str">
        <f t="shared" si="36"/>
        <v>Active</v>
      </c>
      <c r="Y795" t="str">
        <f t="shared" si="37"/>
        <v>46-55</v>
      </c>
      <c r="Z795" t="str">
        <f t="shared" si="38"/>
        <v>10+ Years</v>
      </c>
    </row>
    <row r="796" spans="1:26" x14ac:dyDescent="0.35">
      <c r="A796" t="s">
        <v>852</v>
      </c>
      <c r="B796">
        <v>25</v>
      </c>
      <c r="C796" t="s">
        <v>44</v>
      </c>
      <c r="D796" t="s">
        <v>35</v>
      </c>
      <c r="E796" t="s">
        <v>36</v>
      </c>
      <c r="F796" t="s">
        <v>37</v>
      </c>
      <c r="G796">
        <v>43707</v>
      </c>
      <c r="H796">
        <v>2</v>
      </c>
      <c r="I796">
        <v>2</v>
      </c>
      <c r="J796">
        <v>1</v>
      </c>
      <c r="K796">
        <v>3</v>
      </c>
      <c r="L796">
        <v>4</v>
      </c>
      <c r="M796">
        <v>2</v>
      </c>
      <c r="N796" t="s">
        <v>31</v>
      </c>
      <c r="O796" t="s">
        <v>32</v>
      </c>
      <c r="P796">
        <v>1</v>
      </c>
      <c r="Q796">
        <v>49</v>
      </c>
      <c r="R796">
        <v>3</v>
      </c>
      <c r="S796" t="s">
        <v>31</v>
      </c>
      <c r="T796">
        <v>5</v>
      </c>
      <c r="U796" t="s">
        <v>31</v>
      </c>
      <c r="V796" s="1">
        <v>41453</v>
      </c>
      <c r="X796" s="1" t="str">
        <f t="shared" si="36"/>
        <v>Active</v>
      </c>
      <c r="Y796" t="str">
        <f t="shared" si="37"/>
        <v>18-25</v>
      </c>
      <c r="Z796" t="str">
        <f t="shared" si="38"/>
        <v>2-3 Years</v>
      </c>
    </row>
    <row r="797" spans="1:26" x14ac:dyDescent="0.35">
      <c r="A797" t="s">
        <v>853</v>
      </c>
      <c r="B797">
        <v>29</v>
      </c>
      <c r="C797" t="s">
        <v>27</v>
      </c>
      <c r="D797" t="s">
        <v>39</v>
      </c>
      <c r="E797" t="s">
        <v>59</v>
      </c>
      <c r="F797" t="s">
        <v>78</v>
      </c>
      <c r="G797">
        <v>101938</v>
      </c>
      <c r="H797">
        <v>8</v>
      </c>
      <c r="I797">
        <v>8</v>
      </c>
      <c r="J797">
        <v>4</v>
      </c>
      <c r="K797">
        <v>2</v>
      </c>
      <c r="L797">
        <v>2</v>
      </c>
      <c r="M797">
        <v>3</v>
      </c>
      <c r="N797" t="s">
        <v>33</v>
      </c>
      <c r="O797" t="s">
        <v>32</v>
      </c>
      <c r="P797">
        <v>19</v>
      </c>
      <c r="Q797">
        <v>21</v>
      </c>
      <c r="R797">
        <v>2</v>
      </c>
      <c r="S797" t="s">
        <v>33</v>
      </c>
      <c r="T797">
        <v>4</v>
      </c>
      <c r="U797" t="s">
        <v>31</v>
      </c>
      <c r="V797" s="1">
        <v>42352</v>
      </c>
      <c r="X797" s="1" t="str">
        <f t="shared" si="36"/>
        <v>Active</v>
      </c>
      <c r="Y797" t="str">
        <f t="shared" si="37"/>
        <v>26-35</v>
      </c>
      <c r="Z797" t="str">
        <f t="shared" si="38"/>
        <v>6-10 Years</v>
      </c>
    </row>
    <row r="798" spans="1:26" x14ac:dyDescent="0.35">
      <c r="A798" t="s">
        <v>854</v>
      </c>
      <c r="B798">
        <v>30</v>
      </c>
      <c r="C798" t="s">
        <v>27</v>
      </c>
      <c r="D798" t="s">
        <v>49</v>
      </c>
      <c r="E798" t="s">
        <v>68</v>
      </c>
      <c r="F798" t="s">
        <v>78</v>
      </c>
      <c r="G798">
        <v>80310</v>
      </c>
      <c r="H798">
        <v>4</v>
      </c>
      <c r="I798">
        <v>9</v>
      </c>
      <c r="J798">
        <v>3</v>
      </c>
      <c r="K798">
        <v>1</v>
      </c>
      <c r="L798">
        <v>1</v>
      </c>
      <c r="M798">
        <v>1</v>
      </c>
      <c r="N798" t="s">
        <v>31</v>
      </c>
      <c r="O798" t="s">
        <v>32</v>
      </c>
      <c r="P798">
        <v>28</v>
      </c>
      <c r="Q798">
        <v>51</v>
      </c>
      <c r="R798">
        <v>3</v>
      </c>
      <c r="S798" t="s">
        <v>31</v>
      </c>
      <c r="T798">
        <v>7</v>
      </c>
      <c r="U798" t="s">
        <v>31</v>
      </c>
      <c r="V798" s="1">
        <v>41011</v>
      </c>
      <c r="X798" s="1" t="str">
        <f t="shared" si="36"/>
        <v>Active</v>
      </c>
      <c r="Y798" t="str">
        <f t="shared" si="37"/>
        <v>26-35</v>
      </c>
      <c r="Z798" t="str">
        <f t="shared" si="38"/>
        <v>4-5 Years</v>
      </c>
    </row>
    <row r="799" spans="1:26" x14ac:dyDescent="0.35">
      <c r="A799" t="s">
        <v>855</v>
      </c>
      <c r="B799">
        <v>50</v>
      </c>
      <c r="C799" t="s">
        <v>27</v>
      </c>
      <c r="D799" t="s">
        <v>35</v>
      </c>
      <c r="E799" t="s">
        <v>36</v>
      </c>
      <c r="F799" t="s">
        <v>78</v>
      </c>
      <c r="G799">
        <v>160485</v>
      </c>
      <c r="H799">
        <v>29</v>
      </c>
      <c r="I799">
        <v>29</v>
      </c>
      <c r="J799">
        <v>5</v>
      </c>
      <c r="K799">
        <v>4</v>
      </c>
      <c r="L799">
        <v>2</v>
      </c>
      <c r="M799">
        <v>3</v>
      </c>
      <c r="N799" t="s">
        <v>31</v>
      </c>
      <c r="O799" t="s">
        <v>32</v>
      </c>
      <c r="P799">
        <v>3</v>
      </c>
      <c r="Q799">
        <v>45</v>
      </c>
      <c r="R799">
        <v>3</v>
      </c>
      <c r="S799" t="s">
        <v>33</v>
      </c>
      <c r="T799">
        <v>5</v>
      </c>
      <c r="U799" t="s">
        <v>33</v>
      </c>
      <c r="V799" s="1">
        <v>43691</v>
      </c>
      <c r="W799" s="1">
        <v>43860</v>
      </c>
      <c r="X799" s="1" t="str">
        <f t="shared" si="36"/>
        <v>2020-01-30</v>
      </c>
      <c r="Y799" t="str">
        <f t="shared" si="37"/>
        <v>46-55</v>
      </c>
      <c r="Z799" t="str">
        <f t="shared" si="38"/>
        <v>10+ Years</v>
      </c>
    </row>
    <row r="800" spans="1:26" x14ac:dyDescent="0.35">
      <c r="A800" t="s">
        <v>856</v>
      </c>
      <c r="B800">
        <v>56</v>
      </c>
      <c r="C800" t="s">
        <v>27</v>
      </c>
      <c r="D800" t="s">
        <v>52</v>
      </c>
      <c r="E800" t="s">
        <v>55</v>
      </c>
      <c r="F800" t="s">
        <v>41</v>
      </c>
      <c r="G800">
        <v>43233</v>
      </c>
      <c r="H800">
        <v>0</v>
      </c>
      <c r="I800">
        <v>35</v>
      </c>
      <c r="J800">
        <v>1</v>
      </c>
      <c r="K800">
        <v>2</v>
      </c>
      <c r="L800">
        <v>3</v>
      </c>
      <c r="M800">
        <v>2</v>
      </c>
      <c r="N800" t="s">
        <v>33</v>
      </c>
      <c r="O800" t="s">
        <v>47</v>
      </c>
      <c r="P800">
        <v>26</v>
      </c>
      <c r="Q800">
        <v>55</v>
      </c>
      <c r="R800">
        <v>3</v>
      </c>
      <c r="S800" t="s">
        <v>31</v>
      </c>
      <c r="T800">
        <v>3</v>
      </c>
      <c r="U800" t="s">
        <v>31</v>
      </c>
      <c r="V800" s="1">
        <v>42287</v>
      </c>
      <c r="X800" s="1" t="str">
        <f t="shared" si="36"/>
        <v>Active</v>
      </c>
      <c r="Y800" t="str">
        <f t="shared" si="37"/>
        <v>56+</v>
      </c>
      <c r="Z800" t="str">
        <f t="shared" si="38"/>
        <v>0-1 Year</v>
      </c>
    </row>
    <row r="801" spans="1:26" x14ac:dyDescent="0.35">
      <c r="A801" t="s">
        <v>857</v>
      </c>
      <c r="B801">
        <v>55</v>
      </c>
      <c r="C801" t="s">
        <v>27</v>
      </c>
      <c r="D801" t="s">
        <v>49</v>
      </c>
      <c r="E801" t="s">
        <v>68</v>
      </c>
      <c r="F801" t="s">
        <v>56</v>
      </c>
      <c r="G801">
        <v>161776</v>
      </c>
      <c r="H801">
        <v>29</v>
      </c>
      <c r="I801">
        <v>33</v>
      </c>
      <c r="J801">
        <v>5</v>
      </c>
      <c r="K801">
        <v>4</v>
      </c>
      <c r="L801">
        <v>3</v>
      </c>
      <c r="M801">
        <v>2</v>
      </c>
      <c r="N801" t="s">
        <v>33</v>
      </c>
      <c r="O801" t="s">
        <v>32</v>
      </c>
      <c r="P801">
        <v>5</v>
      </c>
      <c r="Q801">
        <v>27</v>
      </c>
      <c r="R801">
        <v>4</v>
      </c>
      <c r="S801" t="s">
        <v>33</v>
      </c>
      <c r="T801">
        <v>2</v>
      </c>
      <c r="U801" t="s">
        <v>31</v>
      </c>
      <c r="V801" s="1">
        <v>44342</v>
      </c>
      <c r="X801" s="1" t="str">
        <f t="shared" si="36"/>
        <v>Active</v>
      </c>
      <c r="Y801" t="str">
        <f t="shared" si="37"/>
        <v>46-55</v>
      </c>
      <c r="Z801" t="str">
        <f t="shared" si="38"/>
        <v>10+ Years</v>
      </c>
    </row>
    <row r="802" spans="1:26" x14ac:dyDescent="0.35">
      <c r="A802" t="s">
        <v>858</v>
      </c>
      <c r="B802">
        <v>46</v>
      </c>
      <c r="C802" t="s">
        <v>27</v>
      </c>
      <c r="D802" t="s">
        <v>52</v>
      </c>
      <c r="E802" t="s">
        <v>53</v>
      </c>
      <c r="F802" t="s">
        <v>41</v>
      </c>
      <c r="G802">
        <v>101608</v>
      </c>
      <c r="H802">
        <v>9</v>
      </c>
      <c r="I802">
        <v>23</v>
      </c>
      <c r="J802">
        <v>4</v>
      </c>
      <c r="K802">
        <v>3</v>
      </c>
      <c r="L802">
        <v>2</v>
      </c>
      <c r="M802">
        <v>1</v>
      </c>
      <c r="N802" t="s">
        <v>31</v>
      </c>
      <c r="O802" t="s">
        <v>32</v>
      </c>
      <c r="P802">
        <v>29</v>
      </c>
      <c r="Q802">
        <v>30</v>
      </c>
      <c r="R802">
        <v>4</v>
      </c>
      <c r="S802" t="s">
        <v>33</v>
      </c>
      <c r="T802">
        <v>7</v>
      </c>
      <c r="U802" t="s">
        <v>33</v>
      </c>
      <c r="V802" s="1">
        <v>41600</v>
      </c>
      <c r="W802" s="1">
        <v>42333</v>
      </c>
      <c r="X802" s="1" t="str">
        <f t="shared" si="36"/>
        <v>2015-11-25</v>
      </c>
      <c r="Y802" t="str">
        <f t="shared" si="37"/>
        <v>46-55</v>
      </c>
      <c r="Z802" t="str">
        <f t="shared" si="38"/>
        <v>6-10 Years</v>
      </c>
    </row>
    <row r="803" spans="1:26" x14ac:dyDescent="0.35">
      <c r="A803" t="s">
        <v>859</v>
      </c>
      <c r="B803">
        <v>33</v>
      </c>
      <c r="C803" t="s">
        <v>44</v>
      </c>
      <c r="D803" t="s">
        <v>52</v>
      </c>
      <c r="E803" t="s">
        <v>53</v>
      </c>
      <c r="F803" t="s">
        <v>41</v>
      </c>
      <c r="G803">
        <v>67649</v>
      </c>
      <c r="H803">
        <v>4</v>
      </c>
      <c r="I803">
        <v>12</v>
      </c>
      <c r="J803">
        <v>2</v>
      </c>
      <c r="K803">
        <v>4</v>
      </c>
      <c r="L803">
        <v>2</v>
      </c>
      <c r="M803">
        <v>3</v>
      </c>
      <c r="N803" t="s">
        <v>31</v>
      </c>
      <c r="O803" t="s">
        <v>32</v>
      </c>
      <c r="P803">
        <v>14</v>
      </c>
      <c r="Q803">
        <v>46</v>
      </c>
      <c r="R803">
        <v>3</v>
      </c>
      <c r="S803" t="s">
        <v>31</v>
      </c>
      <c r="T803">
        <v>8</v>
      </c>
      <c r="U803" t="s">
        <v>31</v>
      </c>
      <c r="V803" s="1">
        <v>41536</v>
      </c>
      <c r="X803" s="1" t="str">
        <f t="shared" si="36"/>
        <v>Active</v>
      </c>
      <c r="Y803" t="str">
        <f t="shared" si="37"/>
        <v>26-35</v>
      </c>
      <c r="Z803" t="str">
        <f t="shared" si="38"/>
        <v>4-5 Years</v>
      </c>
    </row>
    <row r="804" spans="1:26" x14ac:dyDescent="0.35">
      <c r="A804" t="s">
        <v>860</v>
      </c>
      <c r="B804">
        <v>47</v>
      </c>
      <c r="C804" t="s">
        <v>44</v>
      </c>
      <c r="D804" t="s">
        <v>39</v>
      </c>
      <c r="E804" t="s">
        <v>40</v>
      </c>
      <c r="F804" t="s">
        <v>37</v>
      </c>
      <c r="G804">
        <v>125600</v>
      </c>
      <c r="H804">
        <v>13</v>
      </c>
      <c r="I804">
        <v>23</v>
      </c>
      <c r="J804">
        <v>5</v>
      </c>
      <c r="K804">
        <v>1</v>
      </c>
      <c r="L804">
        <v>4</v>
      </c>
      <c r="M804">
        <v>1</v>
      </c>
      <c r="N804" t="s">
        <v>31</v>
      </c>
      <c r="O804" t="s">
        <v>32</v>
      </c>
      <c r="P804">
        <v>10</v>
      </c>
      <c r="Q804">
        <v>32</v>
      </c>
      <c r="R804">
        <v>3</v>
      </c>
      <c r="S804" t="s">
        <v>31</v>
      </c>
      <c r="T804">
        <v>7</v>
      </c>
      <c r="U804" t="s">
        <v>33</v>
      </c>
      <c r="V804" s="1">
        <v>44006</v>
      </c>
      <c r="W804" s="1">
        <v>44357</v>
      </c>
      <c r="X804" s="1" t="str">
        <f t="shared" si="36"/>
        <v>2021-06-10</v>
      </c>
      <c r="Y804" t="str">
        <f t="shared" si="37"/>
        <v>46-55</v>
      </c>
      <c r="Z804" t="str">
        <f t="shared" si="38"/>
        <v>10+ Years</v>
      </c>
    </row>
    <row r="805" spans="1:26" x14ac:dyDescent="0.35">
      <c r="A805" t="s">
        <v>861</v>
      </c>
      <c r="B805">
        <v>24</v>
      </c>
      <c r="C805" t="s">
        <v>44</v>
      </c>
      <c r="D805" t="s">
        <v>39</v>
      </c>
      <c r="E805" t="s">
        <v>59</v>
      </c>
      <c r="F805" t="s">
        <v>41</v>
      </c>
      <c r="G805">
        <v>43563</v>
      </c>
      <c r="H805">
        <v>1</v>
      </c>
      <c r="I805">
        <v>3</v>
      </c>
      <c r="J805">
        <v>1</v>
      </c>
      <c r="K805">
        <v>2</v>
      </c>
      <c r="L805">
        <v>1</v>
      </c>
      <c r="M805">
        <v>4</v>
      </c>
      <c r="N805" t="s">
        <v>31</v>
      </c>
      <c r="O805" t="s">
        <v>32</v>
      </c>
      <c r="P805">
        <v>28</v>
      </c>
      <c r="Q805">
        <v>14</v>
      </c>
      <c r="R805">
        <v>3</v>
      </c>
      <c r="S805" t="s">
        <v>31</v>
      </c>
      <c r="T805">
        <v>7</v>
      </c>
      <c r="U805" t="s">
        <v>33</v>
      </c>
      <c r="V805" s="1">
        <v>40953</v>
      </c>
      <c r="W805" s="1">
        <v>41755</v>
      </c>
      <c r="X805" s="1" t="str">
        <f t="shared" si="36"/>
        <v>2014-04-26</v>
      </c>
      <c r="Y805" t="str">
        <f t="shared" si="37"/>
        <v>18-25</v>
      </c>
      <c r="Z805" t="str">
        <f t="shared" si="38"/>
        <v>0-1 Year</v>
      </c>
    </row>
    <row r="806" spans="1:26" x14ac:dyDescent="0.35">
      <c r="A806" t="s">
        <v>862</v>
      </c>
      <c r="B806">
        <v>49</v>
      </c>
      <c r="C806" t="s">
        <v>27</v>
      </c>
      <c r="D806" t="s">
        <v>28</v>
      </c>
      <c r="E806" t="s">
        <v>66</v>
      </c>
      <c r="F806" t="s">
        <v>61</v>
      </c>
      <c r="G806">
        <v>138875</v>
      </c>
      <c r="H806">
        <v>17</v>
      </c>
      <c r="I806">
        <v>28</v>
      </c>
      <c r="J806">
        <v>5</v>
      </c>
      <c r="K806">
        <v>2</v>
      </c>
      <c r="L806">
        <v>3</v>
      </c>
      <c r="M806">
        <v>1</v>
      </c>
      <c r="N806" t="s">
        <v>31</v>
      </c>
      <c r="O806" t="s">
        <v>42</v>
      </c>
      <c r="P806">
        <v>19</v>
      </c>
      <c r="Q806">
        <v>18</v>
      </c>
      <c r="R806">
        <v>3</v>
      </c>
      <c r="S806" t="s">
        <v>33</v>
      </c>
      <c r="T806">
        <v>6</v>
      </c>
      <c r="U806" t="s">
        <v>33</v>
      </c>
      <c r="V806" s="1">
        <v>44114</v>
      </c>
      <c r="W806" s="1">
        <v>45015</v>
      </c>
      <c r="X806" s="1" t="str">
        <f t="shared" si="36"/>
        <v>2023-03-30</v>
      </c>
      <c r="Y806" t="str">
        <f t="shared" si="37"/>
        <v>46-55</v>
      </c>
      <c r="Z806" t="str">
        <f t="shared" si="38"/>
        <v>10+ Years</v>
      </c>
    </row>
    <row r="807" spans="1:26" x14ac:dyDescent="0.35">
      <c r="A807" t="s">
        <v>863</v>
      </c>
      <c r="B807">
        <v>53</v>
      </c>
      <c r="C807" t="s">
        <v>44</v>
      </c>
      <c r="D807" t="s">
        <v>28</v>
      </c>
      <c r="E807" t="s">
        <v>29</v>
      </c>
      <c r="F807" t="s">
        <v>56</v>
      </c>
      <c r="G807">
        <v>58983</v>
      </c>
      <c r="H807">
        <v>1</v>
      </c>
      <c r="I807">
        <v>31</v>
      </c>
      <c r="J807">
        <v>2</v>
      </c>
      <c r="K807">
        <v>1</v>
      </c>
      <c r="L807">
        <v>3</v>
      </c>
      <c r="M807">
        <v>3</v>
      </c>
      <c r="N807" t="s">
        <v>31</v>
      </c>
      <c r="O807" t="s">
        <v>32</v>
      </c>
      <c r="P807">
        <v>12</v>
      </c>
      <c r="Q807">
        <v>44</v>
      </c>
      <c r="R807">
        <v>3</v>
      </c>
      <c r="S807" t="s">
        <v>31</v>
      </c>
      <c r="T807">
        <v>6</v>
      </c>
      <c r="U807" t="s">
        <v>31</v>
      </c>
      <c r="V807" s="1">
        <v>44526</v>
      </c>
      <c r="X807" s="1" t="str">
        <f t="shared" si="36"/>
        <v>Active</v>
      </c>
      <c r="Y807" t="str">
        <f t="shared" si="37"/>
        <v>46-55</v>
      </c>
      <c r="Z807" t="str">
        <f t="shared" si="38"/>
        <v>0-1 Year</v>
      </c>
    </row>
    <row r="808" spans="1:26" x14ac:dyDescent="0.35">
      <c r="A808" t="s">
        <v>864</v>
      </c>
      <c r="B808">
        <v>58</v>
      </c>
      <c r="C808" t="s">
        <v>44</v>
      </c>
      <c r="D808" t="s">
        <v>52</v>
      </c>
      <c r="E808" t="s">
        <v>53</v>
      </c>
      <c r="F808" t="s">
        <v>61</v>
      </c>
      <c r="G808">
        <v>162903</v>
      </c>
      <c r="H808">
        <v>32</v>
      </c>
      <c r="I808">
        <v>34</v>
      </c>
      <c r="J808">
        <v>5</v>
      </c>
      <c r="K808">
        <v>3</v>
      </c>
      <c r="L808">
        <v>1</v>
      </c>
      <c r="M808">
        <v>2</v>
      </c>
      <c r="N808" t="s">
        <v>31</v>
      </c>
      <c r="O808" t="s">
        <v>32</v>
      </c>
      <c r="P808">
        <v>7</v>
      </c>
      <c r="Q808">
        <v>32</v>
      </c>
      <c r="R808">
        <v>3</v>
      </c>
      <c r="S808" t="s">
        <v>31</v>
      </c>
      <c r="T808">
        <v>4</v>
      </c>
      <c r="U808" t="s">
        <v>31</v>
      </c>
      <c r="V808" s="1">
        <v>42867</v>
      </c>
      <c r="X808" s="1" t="str">
        <f t="shared" si="36"/>
        <v>Active</v>
      </c>
      <c r="Y808" t="str">
        <f t="shared" si="37"/>
        <v>56+</v>
      </c>
      <c r="Z808" t="str">
        <f t="shared" si="38"/>
        <v>10+ Years</v>
      </c>
    </row>
    <row r="809" spans="1:26" x14ac:dyDescent="0.35">
      <c r="A809" t="s">
        <v>865</v>
      </c>
      <c r="B809">
        <v>49</v>
      </c>
      <c r="C809" t="s">
        <v>44</v>
      </c>
      <c r="D809" t="s">
        <v>49</v>
      </c>
      <c r="E809" t="s">
        <v>50</v>
      </c>
      <c r="F809" t="s">
        <v>56</v>
      </c>
      <c r="G809">
        <v>144193</v>
      </c>
      <c r="H809">
        <v>20</v>
      </c>
      <c r="I809">
        <v>27</v>
      </c>
      <c r="J809">
        <v>5</v>
      </c>
      <c r="K809">
        <v>3</v>
      </c>
      <c r="L809">
        <v>1</v>
      </c>
      <c r="M809">
        <v>2</v>
      </c>
      <c r="N809" t="s">
        <v>31</v>
      </c>
      <c r="O809" t="s">
        <v>42</v>
      </c>
      <c r="P809">
        <v>27</v>
      </c>
      <c r="Q809">
        <v>45</v>
      </c>
      <c r="R809">
        <v>2</v>
      </c>
      <c r="S809" t="s">
        <v>31</v>
      </c>
      <c r="T809">
        <v>6</v>
      </c>
      <c r="U809" t="s">
        <v>31</v>
      </c>
      <c r="V809" s="1">
        <v>41016</v>
      </c>
      <c r="X809" s="1" t="str">
        <f t="shared" si="36"/>
        <v>Active</v>
      </c>
      <c r="Y809" t="str">
        <f t="shared" si="37"/>
        <v>46-55</v>
      </c>
      <c r="Z809" t="str">
        <f t="shared" si="38"/>
        <v>10+ Years</v>
      </c>
    </row>
    <row r="810" spans="1:26" x14ac:dyDescent="0.35">
      <c r="A810" t="s">
        <v>866</v>
      </c>
      <c r="B810">
        <v>26</v>
      </c>
      <c r="C810" t="s">
        <v>44</v>
      </c>
      <c r="D810" t="s">
        <v>45</v>
      </c>
      <c r="E810" t="s">
        <v>63</v>
      </c>
      <c r="F810" t="s">
        <v>30</v>
      </c>
      <c r="G810">
        <v>55575</v>
      </c>
      <c r="H810">
        <v>0</v>
      </c>
      <c r="I810">
        <v>2</v>
      </c>
      <c r="J810">
        <v>2</v>
      </c>
      <c r="K810">
        <v>4</v>
      </c>
      <c r="L810">
        <v>2</v>
      </c>
      <c r="M810">
        <v>3</v>
      </c>
      <c r="N810" t="s">
        <v>31</v>
      </c>
      <c r="O810" t="s">
        <v>42</v>
      </c>
      <c r="P810">
        <v>18</v>
      </c>
      <c r="Q810">
        <v>26</v>
      </c>
      <c r="R810">
        <v>3</v>
      </c>
      <c r="S810" t="s">
        <v>31</v>
      </c>
      <c r="T810">
        <v>3</v>
      </c>
      <c r="U810" t="s">
        <v>31</v>
      </c>
      <c r="V810" s="1">
        <v>41597</v>
      </c>
      <c r="X810" s="1" t="str">
        <f t="shared" si="36"/>
        <v>Active</v>
      </c>
      <c r="Y810" t="str">
        <f t="shared" si="37"/>
        <v>26-35</v>
      </c>
      <c r="Z810" t="str">
        <f t="shared" si="38"/>
        <v>0-1 Year</v>
      </c>
    </row>
    <row r="811" spans="1:26" x14ac:dyDescent="0.35">
      <c r="A811" t="s">
        <v>867</v>
      </c>
      <c r="B811">
        <v>43</v>
      </c>
      <c r="C811" t="s">
        <v>27</v>
      </c>
      <c r="D811" t="s">
        <v>49</v>
      </c>
      <c r="E811" t="s">
        <v>50</v>
      </c>
      <c r="F811" t="s">
        <v>41</v>
      </c>
      <c r="G811">
        <v>122539</v>
      </c>
      <c r="H811">
        <v>11</v>
      </c>
      <c r="I811">
        <v>19</v>
      </c>
      <c r="J811">
        <v>5</v>
      </c>
      <c r="K811">
        <v>2</v>
      </c>
      <c r="L811">
        <v>3</v>
      </c>
      <c r="M811">
        <v>2</v>
      </c>
      <c r="N811" t="s">
        <v>31</v>
      </c>
      <c r="O811" t="s">
        <v>32</v>
      </c>
      <c r="P811">
        <v>17</v>
      </c>
      <c r="Q811">
        <v>39</v>
      </c>
      <c r="R811">
        <v>3</v>
      </c>
      <c r="S811" t="s">
        <v>33</v>
      </c>
      <c r="T811">
        <v>1</v>
      </c>
      <c r="U811" t="s">
        <v>31</v>
      </c>
      <c r="V811" s="1">
        <v>42285</v>
      </c>
      <c r="X811" s="1" t="str">
        <f t="shared" si="36"/>
        <v>Active</v>
      </c>
      <c r="Y811" t="str">
        <f t="shared" si="37"/>
        <v>36-45</v>
      </c>
      <c r="Z811" t="str">
        <f t="shared" si="38"/>
        <v>10+ Years</v>
      </c>
    </row>
    <row r="812" spans="1:26" x14ac:dyDescent="0.35">
      <c r="A812" t="s">
        <v>868</v>
      </c>
      <c r="B812">
        <v>32</v>
      </c>
      <c r="C812" t="s">
        <v>27</v>
      </c>
      <c r="D812" t="s">
        <v>45</v>
      </c>
      <c r="E812" t="s">
        <v>46</v>
      </c>
      <c r="F812" t="s">
        <v>41</v>
      </c>
      <c r="G812">
        <v>77887</v>
      </c>
      <c r="H812">
        <v>4</v>
      </c>
      <c r="I812">
        <v>11</v>
      </c>
      <c r="J812">
        <v>3</v>
      </c>
      <c r="K812">
        <v>3</v>
      </c>
      <c r="L812">
        <v>2</v>
      </c>
      <c r="M812">
        <v>1</v>
      </c>
      <c r="N812" t="s">
        <v>33</v>
      </c>
      <c r="O812" t="s">
        <v>32</v>
      </c>
      <c r="P812">
        <v>1</v>
      </c>
      <c r="Q812">
        <v>20</v>
      </c>
      <c r="R812">
        <v>3</v>
      </c>
      <c r="S812" t="s">
        <v>31</v>
      </c>
      <c r="T812">
        <v>5</v>
      </c>
      <c r="U812" t="s">
        <v>31</v>
      </c>
      <c r="V812" s="1">
        <v>45184</v>
      </c>
      <c r="X812" s="1" t="str">
        <f t="shared" si="36"/>
        <v>Active</v>
      </c>
      <c r="Y812" t="str">
        <f t="shared" si="37"/>
        <v>26-35</v>
      </c>
      <c r="Z812" t="str">
        <f t="shared" si="38"/>
        <v>4-5 Years</v>
      </c>
    </row>
    <row r="813" spans="1:26" x14ac:dyDescent="0.35">
      <c r="A813" t="s">
        <v>869</v>
      </c>
      <c r="B813">
        <v>23</v>
      </c>
      <c r="C813" t="s">
        <v>44</v>
      </c>
      <c r="D813" t="s">
        <v>49</v>
      </c>
      <c r="E813" t="s">
        <v>68</v>
      </c>
      <c r="F813" t="s">
        <v>37</v>
      </c>
      <c r="G813">
        <v>44637</v>
      </c>
      <c r="H813">
        <v>1</v>
      </c>
      <c r="I813">
        <v>2</v>
      </c>
      <c r="J813">
        <v>1</v>
      </c>
      <c r="K813">
        <v>3</v>
      </c>
      <c r="L813">
        <v>2</v>
      </c>
      <c r="M813">
        <v>3</v>
      </c>
      <c r="N813" t="s">
        <v>31</v>
      </c>
      <c r="O813" t="s">
        <v>32</v>
      </c>
      <c r="P813">
        <v>28</v>
      </c>
      <c r="Q813">
        <v>39</v>
      </c>
      <c r="R813">
        <v>3</v>
      </c>
      <c r="S813" t="s">
        <v>31</v>
      </c>
      <c r="T813">
        <v>6</v>
      </c>
      <c r="U813" t="s">
        <v>33</v>
      </c>
      <c r="V813" s="1">
        <v>41919</v>
      </c>
      <c r="W813" s="1">
        <v>42762</v>
      </c>
      <c r="X813" s="1" t="str">
        <f t="shared" si="36"/>
        <v>2017-01-27</v>
      </c>
      <c r="Y813" t="str">
        <f t="shared" si="37"/>
        <v>18-25</v>
      </c>
      <c r="Z813" t="str">
        <f t="shared" si="38"/>
        <v>0-1 Year</v>
      </c>
    </row>
    <row r="814" spans="1:26" x14ac:dyDescent="0.35">
      <c r="A814" t="s">
        <v>870</v>
      </c>
      <c r="B814">
        <v>34</v>
      </c>
      <c r="C814" t="s">
        <v>27</v>
      </c>
      <c r="D814" t="s">
        <v>35</v>
      </c>
      <c r="E814" t="s">
        <v>85</v>
      </c>
      <c r="F814" t="s">
        <v>61</v>
      </c>
      <c r="G814">
        <v>117993</v>
      </c>
      <c r="H814">
        <v>9</v>
      </c>
      <c r="I814">
        <v>10</v>
      </c>
      <c r="J814">
        <v>5</v>
      </c>
      <c r="K814">
        <v>3</v>
      </c>
      <c r="L814">
        <v>1</v>
      </c>
      <c r="M814">
        <v>1</v>
      </c>
      <c r="N814" t="s">
        <v>31</v>
      </c>
      <c r="O814" t="s">
        <v>47</v>
      </c>
      <c r="P814">
        <v>4</v>
      </c>
      <c r="Q814">
        <v>41</v>
      </c>
      <c r="R814">
        <v>3</v>
      </c>
      <c r="S814" t="s">
        <v>31</v>
      </c>
      <c r="T814">
        <v>6</v>
      </c>
      <c r="U814" t="s">
        <v>31</v>
      </c>
      <c r="V814" s="1">
        <v>41591</v>
      </c>
      <c r="X814" s="1" t="str">
        <f t="shared" si="36"/>
        <v>Active</v>
      </c>
      <c r="Y814" t="str">
        <f t="shared" si="37"/>
        <v>26-35</v>
      </c>
      <c r="Z814" t="str">
        <f t="shared" si="38"/>
        <v>6-10 Years</v>
      </c>
    </row>
    <row r="815" spans="1:26" x14ac:dyDescent="0.35">
      <c r="A815" t="s">
        <v>871</v>
      </c>
      <c r="B815">
        <v>22</v>
      </c>
      <c r="C815" t="s">
        <v>44</v>
      </c>
      <c r="D815" t="s">
        <v>35</v>
      </c>
      <c r="E815" t="s">
        <v>36</v>
      </c>
      <c r="F815" t="s">
        <v>30</v>
      </c>
      <c r="G815">
        <v>57324</v>
      </c>
      <c r="H815">
        <v>0</v>
      </c>
      <c r="I815">
        <v>1</v>
      </c>
      <c r="J815">
        <v>2</v>
      </c>
      <c r="K815">
        <v>4</v>
      </c>
      <c r="L815">
        <v>1</v>
      </c>
      <c r="M815">
        <v>3</v>
      </c>
      <c r="N815" t="s">
        <v>31</v>
      </c>
      <c r="O815" t="s">
        <v>47</v>
      </c>
      <c r="P815">
        <v>5</v>
      </c>
      <c r="Q815">
        <v>48</v>
      </c>
      <c r="R815">
        <v>4</v>
      </c>
      <c r="S815" t="s">
        <v>31</v>
      </c>
      <c r="T815">
        <v>3</v>
      </c>
      <c r="U815" t="s">
        <v>33</v>
      </c>
      <c r="V815" s="1">
        <v>41096</v>
      </c>
      <c r="W815" s="1">
        <v>41969</v>
      </c>
      <c r="X815" s="1" t="str">
        <f t="shared" si="36"/>
        <v>2014-11-26</v>
      </c>
      <c r="Y815" t="str">
        <f t="shared" si="37"/>
        <v>18-25</v>
      </c>
      <c r="Z815" t="str">
        <f t="shared" si="38"/>
        <v>0-1 Year</v>
      </c>
    </row>
    <row r="816" spans="1:26" x14ac:dyDescent="0.35">
      <c r="A816" t="s">
        <v>872</v>
      </c>
      <c r="B816">
        <v>33</v>
      </c>
      <c r="C816" t="s">
        <v>27</v>
      </c>
      <c r="D816" t="s">
        <v>49</v>
      </c>
      <c r="E816" t="s">
        <v>68</v>
      </c>
      <c r="F816" t="s">
        <v>61</v>
      </c>
      <c r="G816">
        <v>83031</v>
      </c>
      <c r="H816">
        <v>6</v>
      </c>
      <c r="I816">
        <v>11</v>
      </c>
      <c r="J816">
        <v>3</v>
      </c>
      <c r="K816">
        <v>4</v>
      </c>
      <c r="L816">
        <v>1</v>
      </c>
      <c r="M816">
        <v>3</v>
      </c>
      <c r="N816" t="s">
        <v>31</v>
      </c>
      <c r="O816" t="s">
        <v>32</v>
      </c>
      <c r="P816">
        <v>10</v>
      </c>
      <c r="Q816">
        <v>39</v>
      </c>
      <c r="R816">
        <v>3</v>
      </c>
      <c r="S816" t="s">
        <v>33</v>
      </c>
      <c r="T816">
        <v>2</v>
      </c>
      <c r="U816" t="s">
        <v>31</v>
      </c>
      <c r="V816" s="1">
        <v>44442</v>
      </c>
      <c r="X816" s="1" t="str">
        <f t="shared" si="36"/>
        <v>Active</v>
      </c>
      <c r="Y816" t="str">
        <f t="shared" si="37"/>
        <v>26-35</v>
      </c>
      <c r="Z816" t="str">
        <f t="shared" si="38"/>
        <v>6-10 Years</v>
      </c>
    </row>
    <row r="817" spans="1:26" x14ac:dyDescent="0.35">
      <c r="A817" t="s">
        <v>873</v>
      </c>
      <c r="B817">
        <v>32</v>
      </c>
      <c r="C817" t="s">
        <v>44</v>
      </c>
      <c r="D817" t="s">
        <v>52</v>
      </c>
      <c r="E817" t="s">
        <v>53</v>
      </c>
      <c r="F817" t="s">
        <v>37</v>
      </c>
      <c r="G817">
        <v>101366</v>
      </c>
      <c r="H817">
        <v>6</v>
      </c>
      <c r="I817">
        <v>8</v>
      </c>
      <c r="J817">
        <v>4</v>
      </c>
      <c r="K817">
        <v>2</v>
      </c>
      <c r="L817">
        <v>2</v>
      </c>
      <c r="M817">
        <v>4</v>
      </c>
      <c r="N817" t="s">
        <v>33</v>
      </c>
      <c r="O817" t="s">
        <v>42</v>
      </c>
      <c r="P817">
        <v>17</v>
      </c>
      <c r="Q817">
        <v>56</v>
      </c>
      <c r="R817">
        <v>3</v>
      </c>
      <c r="S817" t="s">
        <v>31</v>
      </c>
      <c r="T817">
        <v>3</v>
      </c>
      <c r="U817" t="s">
        <v>31</v>
      </c>
      <c r="V817" s="1">
        <v>41278</v>
      </c>
      <c r="X817" s="1" t="str">
        <f t="shared" si="36"/>
        <v>Active</v>
      </c>
      <c r="Y817" t="str">
        <f t="shared" si="37"/>
        <v>26-35</v>
      </c>
      <c r="Z817" t="str">
        <f t="shared" si="38"/>
        <v>6-10 Years</v>
      </c>
    </row>
    <row r="818" spans="1:26" x14ac:dyDescent="0.35">
      <c r="A818" t="s">
        <v>874</v>
      </c>
      <c r="B818">
        <v>35</v>
      </c>
      <c r="C818" t="s">
        <v>27</v>
      </c>
      <c r="D818" t="s">
        <v>52</v>
      </c>
      <c r="E818" t="s">
        <v>55</v>
      </c>
      <c r="F818" t="s">
        <v>37</v>
      </c>
      <c r="G818">
        <v>76702</v>
      </c>
      <c r="H818">
        <v>4</v>
      </c>
      <c r="I818">
        <v>12</v>
      </c>
      <c r="J818">
        <v>3</v>
      </c>
      <c r="K818">
        <v>2</v>
      </c>
      <c r="L818">
        <v>1</v>
      </c>
      <c r="M818">
        <v>4</v>
      </c>
      <c r="N818" t="s">
        <v>33</v>
      </c>
      <c r="O818" t="s">
        <v>32</v>
      </c>
      <c r="P818">
        <v>3</v>
      </c>
      <c r="Q818">
        <v>30</v>
      </c>
      <c r="R818">
        <v>3</v>
      </c>
      <c r="S818" t="s">
        <v>31</v>
      </c>
      <c r="T818">
        <v>5</v>
      </c>
      <c r="U818" t="s">
        <v>31</v>
      </c>
      <c r="V818" s="1">
        <v>43129</v>
      </c>
      <c r="X818" s="1" t="str">
        <f t="shared" si="36"/>
        <v>Active</v>
      </c>
      <c r="Y818" t="str">
        <f t="shared" si="37"/>
        <v>26-35</v>
      </c>
      <c r="Z818" t="str">
        <f t="shared" si="38"/>
        <v>4-5 Years</v>
      </c>
    </row>
    <row r="819" spans="1:26" x14ac:dyDescent="0.35">
      <c r="A819" t="s">
        <v>875</v>
      </c>
      <c r="B819">
        <v>25</v>
      </c>
      <c r="C819" t="s">
        <v>27</v>
      </c>
      <c r="D819" t="s">
        <v>52</v>
      </c>
      <c r="E819" t="s">
        <v>53</v>
      </c>
      <c r="F819" t="s">
        <v>30</v>
      </c>
      <c r="G819">
        <v>73166</v>
      </c>
      <c r="H819">
        <v>3</v>
      </c>
      <c r="I819">
        <v>4</v>
      </c>
      <c r="J819">
        <v>3</v>
      </c>
      <c r="K819">
        <v>4</v>
      </c>
      <c r="L819">
        <v>1</v>
      </c>
      <c r="M819">
        <v>2</v>
      </c>
      <c r="N819" t="s">
        <v>31</v>
      </c>
      <c r="O819" t="s">
        <v>32</v>
      </c>
      <c r="P819">
        <v>3</v>
      </c>
      <c r="Q819">
        <v>48</v>
      </c>
      <c r="R819">
        <v>3</v>
      </c>
      <c r="S819" t="s">
        <v>31</v>
      </c>
      <c r="T819">
        <v>5</v>
      </c>
      <c r="U819" t="s">
        <v>31</v>
      </c>
      <c r="V819" s="1">
        <v>40979</v>
      </c>
      <c r="X819" s="1" t="str">
        <f t="shared" si="36"/>
        <v>Active</v>
      </c>
      <c r="Y819" t="str">
        <f t="shared" si="37"/>
        <v>18-25</v>
      </c>
      <c r="Z819" t="str">
        <f t="shared" si="38"/>
        <v>2-3 Years</v>
      </c>
    </row>
    <row r="820" spans="1:26" x14ac:dyDescent="0.35">
      <c r="A820" t="s">
        <v>876</v>
      </c>
      <c r="B820">
        <v>33</v>
      </c>
      <c r="C820" t="s">
        <v>44</v>
      </c>
      <c r="D820" t="s">
        <v>45</v>
      </c>
      <c r="E820" t="s">
        <v>63</v>
      </c>
      <c r="F820" t="s">
        <v>56</v>
      </c>
      <c r="G820">
        <v>57402</v>
      </c>
      <c r="H820">
        <v>2</v>
      </c>
      <c r="I820">
        <v>11</v>
      </c>
      <c r="J820">
        <v>2</v>
      </c>
      <c r="K820">
        <v>2</v>
      </c>
      <c r="L820">
        <v>3</v>
      </c>
      <c r="M820">
        <v>4</v>
      </c>
      <c r="N820" t="s">
        <v>31</v>
      </c>
      <c r="O820" t="s">
        <v>32</v>
      </c>
      <c r="P820">
        <v>17</v>
      </c>
      <c r="Q820">
        <v>51</v>
      </c>
      <c r="R820">
        <v>3</v>
      </c>
      <c r="S820" t="s">
        <v>31</v>
      </c>
      <c r="T820">
        <v>3</v>
      </c>
      <c r="U820" t="s">
        <v>31</v>
      </c>
      <c r="V820" s="1">
        <v>42697</v>
      </c>
      <c r="X820" s="1" t="str">
        <f t="shared" si="36"/>
        <v>Active</v>
      </c>
      <c r="Y820" t="str">
        <f t="shared" si="37"/>
        <v>26-35</v>
      </c>
      <c r="Z820" t="str">
        <f t="shared" si="38"/>
        <v>2-3 Years</v>
      </c>
    </row>
    <row r="821" spans="1:26" x14ac:dyDescent="0.35">
      <c r="A821" t="s">
        <v>877</v>
      </c>
      <c r="B821">
        <v>51</v>
      </c>
      <c r="C821" t="s">
        <v>27</v>
      </c>
      <c r="D821" t="s">
        <v>28</v>
      </c>
      <c r="E821" t="s">
        <v>66</v>
      </c>
      <c r="F821" t="s">
        <v>61</v>
      </c>
      <c r="G821">
        <v>79904</v>
      </c>
      <c r="H821">
        <v>4</v>
      </c>
      <c r="I821">
        <v>28</v>
      </c>
      <c r="J821">
        <v>3</v>
      </c>
      <c r="K821">
        <v>2</v>
      </c>
      <c r="L821">
        <v>4</v>
      </c>
      <c r="M821">
        <v>3</v>
      </c>
      <c r="N821" t="s">
        <v>33</v>
      </c>
      <c r="O821" t="s">
        <v>47</v>
      </c>
      <c r="P821">
        <v>5</v>
      </c>
      <c r="Q821">
        <v>24</v>
      </c>
      <c r="R821">
        <v>3</v>
      </c>
      <c r="S821" t="s">
        <v>31</v>
      </c>
      <c r="T821">
        <v>5</v>
      </c>
      <c r="U821" t="s">
        <v>31</v>
      </c>
      <c r="V821" s="1">
        <v>45100</v>
      </c>
      <c r="X821" s="1" t="str">
        <f t="shared" si="36"/>
        <v>Active</v>
      </c>
      <c r="Y821" t="str">
        <f t="shared" si="37"/>
        <v>46-55</v>
      </c>
      <c r="Z821" t="str">
        <f t="shared" si="38"/>
        <v>4-5 Years</v>
      </c>
    </row>
    <row r="822" spans="1:26" x14ac:dyDescent="0.35">
      <c r="A822" t="s">
        <v>878</v>
      </c>
      <c r="B822">
        <v>36</v>
      </c>
      <c r="C822" t="s">
        <v>44</v>
      </c>
      <c r="D822" t="s">
        <v>45</v>
      </c>
      <c r="E822" t="s">
        <v>63</v>
      </c>
      <c r="F822" t="s">
        <v>37</v>
      </c>
      <c r="G822">
        <v>69821</v>
      </c>
      <c r="H822">
        <v>5</v>
      </c>
      <c r="I822">
        <v>12</v>
      </c>
      <c r="J822">
        <v>2</v>
      </c>
      <c r="K822">
        <v>2</v>
      </c>
      <c r="L822">
        <v>1</v>
      </c>
      <c r="M822">
        <v>4</v>
      </c>
      <c r="N822" t="s">
        <v>31</v>
      </c>
      <c r="O822" t="s">
        <v>32</v>
      </c>
      <c r="P822">
        <v>9</v>
      </c>
      <c r="Q822">
        <v>48</v>
      </c>
      <c r="R822">
        <v>3</v>
      </c>
      <c r="S822" t="s">
        <v>31</v>
      </c>
      <c r="T822">
        <v>4</v>
      </c>
      <c r="U822" t="s">
        <v>31</v>
      </c>
      <c r="V822" s="1">
        <v>43507</v>
      </c>
      <c r="X822" s="1" t="str">
        <f t="shared" si="36"/>
        <v>Active</v>
      </c>
      <c r="Y822" t="str">
        <f t="shared" si="37"/>
        <v>36-45</v>
      </c>
      <c r="Z822" t="str">
        <f t="shared" si="38"/>
        <v>4-5 Years</v>
      </c>
    </row>
    <row r="823" spans="1:26" x14ac:dyDescent="0.35">
      <c r="A823" t="s">
        <v>879</v>
      </c>
      <c r="B823">
        <v>31</v>
      </c>
      <c r="C823" t="s">
        <v>27</v>
      </c>
      <c r="D823" t="s">
        <v>35</v>
      </c>
      <c r="E823" t="s">
        <v>36</v>
      </c>
      <c r="F823" t="s">
        <v>30</v>
      </c>
      <c r="G823">
        <v>60504</v>
      </c>
      <c r="H823">
        <v>3</v>
      </c>
      <c r="I823">
        <v>8</v>
      </c>
      <c r="J823">
        <v>2</v>
      </c>
      <c r="K823">
        <v>3</v>
      </c>
      <c r="L823">
        <v>2</v>
      </c>
      <c r="M823">
        <v>3</v>
      </c>
      <c r="N823" t="s">
        <v>31</v>
      </c>
      <c r="O823" t="s">
        <v>42</v>
      </c>
      <c r="P823">
        <v>21</v>
      </c>
      <c r="Q823">
        <v>36</v>
      </c>
      <c r="R823">
        <v>3</v>
      </c>
      <c r="S823" t="s">
        <v>31</v>
      </c>
      <c r="T823">
        <v>3</v>
      </c>
      <c r="U823" t="s">
        <v>31</v>
      </c>
      <c r="V823" s="1">
        <v>43937</v>
      </c>
      <c r="X823" s="1" t="str">
        <f t="shared" si="36"/>
        <v>Active</v>
      </c>
      <c r="Y823" t="str">
        <f t="shared" si="37"/>
        <v>26-35</v>
      </c>
      <c r="Z823" t="str">
        <f t="shared" si="38"/>
        <v>2-3 Years</v>
      </c>
    </row>
    <row r="824" spans="1:26" x14ac:dyDescent="0.35">
      <c r="A824" t="s">
        <v>880</v>
      </c>
      <c r="B824">
        <v>54</v>
      </c>
      <c r="C824" t="s">
        <v>27</v>
      </c>
      <c r="D824" t="s">
        <v>45</v>
      </c>
      <c r="E824" t="s">
        <v>63</v>
      </c>
      <c r="F824" t="s">
        <v>56</v>
      </c>
      <c r="G824">
        <v>57513</v>
      </c>
      <c r="H824">
        <v>2</v>
      </c>
      <c r="I824">
        <v>31</v>
      </c>
      <c r="J824">
        <v>2</v>
      </c>
      <c r="K824">
        <v>3</v>
      </c>
      <c r="L824">
        <v>1</v>
      </c>
      <c r="M824">
        <v>1</v>
      </c>
      <c r="N824" t="s">
        <v>33</v>
      </c>
      <c r="O824" t="s">
        <v>32</v>
      </c>
      <c r="P824">
        <v>24</v>
      </c>
      <c r="Q824">
        <v>47</v>
      </c>
      <c r="R824">
        <v>3</v>
      </c>
      <c r="S824" t="s">
        <v>31</v>
      </c>
      <c r="T824">
        <v>5</v>
      </c>
      <c r="U824" t="s">
        <v>31</v>
      </c>
      <c r="V824" s="1">
        <v>41062</v>
      </c>
      <c r="X824" s="1" t="str">
        <f t="shared" si="36"/>
        <v>Active</v>
      </c>
      <c r="Y824" t="str">
        <f t="shared" si="37"/>
        <v>46-55</v>
      </c>
      <c r="Z824" t="str">
        <f t="shared" si="38"/>
        <v>2-3 Years</v>
      </c>
    </row>
    <row r="825" spans="1:26" x14ac:dyDescent="0.35">
      <c r="A825" t="s">
        <v>881</v>
      </c>
      <c r="B825">
        <v>32</v>
      </c>
      <c r="C825" t="s">
        <v>44</v>
      </c>
      <c r="D825" t="s">
        <v>28</v>
      </c>
      <c r="E825" t="s">
        <v>29</v>
      </c>
      <c r="F825" t="s">
        <v>37</v>
      </c>
      <c r="G825">
        <v>56429</v>
      </c>
      <c r="H825">
        <v>2</v>
      </c>
      <c r="I825">
        <v>9</v>
      </c>
      <c r="J825">
        <v>2</v>
      </c>
      <c r="K825">
        <v>2</v>
      </c>
      <c r="L825">
        <v>1</v>
      </c>
      <c r="M825">
        <v>1</v>
      </c>
      <c r="N825" t="s">
        <v>31</v>
      </c>
      <c r="O825" t="s">
        <v>32</v>
      </c>
      <c r="P825">
        <v>12</v>
      </c>
      <c r="Q825">
        <v>11</v>
      </c>
      <c r="R825">
        <v>3</v>
      </c>
      <c r="S825" t="s">
        <v>31</v>
      </c>
      <c r="T825">
        <v>4</v>
      </c>
      <c r="U825" t="s">
        <v>31</v>
      </c>
      <c r="V825" s="1">
        <v>40912</v>
      </c>
      <c r="X825" s="1" t="str">
        <f t="shared" si="36"/>
        <v>Active</v>
      </c>
      <c r="Y825" t="str">
        <f t="shared" si="37"/>
        <v>26-35</v>
      </c>
      <c r="Z825" t="str">
        <f t="shared" si="38"/>
        <v>2-3 Years</v>
      </c>
    </row>
    <row r="826" spans="1:26" x14ac:dyDescent="0.35">
      <c r="A826" t="s">
        <v>882</v>
      </c>
      <c r="B826">
        <v>48</v>
      </c>
      <c r="C826" t="s">
        <v>44</v>
      </c>
      <c r="D826" t="s">
        <v>52</v>
      </c>
      <c r="E826" t="s">
        <v>53</v>
      </c>
      <c r="F826" t="s">
        <v>56</v>
      </c>
      <c r="G826">
        <v>151714</v>
      </c>
      <c r="H826">
        <v>24</v>
      </c>
      <c r="I826">
        <v>26</v>
      </c>
      <c r="J826">
        <v>5</v>
      </c>
      <c r="K826">
        <v>1</v>
      </c>
      <c r="L826">
        <v>2</v>
      </c>
      <c r="M826">
        <v>4</v>
      </c>
      <c r="N826" t="s">
        <v>33</v>
      </c>
      <c r="O826" t="s">
        <v>32</v>
      </c>
      <c r="P826">
        <v>17</v>
      </c>
      <c r="Q826">
        <v>40</v>
      </c>
      <c r="R826">
        <v>3</v>
      </c>
      <c r="S826" t="s">
        <v>31</v>
      </c>
      <c r="T826">
        <v>6</v>
      </c>
      <c r="U826" t="s">
        <v>31</v>
      </c>
      <c r="V826" s="1">
        <v>43718</v>
      </c>
      <c r="X826" s="1" t="str">
        <f t="shared" si="36"/>
        <v>Active</v>
      </c>
      <c r="Y826" t="str">
        <f t="shared" si="37"/>
        <v>46-55</v>
      </c>
      <c r="Z826" t="str">
        <f t="shared" si="38"/>
        <v>10+ Years</v>
      </c>
    </row>
    <row r="827" spans="1:26" x14ac:dyDescent="0.35">
      <c r="A827" t="s">
        <v>883</v>
      </c>
      <c r="B827">
        <v>39</v>
      </c>
      <c r="C827" t="s">
        <v>44</v>
      </c>
      <c r="D827" t="s">
        <v>45</v>
      </c>
      <c r="E827" t="s">
        <v>63</v>
      </c>
      <c r="F827" t="s">
        <v>37</v>
      </c>
      <c r="G827">
        <v>127826</v>
      </c>
      <c r="H827">
        <v>15</v>
      </c>
      <c r="I827">
        <v>15</v>
      </c>
      <c r="J827">
        <v>5</v>
      </c>
      <c r="K827">
        <v>2</v>
      </c>
      <c r="L827">
        <v>2</v>
      </c>
      <c r="M827">
        <v>2</v>
      </c>
      <c r="N827" t="s">
        <v>31</v>
      </c>
      <c r="O827" t="s">
        <v>32</v>
      </c>
      <c r="P827">
        <v>17</v>
      </c>
      <c r="Q827">
        <v>27</v>
      </c>
      <c r="R827">
        <v>3</v>
      </c>
      <c r="S827" t="s">
        <v>33</v>
      </c>
      <c r="T827">
        <v>5</v>
      </c>
      <c r="U827" t="s">
        <v>31</v>
      </c>
      <c r="V827" s="1">
        <v>42103</v>
      </c>
      <c r="X827" s="1" t="str">
        <f t="shared" si="36"/>
        <v>Active</v>
      </c>
      <c r="Y827" t="str">
        <f t="shared" si="37"/>
        <v>36-45</v>
      </c>
      <c r="Z827" t="str">
        <f t="shared" si="38"/>
        <v>10+ Years</v>
      </c>
    </row>
    <row r="828" spans="1:26" x14ac:dyDescent="0.35">
      <c r="A828" t="s">
        <v>884</v>
      </c>
      <c r="B828">
        <v>28</v>
      </c>
      <c r="C828" t="s">
        <v>44</v>
      </c>
      <c r="D828" t="s">
        <v>35</v>
      </c>
      <c r="E828" t="s">
        <v>36</v>
      </c>
      <c r="F828" t="s">
        <v>78</v>
      </c>
      <c r="G828">
        <v>56906</v>
      </c>
      <c r="H828">
        <v>2</v>
      </c>
      <c r="I828">
        <v>5</v>
      </c>
      <c r="J828">
        <v>2</v>
      </c>
      <c r="K828">
        <v>3</v>
      </c>
      <c r="L828">
        <v>2</v>
      </c>
      <c r="M828">
        <v>4</v>
      </c>
      <c r="N828" t="s">
        <v>31</v>
      </c>
      <c r="O828" t="s">
        <v>32</v>
      </c>
      <c r="P828">
        <v>28</v>
      </c>
      <c r="Q828">
        <v>57</v>
      </c>
      <c r="R828">
        <v>3</v>
      </c>
      <c r="S828" t="s">
        <v>31</v>
      </c>
      <c r="T828">
        <v>3</v>
      </c>
      <c r="U828" t="s">
        <v>33</v>
      </c>
      <c r="V828" s="1">
        <v>41178</v>
      </c>
      <c r="W828" s="1">
        <v>41814</v>
      </c>
      <c r="X828" s="1" t="str">
        <f t="shared" si="36"/>
        <v>2014-06-24</v>
      </c>
      <c r="Y828" t="str">
        <f t="shared" si="37"/>
        <v>26-35</v>
      </c>
      <c r="Z828" t="str">
        <f t="shared" si="38"/>
        <v>2-3 Years</v>
      </c>
    </row>
    <row r="829" spans="1:26" x14ac:dyDescent="0.35">
      <c r="A829" t="s">
        <v>885</v>
      </c>
      <c r="B829">
        <v>57</v>
      </c>
      <c r="C829" t="s">
        <v>27</v>
      </c>
      <c r="D829" t="s">
        <v>49</v>
      </c>
      <c r="E829" t="s">
        <v>50</v>
      </c>
      <c r="F829" t="s">
        <v>61</v>
      </c>
      <c r="G829">
        <v>134641</v>
      </c>
      <c r="H829">
        <v>18</v>
      </c>
      <c r="I829">
        <v>35</v>
      </c>
      <c r="J829">
        <v>5</v>
      </c>
      <c r="K829">
        <v>2</v>
      </c>
      <c r="L829">
        <v>2</v>
      </c>
      <c r="M829">
        <v>4</v>
      </c>
      <c r="N829" t="s">
        <v>31</v>
      </c>
      <c r="O829" t="s">
        <v>32</v>
      </c>
      <c r="P829">
        <v>15</v>
      </c>
      <c r="Q829">
        <v>57</v>
      </c>
      <c r="R829">
        <v>3</v>
      </c>
      <c r="S829" t="s">
        <v>33</v>
      </c>
      <c r="T829">
        <v>6</v>
      </c>
      <c r="U829" t="s">
        <v>33</v>
      </c>
      <c r="V829" s="1">
        <v>42992</v>
      </c>
      <c r="W829" s="1">
        <v>43333</v>
      </c>
      <c r="X829" s="1" t="str">
        <f t="shared" si="36"/>
        <v>2018-08-21</v>
      </c>
      <c r="Y829" t="str">
        <f t="shared" si="37"/>
        <v>56+</v>
      </c>
      <c r="Z829" t="str">
        <f t="shared" si="38"/>
        <v>10+ Years</v>
      </c>
    </row>
    <row r="830" spans="1:26" x14ac:dyDescent="0.35">
      <c r="A830" t="s">
        <v>886</v>
      </c>
      <c r="B830">
        <v>44</v>
      </c>
      <c r="C830" t="s">
        <v>44</v>
      </c>
      <c r="D830" t="s">
        <v>28</v>
      </c>
      <c r="E830" t="s">
        <v>66</v>
      </c>
      <c r="F830" t="s">
        <v>78</v>
      </c>
      <c r="G830">
        <v>142517</v>
      </c>
      <c r="H830">
        <v>21</v>
      </c>
      <c r="I830">
        <v>23</v>
      </c>
      <c r="J830">
        <v>5</v>
      </c>
      <c r="K830">
        <v>1</v>
      </c>
      <c r="L830">
        <v>4</v>
      </c>
      <c r="M830">
        <v>2</v>
      </c>
      <c r="N830" t="s">
        <v>31</v>
      </c>
      <c r="O830" t="s">
        <v>32</v>
      </c>
      <c r="P830">
        <v>12</v>
      </c>
      <c r="Q830">
        <v>38</v>
      </c>
      <c r="R830">
        <v>3</v>
      </c>
      <c r="S830" t="s">
        <v>31</v>
      </c>
      <c r="T830">
        <v>4</v>
      </c>
      <c r="U830" t="s">
        <v>31</v>
      </c>
      <c r="V830" s="1">
        <v>43774</v>
      </c>
      <c r="X830" s="1" t="str">
        <f t="shared" si="36"/>
        <v>Active</v>
      </c>
      <c r="Y830" t="str">
        <f t="shared" si="37"/>
        <v>36-45</v>
      </c>
      <c r="Z830" t="str">
        <f t="shared" si="38"/>
        <v>10+ Years</v>
      </c>
    </row>
    <row r="831" spans="1:26" x14ac:dyDescent="0.35">
      <c r="A831" t="s">
        <v>887</v>
      </c>
      <c r="B831">
        <v>23</v>
      </c>
      <c r="C831" t="s">
        <v>44</v>
      </c>
      <c r="D831" t="s">
        <v>28</v>
      </c>
      <c r="E831" t="s">
        <v>29</v>
      </c>
      <c r="F831" t="s">
        <v>41</v>
      </c>
      <c r="G831">
        <v>44208</v>
      </c>
      <c r="H831">
        <v>1</v>
      </c>
      <c r="I831">
        <v>1</v>
      </c>
      <c r="J831">
        <v>1</v>
      </c>
      <c r="K831">
        <v>3</v>
      </c>
      <c r="L831">
        <v>2</v>
      </c>
      <c r="M831">
        <v>4</v>
      </c>
      <c r="N831" t="s">
        <v>31</v>
      </c>
      <c r="O831" t="s">
        <v>42</v>
      </c>
      <c r="P831">
        <v>13</v>
      </c>
      <c r="Q831">
        <v>47</v>
      </c>
      <c r="R831">
        <v>2</v>
      </c>
      <c r="S831" t="s">
        <v>31</v>
      </c>
      <c r="T831">
        <v>4</v>
      </c>
      <c r="U831" t="s">
        <v>31</v>
      </c>
      <c r="V831" s="1">
        <v>41070</v>
      </c>
      <c r="X831" s="1" t="str">
        <f t="shared" si="36"/>
        <v>Active</v>
      </c>
      <c r="Y831" t="str">
        <f t="shared" si="37"/>
        <v>18-25</v>
      </c>
      <c r="Z831" t="str">
        <f t="shared" si="38"/>
        <v>0-1 Year</v>
      </c>
    </row>
    <row r="832" spans="1:26" x14ac:dyDescent="0.35">
      <c r="A832" t="s">
        <v>888</v>
      </c>
      <c r="B832">
        <v>37</v>
      </c>
      <c r="C832" t="s">
        <v>27</v>
      </c>
      <c r="D832" t="s">
        <v>49</v>
      </c>
      <c r="E832" t="s">
        <v>50</v>
      </c>
      <c r="F832" t="s">
        <v>56</v>
      </c>
      <c r="G832">
        <v>96708</v>
      </c>
      <c r="H832">
        <v>7</v>
      </c>
      <c r="I832">
        <v>13</v>
      </c>
      <c r="J832">
        <v>4</v>
      </c>
      <c r="K832">
        <v>1</v>
      </c>
      <c r="L832">
        <v>2</v>
      </c>
      <c r="M832">
        <v>3</v>
      </c>
      <c r="N832" t="s">
        <v>31</v>
      </c>
      <c r="O832" t="s">
        <v>42</v>
      </c>
      <c r="P832">
        <v>10</v>
      </c>
      <c r="Q832">
        <v>10</v>
      </c>
      <c r="R832">
        <v>3</v>
      </c>
      <c r="S832" t="s">
        <v>31</v>
      </c>
      <c r="T832">
        <v>3</v>
      </c>
      <c r="U832" t="s">
        <v>33</v>
      </c>
      <c r="V832" s="1">
        <v>43963</v>
      </c>
      <c r="W832" s="1">
        <v>44313</v>
      </c>
      <c r="X832" s="1" t="str">
        <f t="shared" si="36"/>
        <v>2021-04-27</v>
      </c>
      <c r="Y832" t="str">
        <f t="shared" si="37"/>
        <v>36-45</v>
      </c>
      <c r="Z832" t="str">
        <f t="shared" si="38"/>
        <v>6-10 Years</v>
      </c>
    </row>
    <row r="833" spans="1:26" x14ac:dyDescent="0.35">
      <c r="A833" t="s">
        <v>889</v>
      </c>
      <c r="B833">
        <v>40</v>
      </c>
      <c r="C833" t="s">
        <v>44</v>
      </c>
      <c r="D833" t="s">
        <v>52</v>
      </c>
      <c r="E833" t="s">
        <v>55</v>
      </c>
      <c r="F833" t="s">
        <v>41</v>
      </c>
      <c r="G833">
        <v>108166</v>
      </c>
      <c r="H833">
        <v>10</v>
      </c>
      <c r="I833">
        <v>19</v>
      </c>
      <c r="J833">
        <v>4</v>
      </c>
      <c r="K833">
        <v>1</v>
      </c>
      <c r="L833">
        <v>3</v>
      </c>
      <c r="M833">
        <v>2</v>
      </c>
      <c r="N833" t="s">
        <v>31</v>
      </c>
      <c r="O833" t="s">
        <v>32</v>
      </c>
      <c r="P833">
        <v>29</v>
      </c>
      <c r="Q833">
        <v>18</v>
      </c>
      <c r="R833">
        <v>3</v>
      </c>
      <c r="S833" t="s">
        <v>31</v>
      </c>
      <c r="T833">
        <v>5</v>
      </c>
      <c r="U833" t="s">
        <v>31</v>
      </c>
      <c r="V833" s="1">
        <v>44467</v>
      </c>
      <c r="X833" s="1" t="str">
        <f t="shared" si="36"/>
        <v>Active</v>
      </c>
      <c r="Y833" t="str">
        <f t="shared" si="37"/>
        <v>36-45</v>
      </c>
      <c r="Z833" t="str">
        <f t="shared" si="38"/>
        <v>6-10 Years</v>
      </c>
    </row>
    <row r="834" spans="1:26" x14ac:dyDescent="0.35">
      <c r="A834" t="s">
        <v>890</v>
      </c>
      <c r="B834">
        <v>31</v>
      </c>
      <c r="C834" t="s">
        <v>27</v>
      </c>
      <c r="D834" t="s">
        <v>52</v>
      </c>
      <c r="E834" t="s">
        <v>55</v>
      </c>
      <c r="F834" t="s">
        <v>61</v>
      </c>
      <c r="G834">
        <v>41634</v>
      </c>
      <c r="H834">
        <v>1</v>
      </c>
      <c r="I834">
        <v>9</v>
      </c>
      <c r="J834">
        <v>1</v>
      </c>
      <c r="K834">
        <v>1</v>
      </c>
      <c r="L834">
        <v>1</v>
      </c>
      <c r="M834">
        <v>4</v>
      </c>
      <c r="N834" t="s">
        <v>31</v>
      </c>
      <c r="O834" t="s">
        <v>47</v>
      </c>
      <c r="P834">
        <v>28</v>
      </c>
      <c r="Q834">
        <v>57</v>
      </c>
      <c r="R834">
        <v>3</v>
      </c>
      <c r="S834" t="s">
        <v>31</v>
      </c>
      <c r="T834">
        <v>7</v>
      </c>
      <c r="U834" t="s">
        <v>31</v>
      </c>
      <c r="V834" s="1">
        <v>41437</v>
      </c>
      <c r="X834" s="1" t="str">
        <f t="shared" si="36"/>
        <v>Active</v>
      </c>
      <c r="Y834" t="str">
        <f t="shared" si="37"/>
        <v>26-35</v>
      </c>
      <c r="Z834" t="str">
        <f t="shared" si="38"/>
        <v>0-1 Year</v>
      </c>
    </row>
    <row r="835" spans="1:26" x14ac:dyDescent="0.35">
      <c r="A835" t="s">
        <v>891</v>
      </c>
      <c r="B835">
        <v>53</v>
      </c>
      <c r="C835" t="s">
        <v>44</v>
      </c>
      <c r="D835" t="s">
        <v>35</v>
      </c>
      <c r="E835" t="s">
        <v>85</v>
      </c>
      <c r="F835" t="s">
        <v>78</v>
      </c>
      <c r="G835">
        <v>155221</v>
      </c>
      <c r="H835">
        <v>27</v>
      </c>
      <c r="I835">
        <v>29</v>
      </c>
      <c r="J835">
        <v>5</v>
      </c>
      <c r="K835">
        <v>2</v>
      </c>
      <c r="L835">
        <v>4</v>
      </c>
      <c r="M835">
        <v>4</v>
      </c>
      <c r="N835" t="s">
        <v>31</v>
      </c>
      <c r="O835" t="s">
        <v>32</v>
      </c>
      <c r="P835">
        <v>20</v>
      </c>
      <c r="Q835">
        <v>24</v>
      </c>
      <c r="R835">
        <v>2</v>
      </c>
      <c r="S835" t="s">
        <v>31</v>
      </c>
      <c r="T835">
        <v>4</v>
      </c>
      <c r="U835" t="s">
        <v>31</v>
      </c>
      <c r="V835" s="1">
        <v>43779</v>
      </c>
      <c r="X835" s="1" t="str">
        <f t="shared" ref="X835:X898" si="39">IF(ISBLANK(W835), "Active", TEXT(W835, "yyyy-mm-dd"))</f>
        <v>Active</v>
      </c>
      <c r="Y835" t="str">
        <f t="shared" ref="Y835:Y898" si="40">_xlfn.IFS(B835&lt;=25, "18-25", B835&lt;=35, "26-35", B835&lt;=45, "36-45", B835&lt;=55, "46-55", B835&gt;55, "56+")</f>
        <v>46-55</v>
      </c>
      <c r="Z835" t="str">
        <f t="shared" ref="Z835:Z898" si="41">_xlfn.IFS(H835&lt;=1, "0-1 Year", H835&lt;=3, "2-3 Years", H835&lt;=5, "4-5 Years", H835&lt;=10, "6-10 Years", H835&gt;10, "10+ Years")</f>
        <v>10+ Years</v>
      </c>
    </row>
    <row r="836" spans="1:26" x14ac:dyDescent="0.35">
      <c r="A836" t="s">
        <v>892</v>
      </c>
      <c r="B836">
        <v>49</v>
      </c>
      <c r="C836" t="s">
        <v>44</v>
      </c>
      <c r="D836" t="s">
        <v>52</v>
      </c>
      <c r="E836" t="s">
        <v>53</v>
      </c>
      <c r="F836" t="s">
        <v>30</v>
      </c>
      <c r="G836">
        <v>154531</v>
      </c>
      <c r="H836">
        <v>25</v>
      </c>
      <c r="I836">
        <v>26</v>
      </c>
      <c r="J836">
        <v>5</v>
      </c>
      <c r="K836">
        <v>4</v>
      </c>
      <c r="L836">
        <v>1</v>
      </c>
      <c r="M836">
        <v>2</v>
      </c>
      <c r="N836" t="s">
        <v>31</v>
      </c>
      <c r="O836" t="s">
        <v>32</v>
      </c>
      <c r="P836">
        <v>16</v>
      </c>
      <c r="Q836">
        <v>39</v>
      </c>
      <c r="R836">
        <v>3</v>
      </c>
      <c r="S836" t="s">
        <v>33</v>
      </c>
      <c r="T836">
        <v>3</v>
      </c>
      <c r="U836" t="s">
        <v>31</v>
      </c>
      <c r="V836" s="1">
        <v>44285</v>
      </c>
      <c r="X836" s="1" t="str">
        <f t="shared" si="39"/>
        <v>Active</v>
      </c>
      <c r="Y836" t="str">
        <f t="shared" si="40"/>
        <v>46-55</v>
      </c>
      <c r="Z836" t="str">
        <f t="shared" si="41"/>
        <v>10+ Years</v>
      </c>
    </row>
    <row r="837" spans="1:26" x14ac:dyDescent="0.35">
      <c r="A837" t="s">
        <v>893</v>
      </c>
      <c r="B837">
        <v>46</v>
      </c>
      <c r="C837" t="s">
        <v>44</v>
      </c>
      <c r="D837" t="s">
        <v>45</v>
      </c>
      <c r="E837" t="s">
        <v>46</v>
      </c>
      <c r="F837" t="s">
        <v>61</v>
      </c>
      <c r="G837">
        <v>39938</v>
      </c>
      <c r="H837">
        <v>0</v>
      </c>
      <c r="I837">
        <v>23</v>
      </c>
      <c r="J837">
        <v>1</v>
      </c>
      <c r="K837">
        <v>3</v>
      </c>
      <c r="L837">
        <v>2</v>
      </c>
      <c r="M837">
        <v>2</v>
      </c>
      <c r="N837" t="s">
        <v>31</v>
      </c>
      <c r="O837" t="s">
        <v>32</v>
      </c>
      <c r="P837">
        <v>2</v>
      </c>
      <c r="Q837">
        <v>27</v>
      </c>
      <c r="R837">
        <v>3</v>
      </c>
      <c r="S837" t="s">
        <v>31</v>
      </c>
      <c r="T837">
        <v>6</v>
      </c>
      <c r="U837" t="s">
        <v>33</v>
      </c>
      <c r="V837" s="1">
        <v>41979</v>
      </c>
      <c r="W837" s="1">
        <v>42285</v>
      </c>
      <c r="X837" s="1" t="str">
        <f t="shared" si="39"/>
        <v>2015-10-08</v>
      </c>
      <c r="Y837" t="str">
        <f t="shared" si="40"/>
        <v>46-55</v>
      </c>
      <c r="Z837" t="str">
        <f t="shared" si="41"/>
        <v>0-1 Year</v>
      </c>
    </row>
    <row r="838" spans="1:26" x14ac:dyDescent="0.35">
      <c r="A838" t="s">
        <v>894</v>
      </c>
      <c r="B838">
        <v>23</v>
      </c>
      <c r="C838" t="s">
        <v>27</v>
      </c>
      <c r="D838" t="s">
        <v>52</v>
      </c>
      <c r="E838" t="s">
        <v>55</v>
      </c>
      <c r="F838" t="s">
        <v>61</v>
      </c>
      <c r="G838">
        <v>59264</v>
      </c>
      <c r="H838">
        <v>0</v>
      </c>
      <c r="I838">
        <v>1</v>
      </c>
      <c r="J838">
        <v>2</v>
      </c>
      <c r="K838">
        <v>3</v>
      </c>
      <c r="L838">
        <v>3</v>
      </c>
      <c r="M838">
        <v>4</v>
      </c>
      <c r="N838" t="s">
        <v>31</v>
      </c>
      <c r="O838" t="s">
        <v>32</v>
      </c>
      <c r="P838">
        <v>17</v>
      </c>
      <c r="Q838">
        <v>12</v>
      </c>
      <c r="R838">
        <v>4</v>
      </c>
      <c r="S838" t="s">
        <v>31</v>
      </c>
      <c r="T838">
        <v>8</v>
      </c>
      <c r="U838" t="s">
        <v>31</v>
      </c>
      <c r="V838" s="1">
        <v>42167</v>
      </c>
      <c r="X838" s="1" t="str">
        <f t="shared" si="39"/>
        <v>Active</v>
      </c>
      <c r="Y838" t="str">
        <f t="shared" si="40"/>
        <v>18-25</v>
      </c>
      <c r="Z838" t="str">
        <f t="shared" si="41"/>
        <v>0-1 Year</v>
      </c>
    </row>
    <row r="839" spans="1:26" x14ac:dyDescent="0.35">
      <c r="A839" t="s">
        <v>895</v>
      </c>
      <c r="B839">
        <v>29</v>
      </c>
      <c r="C839" t="s">
        <v>27</v>
      </c>
      <c r="D839" t="s">
        <v>35</v>
      </c>
      <c r="E839" t="s">
        <v>36</v>
      </c>
      <c r="F839" t="s">
        <v>56</v>
      </c>
      <c r="G839">
        <v>84502</v>
      </c>
      <c r="H839">
        <v>7</v>
      </c>
      <c r="I839">
        <v>8</v>
      </c>
      <c r="J839">
        <v>3</v>
      </c>
      <c r="K839">
        <v>1</v>
      </c>
      <c r="L839">
        <v>2</v>
      </c>
      <c r="M839">
        <v>2</v>
      </c>
      <c r="N839" t="s">
        <v>31</v>
      </c>
      <c r="O839" t="s">
        <v>32</v>
      </c>
      <c r="P839">
        <v>29</v>
      </c>
      <c r="Q839">
        <v>30</v>
      </c>
      <c r="R839">
        <v>3</v>
      </c>
      <c r="S839" t="s">
        <v>33</v>
      </c>
      <c r="T839">
        <v>3</v>
      </c>
      <c r="U839" t="s">
        <v>31</v>
      </c>
      <c r="V839" s="1">
        <v>44966</v>
      </c>
      <c r="X839" s="1" t="str">
        <f t="shared" si="39"/>
        <v>Active</v>
      </c>
      <c r="Y839" t="str">
        <f t="shared" si="40"/>
        <v>26-35</v>
      </c>
      <c r="Z839" t="str">
        <f t="shared" si="41"/>
        <v>6-10 Years</v>
      </c>
    </row>
    <row r="840" spans="1:26" x14ac:dyDescent="0.35">
      <c r="A840" t="s">
        <v>896</v>
      </c>
      <c r="B840">
        <v>32</v>
      </c>
      <c r="C840" t="s">
        <v>27</v>
      </c>
      <c r="D840" t="s">
        <v>28</v>
      </c>
      <c r="E840" t="s">
        <v>66</v>
      </c>
      <c r="F840" t="s">
        <v>37</v>
      </c>
      <c r="G840">
        <v>63882</v>
      </c>
      <c r="H840">
        <v>2</v>
      </c>
      <c r="I840">
        <v>10</v>
      </c>
      <c r="J840">
        <v>2</v>
      </c>
      <c r="K840">
        <v>2</v>
      </c>
      <c r="L840">
        <v>3</v>
      </c>
      <c r="M840">
        <v>3</v>
      </c>
      <c r="N840" t="s">
        <v>31</v>
      </c>
      <c r="O840" t="s">
        <v>32</v>
      </c>
      <c r="P840">
        <v>8</v>
      </c>
      <c r="Q840">
        <v>35</v>
      </c>
      <c r="R840">
        <v>3</v>
      </c>
      <c r="S840" t="s">
        <v>31</v>
      </c>
      <c r="T840">
        <v>4</v>
      </c>
      <c r="U840" t="s">
        <v>31</v>
      </c>
      <c r="V840" s="1">
        <v>41923</v>
      </c>
      <c r="X840" s="1" t="str">
        <f t="shared" si="39"/>
        <v>Active</v>
      </c>
      <c r="Y840" t="str">
        <f t="shared" si="40"/>
        <v>26-35</v>
      </c>
      <c r="Z840" t="str">
        <f t="shared" si="41"/>
        <v>2-3 Years</v>
      </c>
    </row>
    <row r="841" spans="1:26" x14ac:dyDescent="0.35">
      <c r="A841" t="s">
        <v>897</v>
      </c>
      <c r="B841">
        <v>55</v>
      </c>
      <c r="C841" t="s">
        <v>27</v>
      </c>
      <c r="D841" t="s">
        <v>35</v>
      </c>
      <c r="E841" t="s">
        <v>85</v>
      </c>
      <c r="F841" t="s">
        <v>30</v>
      </c>
      <c r="G841">
        <v>46585</v>
      </c>
      <c r="H841">
        <v>1</v>
      </c>
      <c r="I841">
        <v>32</v>
      </c>
      <c r="J841">
        <v>1</v>
      </c>
      <c r="K841">
        <v>3</v>
      </c>
      <c r="L841">
        <v>1</v>
      </c>
      <c r="M841">
        <v>3</v>
      </c>
      <c r="N841" t="s">
        <v>31</v>
      </c>
      <c r="O841" t="s">
        <v>47</v>
      </c>
      <c r="P841">
        <v>10</v>
      </c>
      <c r="Q841">
        <v>34</v>
      </c>
      <c r="R841">
        <v>4</v>
      </c>
      <c r="S841" t="s">
        <v>31</v>
      </c>
      <c r="T841">
        <v>12</v>
      </c>
      <c r="U841" t="s">
        <v>31</v>
      </c>
      <c r="V841" s="1">
        <v>45187</v>
      </c>
      <c r="X841" s="1" t="str">
        <f t="shared" si="39"/>
        <v>Active</v>
      </c>
      <c r="Y841" t="str">
        <f t="shared" si="40"/>
        <v>46-55</v>
      </c>
      <c r="Z841" t="str">
        <f t="shared" si="41"/>
        <v>0-1 Year</v>
      </c>
    </row>
    <row r="842" spans="1:26" x14ac:dyDescent="0.35">
      <c r="A842" t="s">
        <v>898</v>
      </c>
      <c r="B842">
        <v>26</v>
      </c>
      <c r="C842" t="s">
        <v>44</v>
      </c>
      <c r="D842" t="s">
        <v>49</v>
      </c>
      <c r="E842" t="s">
        <v>50</v>
      </c>
      <c r="F842" t="s">
        <v>30</v>
      </c>
      <c r="G842">
        <v>61739</v>
      </c>
      <c r="H842">
        <v>1</v>
      </c>
      <c r="I842">
        <v>3</v>
      </c>
      <c r="J842">
        <v>2</v>
      </c>
      <c r="K842">
        <v>4</v>
      </c>
      <c r="L842">
        <v>4</v>
      </c>
      <c r="M842">
        <v>2</v>
      </c>
      <c r="N842" t="s">
        <v>31</v>
      </c>
      <c r="O842" t="s">
        <v>47</v>
      </c>
      <c r="P842">
        <v>3</v>
      </c>
      <c r="Q842">
        <v>15</v>
      </c>
      <c r="R842">
        <v>3</v>
      </c>
      <c r="S842" t="s">
        <v>31</v>
      </c>
      <c r="T842">
        <v>6</v>
      </c>
      <c r="U842" t="s">
        <v>31</v>
      </c>
      <c r="V842" s="1">
        <v>42268</v>
      </c>
      <c r="X842" s="1" t="str">
        <f t="shared" si="39"/>
        <v>Active</v>
      </c>
      <c r="Y842" t="str">
        <f t="shared" si="40"/>
        <v>26-35</v>
      </c>
      <c r="Z842" t="str">
        <f t="shared" si="41"/>
        <v>0-1 Year</v>
      </c>
    </row>
    <row r="843" spans="1:26" x14ac:dyDescent="0.35">
      <c r="A843" t="s">
        <v>899</v>
      </c>
      <c r="B843">
        <v>55</v>
      </c>
      <c r="C843" t="s">
        <v>44</v>
      </c>
      <c r="D843" t="s">
        <v>45</v>
      </c>
      <c r="E843" t="s">
        <v>46</v>
      </c>
      <c r="F843" t="s">
        <v>41</v>
      </c>
      <c r="G843">
        <v>152766</v>
      </c>
      <c r="H843">
        <v>25</v>
      </c>
      <c r="I843">
        <v>33</v>
      </c>
      <c r="J843">
        <v>5</v>
      </c>
      <c r="K843">
        <v>1</v>
      </c>
      <c r="L843">
        <v>2</v>
      </c>
      <c r="M843">
        <v>3</v>
      </c>
      <c r="N843" t="s">
        <v>33</v>
      </c>
      <c r="O843" t="s">
        <v>32</v>
      </c>
      <c r="P843">
        <v>18</v>
      </c>
      <c r="Q843">
        <v>48</v>
      </c>
      <c r="R843">
        <v>4</v>
      </c>
      <c r="S843" t="s">
        <v>31</v>
      </c>
      <c r="T843">
        <v>5</v>
      </c>
      <c r="U843" t="s">
        <v>31</v>
      </c>
      <c r="V843" s="1">
        <v>44542</v>
      </c>
      <c r="X843" s="1" t="str">
        <f t="shared" si="39"/>
        <v>Active</v>
      </c>
      <c r="Y843" t="str">
        <f t="shared" si="40"/>
        <v>46-55</v>
      </c>
      <c r="Z843" t="str">
        <f t="shared" si="41"/>
        <v>10+ Years</v>
      </c>
    </row>
    <row r="844" spans="1:26" x14ac:dyDescent="0.35">
      <c r="A844" t="s">
        <v>900</v>
      </c>
      <c r="B844">
        <v>27</v>
      </c>
      <c r="C844" t="s">
        <v>44</v>
      </c>
      <c r="D844" t="s">
        <v>45</v>
      </c>
      <c r="E844" t="s">
        <v>46</v>
      </c>
      <c r="F844" t="s">
        <v>41</v>
      </c>
      <c r="G844">
        <v>65497</v>
      </c>
      <c r="H844">
        <v>3</v>
      </c>
      <c r="I844">
        <v>3</v>
      </c>
      <c r="J844">
        <v>2</v>
      </c>
      <c r="K844">
        <v>1</v>
      </c>
      <c r="L844">
        <v>2</v>
      </c>
      <c r="M844">
        <v>1</v>
      </c>
      <c r="N844" t="s">
        <v>31</v>
      </c>
      <c r="O844" t="s">
        <v>32</v>
      </c>
      <c r="P844">
        <v>25</v>
      </c>
      <c r="Q844">
        <v>42</v>
      </c>
      <c r="R844">
        <v>3</v>
      </c>
      <c r="S844" t="s">
        <v>31</v>
      </c>
      <c r="T844">
        <v>10</v>
      </c>
      <c r="U844" t="s">
        <v>31</v>
      </c>
      <c r="V844" s="1">
        <v>43821</v>
      </c>
      <c r="X844" s="1" t="str">
        <f t="shared" si="39"/>
        <v>Active</v>
      </c>
      <c r="Y844" t="str">
        <f t="shared" si="40"/>
        <v>26-35</v>
      </c>
      <c r="Z844" t="str">
        <f t="shared" si="41"/>
        <v>2-3 Years</v>
      </c>
    </row>
    <row r="845" spans="1:26" x14ac:dyDescent="0.35">
      <c r="A845" t="s">
        <v>901</v>
      </c>
      <c r="B845">
        <v>29</v>
      </c>
      <c r="C845" t="s">
        <v>44</v>
      </c>
      <c r="D845" t="s">
        <v>28</v>
      </c>
      <c r="E845" t="s">
        <v>66</v>
      </c>
      <c r="F845" t="s">
        <v>78</v>
      </c>
      <c r="G845">
        <v>103814</v>
      </c>
      <c r="H845">
        <v>7</v>
      </c>
      <c r="I845">
        <v>8</v>
      </c>
      <c r="J845">
        <v>4</v>
      </c>
      <c r="K845">
        <v>4</v>
      </c>
      <c r="L845">
        <v>2</v>
      </c>
      <c r="M845">
        <v>1</v>
      </c>
      <c r="N845" t="s">
        <v>31</v>
      </c>
      <c r="O845" t="s">
        <v>32</v>
      </c>
      <c r="P845">
        <v>22</v>
      </c>
      <c r="Q845">
        <v>27</v>
      </c>
      <c r="R845">
        <v>3</v>
      </c>
      <c r="S845" t="s">
        <v>31</v>
      </c>
      <c r="T845">
        <v>6</v>
      </c>
      <c r="U845" t="s">
        <v>31</v>
      </c>
      <c r="V845" s="1">
        <v>41529</v>
      </c>
      <c r="X845" s="1" t="str">
        <f t="shared" si="39"/>
        <v>Active</v>
      </c>
      <c r="Y845" t="str">
        <f t="shared" si="40"/>
        <v>26-35</v>
      </c>
      <c r="Z845" t="str">
        <f t="shared" si="41"/>
        <v>6-10 Years</v>
      </c>
    </row>
    <row r="846" spans="1:26" x14ac:dyDescent="0.35">
      <c r="A846" t="s">
        <v>902</v>
      </c>
      <c r="B846">
        <v>54</v>
      </c>
      <c r="C846" t="s">
        <v>27</v>
      </c>
      <c r="D846" t="s">
        <v>45</v>
      </c>
      <c r="E846" t="s">
        <v>46</v>
      </c>
      <c r="F846" t="s">
        <v>41</v>
      </c>
      <c r="G846">
        <v>102173</v>
      </c>
      <c r="H846">
        <v>7</v>
      </c>
      <c r="I846">
        <v>32</v>
      </c>
      <c r="J846">
        <v>4</v>
      </c>
      <c r="K846">
        <v>2</v>
      </c>
      <c r="L846">
        <v>4</v>
      </c>
      <c r="M846">
        <v>1</v>
      </c>
      <c r="N846" t="s">
        <v>31</v>
      </c>
      <c r="O846" t="s">
        <v>32</v>
      </c>
      <c r="P846">
        <v>13</v>
      </c>
      <c r="Q846">
        <v>34</v>
      </c>
      <c r="R846">
        <v>3</v>
      </c>
      <c r="S846" t="s">
        <v>33</v>
      </c>
      <c r="T846">
        <v>3</v>
      </c>
      <c r="U846" t="s">
        <v>31</v>
      </c>
      <c r="V846" s="1">
        <v>44039</v>
      </c>
      <c r="X846" s="1" t="str">
        <f t="shared" si="39"/>
        <v>Active</v>
      </c>
      <c r="Y846" t="str">
        <f t="shared" si="40"/>
        <v>46-55</v>
      </c>
      <c r="Z846" t="str">
        <f t="shared" si="41"/>
        <v>6-10 Years</v>
      </c>
    </row>
    <row r="847" spans="1:26" x14ac:dyDescent="0.35">
      <c r="A847" t="s">
        <v>903</v>
      </c>
      <c r="B847">
        <v>52</v>
      </c>
      <c r="C847" t="s">
        <v>44</v>
      </c>
      <c r="D847" t="s">
        <v>35</v>
      </c>
      <c r="E847" t="s">
        <v>36</v>
      </c>
      <c r="F847" t="s">
        <v>56</v>
      </c>
      <c r="G847">
        <v>140153</v>
      </c>
      <c r="H847">
        <v>19</v>
      </c>
      <c r="I847">
        <v>30</v>
      </c>
      <c r="J847">
        <v>5</v>
      </c>
      <c r="K847">
        <v>3</v>
      </c>
      <c r="L847">
        <v>4</v>
      </c>
      <c r="M847">
        <v>3</v>
      </c>
      <c r="N847" t="s">
        <v>31</v>
      </c>
      <c r="O847" t="s">
        <v>32</v>
      </c>
      <c r="P847">
        <v>20</v>
      </c>
      <c r="Q847">
        <v>21</v>
      </c>
      <c r="R847">
        <v>3</v>
      </c>
      <c r="S847" t="s">
        <v>31</v>
      </c>
      <c r="T847">
        <v>7</v>
      </c>
      <c r="U847" t="s">
        <v>31</v>
      </c>
      <c r="V847" s="1">
        <v>40985</v>
      </c>
      <c r="X847" s="1" t="str">
        <f t="shared" si="39"/>
        <v>Active</v>
      </c>
      <c r="Y847" t="str">
        <f t="shared" si="40"/>
        <v>46-55</v>
      </c>
      <c r="Z847" t="str">
        <f t="shared" si="41"/>
        <v>10+ Years</v>
      </c>
    </row>
    <row r="848" spans="1:26" x14ac:dyDescent="0.35">
      <c r="A848" t="s">
        <v>904</v>
      </c>
      <c r="B848">
        <v>24</v>
      </c>
      <c r="C848" t="s">
        <v>44</v>
      </c>
      <c r="D848" t="s">
        <v>49</v>
      </c>
      <c r="E848" t="s">
        <v>68</v>
      </c>
      <c r="F848" t="s">
        <v>37</v>
      </c>
      <c r="G848">
        <v>57670</v>
      </c>
      <c r="H848">
        <v>1</v>
      </c>
      <c r="I848">
        <v>3</v>
      </c>
      <c r="J848">
        <v>2</v>
      </c>
      <c r="K848">
        <v>4</v>
      </c>
      <c r="L848">
        <v>2</v>
      </c>
      <c r="M848">
        <v>1</v>
      </c>
      <c r="N848" t="s">
        <v>31</v>
      </c>
      <c r="O848" t="s">
        <v>32</v>
      </c>
      <c r="P848">
        <v>17</v>
      </c>
      <c r="Q848">
        <v>54</v>
      </c>
      <c r="R848">
        <v>3</v>
      </c>
      <c r="S848" t="s">
        <v>31</v>
      </c>
      <c r="T848">
        <v>6</v>
      </c>
      <c r="U848" t="s">
        <v>31</v>
      </c>
      <c r="V848" s="1">
        <v>41376</v>
      </c>
      <c r="X848" s="1" t="str">
        <f t="shared" si="39"/>
        <v>Active</v>
      </c>
      <c r="Y848" t="str">
        <f t="shared" si="40"/>
        <v>18-25</v>
      </c>
      <c r="Z848" t="str">
        <f t="shared" si="41"/>
        <v>0-1 Year</v>
      </c>
    </row>
    <row r="849" spans="1:26" x14ac:dyDescent="0.35">
      <c r="A849" t="s">
        <v>905</v>
      </c>
      <c r="B849">
        <v>45</v>
      </c>
      <c r="C849" t="s">
        <v>27</v>
      </c>
      <c r="D849" t="s">
        <v>49</v>
      </c>
      <c r="E849" t="s">
        <v>50</v>
      </c>
      <c r="F849" t="s">
        <v>37</v>
      </c>
      <c r="G849">
        <v>115574</v>
      </c>
      <c r="H849">
        <v>9</v>
      </c>
      <c r="I849">
        <v>21</v>
      </c>
      <c r="J849">
        <v>5</v>
      </c>
      <c r="K849">
        <v>2</v>
      </c>
      <c r="L849">
        <v>3</v>
      </c>
      <c r="M849">
        <v>3</v>
      </c>
      <c r="N849" t="s">
        <v>33</v>
      </c>
      <c r="O849" t="s">
        <v>32</v>
      </c>
      <c r="P849">
        <v>6</v>
      </c>
      <c r="Q849">
        <v>10</v>
      </c>
      <c r="R849">
        <v>3</v>
      </c>
      <c r="S849" t="s">
        <v>31</v>
      </c>
      <c r="T849">
        <v>7</v>
      </c>
      <c r="U849" t="s">
        <v>31</v>
      </c>
      <c r="V849" s="1">
        <v>41915</v>
      </c>
      <c r="X849" s="1" t="str">
        <f t="shared" si="39"/>
        <v>Active</v>
      </c>
      <c r="Y849" t="str">
        <f t="shared" si="40"/>
        <v>36-45</v>
      </c>
      <c r="Z849" t="str">
        <f t="shared" si="41"/>
        <v>6-10 Years</v>
      </c>
    </row>
    <row r="850" spans="1:26" x14ac:dyDescent="0.35">
      <c r="A850" t="s">
        <v>906</v>
      </c>
      <c r="B850">
        <v>58</v>
      </c>
      <c r="C850" t="s">
        <v>44</v>
      </c>
      <c r="D850" t="s">
        <v>45</v>
      </c>
      <c r="E850" t="s">
        <v>63</v>
      </c>
      <c r="F850" t="s">
        <v>61</v>
      </c>
      <c r="G850">
        <v>143389</v>
      </c>
      <c r="H850">
        <v>20</v>
      </c>
      <c r="I850">
        <v>36</v>
      </c>
      <c r="J850">
        <v>5</v>
      </c>
      <c r="K850">
        <v>3</v>
      </c>
      <c r="L850">
        <v>2</v>
      </c>
      <c r="M850">
        <v>3</v>
      </c>
      <c r="N850" t="s">
        <v>31</v>
      </c>
      <c r="O850" t="s">
        <v>47</v>
      </c>
      <c r="P850">
        <v>28</v>
      </c>
      <c r="Q850">
        <v>25</v>
      </c>
      <c r="R850">
        <v>2</v>
      </c>
      <c r="S850" t="s">
        <v>31</v>
      </c>
      <c r="T850">
        <v>2</v>
      </c>
      <c r="U850" t="s">
        <v>33</v>
      </c>
      <c r="V850" s="1">
        <v>40927</v>
      </c>
      <c r="W850" s="1">
        <v>41313</v>
      </c>
      <c r="X850" s="1" t="str">
        <f t="shared" si="39"/>
        <v>2013-02-08</v>
      </c>
      <c r="Y850" t="str">
        <f t="shared" si="40"/>
        <v>56+</v>
      </c>
      <c r="Z850" t="str">
        <f t="shared" si="41"/>
        <v>10+ Years</v>
      </c>
    </row>
    <row r="851" spans="1:26" x14ac:dyDescent="0.35">
      <c r="A851" t="s">
        <v>907</v>
      </c>
      <c r="B851">
        <v>41</v>
      </c>
      <c r="C851" t="s">
        <v>44</v>
      </c>
      <c r="D851" t="s">
        <v>39</v>
      </c>
      <c r="E851" t="s">
        <v>40</v>
      </c>
      <c r="F851" t="s">
        <v>37</v>
      </c>
      <c r="G851">
        <v>121794</v>
      </c>
      <c r="H851">
        <v>12</v>
      </c>
      <c r="I851">
        <v>17</v>
      </c>
      <c r="J851">
        <v>5</v>
      </c>
      <c r="K851">
        <v>3</v>
      </c>
      <c r="L851">
        <v>4</v>
      </c>
      <c r="M851">
        <v>3</v>
      </c>
      <c r="N851" t="s">
        <v>33</v>
      </c>
      <c r="O851" t="s">
        <v>32</v>
      </c>
      <c r="P851">
        <v>10</v>
      </c>
      <c r="Q851">
        <v>28</v>
      </c>
      <c r="R851">
        <v>3</v>
      </c>
      <c r="S851" t="s">
        <v>33</v>
      </c>
      <c r="T851">
        <v>4</v>
      </c>
      <c r="U851" t="s">
        <v>31</v>
      </c>
      <c r="V851" s="1">
        <v>44135</v>
      </c>
      <c r="X851" s="1" t="str">
        <f t="shared" si="39"/>
        <v>Active</v>
      </c>
      <c r="Y851" t="str">
        <f t="shared" si="40"/>
        <v>36-45</v>
      </c>
      <c r="Z851" t="str">
        <f t="shared" si="41"/>
        <v>10+ Years</v>
      </c>
    </row>
    <row r="852" spans="1:26" x14ac:dyDescent="0.35">
      <c r="A852" t="s">
        <v>908</v>
      </c>
      <c r="B852">
        <v>31</v>
      </c>
      <c r="C852" t="s">
        <v>27</v>
      </c>
      <c r="D852" t="s">
        <v>45</v>
      </c>
      <c r="E852" t="s">
        <v>63</v>
      </c>
      <c r="F852" t="s">
        <v>78</v>
      </c>
      <c r="G852">
        <v>79306</v>
      </c>
      <c r="H852">
        <v>4</v>
      </c>
      <c r="I852">
        <v>7</v>
      </c>
      <c r="J852">
        <v>3</v>
      </c>
      <c r="K852">
        <v>3</v>
      </c>
      <c r="L852">
        <v>1</v>
      </c>
      <c r="M852">
        <v>3</v>
      </c>
      <c r="N852" t="s">
        <v>31</v>
      </c>
      <c r="O852" t="s">
        <v>47</v>
      </c>
      <c r="P852">
        <v>26</v>
      </c>
      <c r="Q852">
        <v>15</v>
      </c>
      <c r="R852">
        <v>3</v>
      </c>
      <c r="S852" t="s">
        <v>31</v>
      </c>
      <c r="T852">
        <v>3</v>
      </c>
      <c r="U852" t="s">
        <v>31</v>
      </c>
      <c r="V852" s="1">
        <v>41854</v>
      </c>
      <c r="X852" s="1" t="str">
        <f t="shared" si="39"/>
        <v>Active</v>
      </c>
      <c r="Y852" t="str">
        <f t="shared" si="40"/>
        <v>26-35</v>
      </c>
      <c r="Z852" t="str">
        <f t="shared" si="41"/>
        <v>4-5 Years</v>
      </c>
    </row>
    <row r="853" spans="1:26" x14ac:dyDescent="0.35">
      <c r="A853" t="s">
        <v>909</v>
      </c>
      <c r="B853">
        <v>45</v>
      </c>
      <c r="C853" t="s">
        <v>27</v>
      </c>
      <c r="D853" t="s">
        <v>35</v>
      </c>
      <c r="E853" t="s">
        <v>36</v>
      </c>
      <c r="F853" t="s">
        <v>41</v>
      </c>
      <c r="G853">
        <v>79158</v>
      </c>
      <c r="H853">
        <v>4</v>
      </c>
      <c r="I853">
        <v>22</v>
      </c>
      <c r="J853">
        <v>3</v>
      </c>
      <c r="K853">
        <v>1</v>
      </c>
      <c r="L853">
        <v>4</v>
      </c>
      <c r="M853">
        <v>2</v>
      </c>
      <c r="N853" t="s">
        <v>33</v>
      </c>
      <c r="O853" t="s">
        <v>42</v>
      </c>
      <c r="P853">
        <v>18</v>
      </c>
      <c r="Q853">
        <v>59</v>
      </c>
      <c r="R853">
        <v>3</v>
      </c>
      <c r="S853" t="s">
        <v>31</v>
      </c>
      <c r="T853">
        <v>5</v>
      </c>
      <c r="U853" t="s">
        <v>31</v>
      </c>
      <c r="V853" s="1">
        <v>43948</v>
      </c>
      <c r="X853" s="1" t="str">
        <f t="shared" si="39"/>
        <v>Active</v>
      </c>
      <c r="Y853" t="str">
        <f t="shared" si="40"/>
        <v>36-45</v>
      </c>
      <c r="Z853" t="str">
        <f t="shared" si="41"/>
        <v>4-5 Years</v>
      </c>
    </row>
    <row r="854" spans="1:26" x14ac:dyDescent="0.35">
      <c r="A854" t="s">
        <v>910</v>
      </c>
      <c r="B854">
        <v>22</v>
      </c>
      <c r="C854" t="s">
        <v>44</v>
      </c>
      <c r="D854" t="s">
        <v>35</v>
      </c>
      <c r="E854" t="s">
        <v>85</v>
      </c>
      <c r="F854" t="s">
        <v>37</v>
      </c>
      <c r="G854">
        <v>57017</v>
      </c>
      <c r="H854">
        <v>0</v>
      </c>
      <c r="I854">
        <v>1</v>
      </c>
      <c r="J854">
        <v>2</v>
      </c>
      <c r="K854">
        <v>3</v>
      </c>
      <c r="L854">
        <v>4</v>
      </c>
      <c r="M854">
        <v>2</v>
      </c>
      <c r="N854" t="s">
        <v>31</v>
      </c>
      <c r="O854" t="s">
        <v>32</v>
      </c>
      <c r="P854">
        <v>17</v>
      </c>
      <c r="Q854">
        <v>47</v>
      </c>
      <c r="R854">
        <v>3</v>
      </c>
      <c r="S854" t="s">
        <v>31</v>
      </c>
      <c r="T854">
        <v>7</v>
      </c>
      <c r="U854" t="s">
        <v>31</v>
      </c>
      <c r="V854" s="1">
        <v>45111</v>
      </c>
      <c r="X854" s="1" t="str">
        <f t="shared" si="39"/>
        <v>Active</v>
      </c>
      <c r="Y854" t="str">
        <f t="shared" si="40"/>
        <v>18-25</v>
      </c>
      <c r="Z854" t="str">
        <f t="shared" si="41"/>
        <v>0-1 Year</v>
      </c>
    </row>
    <row r="855" spans="1:26" x14ac:dyDescent="0.35">
      <c r="A855" t="s">
        <v>911</v>
      </c>
      <c r="B855">
        <v>38</v>
      </c>
      <c r="C855" t="s">
        <v>44</v>
      </c>
      <c r="D855" t="s">
        <v>49</v>
      </c>
      <c r="E855" t="s">
        <v>68</v>
      </c>
      <c r="F855" t="s">
        <v>37</v>
      </c>
      <c r="G855">
        <v>60673</v>
      </c>
      <c r="H855">
        <v>3</v>
      </c>
      <c r="I855">
        <v>17</v>
      </c>
      <c r="J855">
        <v>2</v>
      </c>
      <c r="K855">
        <v>2</v>
      </c>
      <c r="L855">
        <v>1</v>
      </c>
      <c r="M855">
        <v>2</v>
      </c>
      <c r="N855" t="s">
        <v>31</v>
      </c>
      <c r="O855" t="s">
        <v>32</v>
      </c>
      <c r="P855">
        <v>10</v>
      </c>
      <c r="Q855">
        <v>44</v>
      </c>
      <c r="R855">
        <v>3</v>
      </c>
      <c r="S855" t="s">
        <v>31</v>
      </c>
      <c r="T855">
        <v>1</v>
      </c>
      <c r="U855" t="s">
        <v>31</v>
      </c>
      <c r="V855" s="1">
        <v>43855</v>
      </c>
      <c r="X855" s="1" t="str">
        <f t="shared" si="39"/>
        <v>Active</v>
      </c>
      <c r="Y855" t="str">
        <f t="shared" si="40"/>
        <v>36-45</v>
      </c>
      <c r="Z855" t="str">
        <f t="shared" si="41"/>
        <v>2-3 Years</v>
      </c>
    </row>
    <row r="856" spans="1:26" x14ac:dyDescent="0.35">
      <c r="A856" t="s">
        <v>912</v>
      </c>
      <c r="B856">
        <v>46</v>
      </c>
      <c r="C856" t="s">
        <v>44</v>
      </c>
      <c r="D856" t="s">
        <v>39</v>
      </c>
      <c r="E856" t="s">
        <v>59</v>
      </c>
      <c r="F856" t="s">
        <v>56</v>
      </c>
      <c r="G856">
        <v>100785</v>
      </c>
      <c r="H856">
        <v>6</v>
      </c>
      <c r="I856">
        <v>24</v>
      </c>
      <c r="J856">
        <v>4</v>
      </c>
      <c r="K856">
        <v>4</v>
      </c>
      <c r="L856">
        <v>3</v>
      </c>
      <c r="M856">
        <v>1</v>
      </c>
      <c r="N856" t="s">
        <v>31</v>
      </c>
      <c r="O856" t="s">
        <v>42</v>
      </c>
      <c r="P856">
        <v>18</v>
      </c>
      <c r="Q856">
        <v>10</v>
      </c>
      <c r="R856">
        <v>2</v>
      </c>
      <c r="S856" t="s">
        <v>33</v>
      </c>
      <c r="T856">
        <v>6</v>
      </c>
      <c r="U856" t="s">
        <v>33</v>
      </c>
      <c r="V856" s="1">
        <v>43420</v>
      </c>
      <c r="W856" s="1">
        <v>43623</v>
      </c>
      <c r="X856" s="1" t="str">
        <f t="shared" si="39"/>
        <v>2019-06-07</v>
      </c>
      <c r="Y856" t="str">
        <f t="shared" si="40"/>
        <v>46-55</v>
      </c>
      <c r="Z856" t="str">
        <f t="shared" si="41"/>
        <v>6-10 Years</v>
      </c>
    </row>
    <row r="857" spans="1:26" x14ac:dyDescent="0.35">
      <c r="A857" t="s">
        <v>913</v>
      </c>
      <c r="B857">
        <v>24</v>
      </c>
      <c r="C857" t="s">
        <v>44</v>
      </c>
      <c r="D857" t="s">
        <v>35</v>
      </c>
      <c r="E857" t="s">
        <v>85</v>
      </c>
      <c r="F857" t="s">
        <v>30</v>
      </c>
      <c r="G857">
        <v>56655</v>
      </c>
      <c r="H857">
        <v>0</v>
      </c>
      <c r="I857">
        <v>1</v>
      </c>
      <c r="J857">
        <v>2</v>
      </c>
      <c r="K857">
        <v>3</v>
      </c>
      <c r="L857">
        <v>4</v>
      </c>
      <c r="M857">
        <v>3</v>
      </c>
      <c r="N857" t="s">
        <v>31</v>
      </c>
      <c r="O857" t="s">
        <v>42</v>
      </c>
      <c r="P857">
        <v>6</v>
      </c>
      <c r="Q857">
        <v>21</v>
      </c>
      <c r="R857">
        <v>4</v>
      </c>
      <c r="S857" t="s">
        <v>31</v>
      </c>
      <c r="T857">
        <v>4</v>
      </c>
      <c r="U857" t="s">
        <v>31</v>
      </c>
      <c r="V857" s="1">
        <v>43828</v>
      </c>
      <c r="X857" s="1" t="str">
        <f t="shared" si="39"/>
        <v>Active</v>
      </c>
      <c r="Y857" t="str">
        <f t="shared" si="40"/>
        <v>18-25</v>
      </c>
      <c r="Z857" t="str">
        <f t="shared" si="41"/>
        <v>0-1 Year</v>
      </c>
    </row>
    <row r="858" spans="1:26" x14ac:dyDescent="0.35">
      <c r="A858" t="s">
        <v>914</v>
      </c>
      <c r="B858">
        <v>51</v>
      </c>
      <c r="C858" t="s">
        <v>27</v>
      </c>
      <c r="D858" t="s">
        <v>45</v>
      </c>
      <c r="E858" t="s">
        <v>63</v>
      </c>
      <c r="F858" t="s">
        <v>30</v>
      </c>
      <c r="G858">
        <v>134379</v>
      </c>
      <c r="H858">
        <v>17</v>
      </c>
      <c r="I858">
        <v>29</v>
      </c>
      <c r="J858">
        <v>5</v>
      </c>
      <c r="K858">
        <v>1</v>
      </c>
      <c r="L858">
        <v>4</v>
      </c>
      <c r="M858">
        <v>3</v>
      </c>
      <c r="N858" t="s">
        <v>33</v>
      </c>
      <c r="O858" t="s">
        <v>42</v>
      </c>
      <c r="P858">
        <v>13</v>
      </c>
      <c r="Q858">
        <v>58</v>
      </c>
      <c r="R858">
        <v>3</v>
      </c>
      <c r="S858" t="s">
        <v>31</v>
      </c>
      <c r="T858">
        <v>2</v>
      </c>
      <c r="U858" t="s">
        <v>31</v>
      </c>
      <c r="V858" s="1">
        <v>42026</v>
      </c>
      <c r="X858" s="1" t="str">
        <f t="shared" si="39"/>
        <v>Active</v>
      </c>
      <c r="Y858" t="str">
        <f t="shared" si="40"/>
        <v>46-55</v>
      </c>
      <c r="Z858" t="str">
        <f t="shared" si="41"/>
        <v>10+ Years</v>
      </c>
    </row>
    <row r="859" spans="1:26" x14ac:dyDescent="0.35">
      <c r="A859" t="s">
        <v>915</v>
      </c>
      <c r="B859">
        <v>56</v>
      </c>
      <c r="C859" t="s">
        <v>44</v>
      </c>
      <c r="D859" t="s">
        <v>39</v>
      </c>
      <c r="E859" t="s">
        <v>40</v>
      </c>
      <c r="F859" t="s">
        <v>56</v>
      </c>
      <c r="G859">
        <v>83500</v>
      </c>
      <c r="H859">
        <v>5</v>
      </c>
      <c r="I859">
        <v>35</v>
      </c>
      <c r="J859">
        <v>3</v>
      </c>
      <c r="K859">
        <v>3</v>
      </c>
      <c r="L859">
        <v>2</v>
      </c>
      <c r="M859">
        <v>4</v>
      </c>
      <c r="N859" t="s">
        <v>31</v>
      </c>
      <c r="O859" t="s">
        <v>32</v>
      </c>
      <c r="P859">
        <v>23</v>
      </c>
      <c r="Q859">
        <v>34</v>
      </c>
      <c r="R859">
        <v>3</v>
      </c>
      <c r="S859" t="s">
        <v>31</v>
      </c>
      <c r="T859">
        <v>3</v>
      </c>
      <c r="U859" t="s">
        <v>31</v>
      </c>
      <c r="V859" s="1">
        <v>44049</v>
      </c>
      <c r="X859" s="1" t="str">
        <f t="shared" si="39"/>
        <v>Active</v>
      </c>
      <c r="Y859" t="str">
        <f t="shared" si="40"/>
        <v>56+</v>
      </c>
      <c r="Z859" t="str">
        <f t="shared" si="41"/>
        <v>4-5 Years</v>
      </c>
    </row>
    <row r="860" spans="1:26" x14ac:dyDescent="0.35">
      <c r="A860" t="s">
        <v>916</v>
      </c>
      <c r="B860">
        <v>55</v>
      </c>
      <c r="C860" t="s">
        <v>27</v>
      </c>
      <c r="D860" t="s">
        <v>45</v>
      </c>
      <c r="E860" t="s">
        <v>46</v>
      </c>
      <c r="F860" t="s">
        <v>61</v>
      </c>
      <c r="G860">
        <v>118111</v>
      </c>
      <c r="H860">
        <v>10</v>
      </c>
      <c r="I860">
        <v>31</v>
      </c>
      <c r="J860">
        <v>5</v>
      </c>
      <c r="K860">
        <v>2</v>
      </c>
      <c r="L860">
        <v>4</v>
      </c>
      <c r="M860">
        <v>4</v>
      </c>
      <c r="N860" t="s">
        <v>31</v>
      </c>
      <c r="O860" t="s">
        <v>32</v>
      </c>
      <c r="P860">
        <v>6</v>
      </c>
      <c r="Q860">
        <v>39</v>
      </c>
      <c r="R860">
        <v>3</v>
      </c>
      <c r="S860" t="s">
        <v>31</v>
      </c>
      <c r="T860">
        <v>2</v>
      </c>
      <c r="U860" t="s">
        <v>31</v>
      </c>
      <c r="V860" s="1">
        <v>41745</v>
      </c>
      <c r="X860" s="1" t="str">
        <f t="shared" si="39"/>
        <v>Active</v>
      </c>
      <c r="Y860" t="str">
        <f t="shared" si="40"/>
        <v>46-55</v>
      </c>
      <c r="Z860" t="str">
        <f t="shared" si="41"/>
        <v>6-10 Years</v>
      </c>
    </row>
    <row r="861" spans="1:26" x14ac:dyDescent="0.35">
      <c r="A861" t="s">
        <v>917</v>
      </c>
      <c r="B861">
        <v>33</v>
      </c>
      <c r="C861" t="s">
        <v>44</v>
      </c>
      <c r="D861" t="s">
        <v>35</v>
      </c>
      <c r="E861" t="s">
        <v>85</v>
      </c>
      <c r="F861" t="s">
        <v>41</v>
      </c>
      <c r="G861">
        <v>42397</v>
      </c>
      <c r="H861">
        <v>2</v>
      </c>
      <c r="I861">
        <v>12</v>
      </c>
      <c r="J861">
        <v>1</v>
      </c>
      <c r="K861">
        <v>3</v>
      </c>
      <c r="L861">
        <v>2</v>
      </c>
      <c r="M861">
        <v>2</v>
      </c>
      <c r="N861" t="s">
        <v>31</v>
      </c>
      <c r="O861" t="s">
        <v>32</v>
      </c>
      <c r="P861">
        <v>3</v>
      </c>
      <c r="Q861">
        <v>26</v>
      </c>
      <c r="R861">
        <v>3</v>
      </c>
      <c r="S861" t="s">
        <v>31</v>
      </c>
      <c r="T861">
        <v>5</v>
      </c>
      <c r="U861" t="s">
        <v>31</v>
      </c>
      <c r="V861" s="1">
        <v>43437</v>
      </c>
      <c r="X861" s="1" t="str">
        <f t="shared" si="39"/>
        <v>Active</v>
      </c>
      <c r="Y861" t="str">
        <f t="shared" si="40"/>
        <v>26-35</v>
      </c>
      <c r="Z861" t="str">
        <f t="shared" si="41"/>
        <v>2-3 Years</v>
      </c>
    </row>
    <row r="862" spans="1:26" x14ac:dyDescent="0.35">
      <c r="A862" t="s">
        <v>918</v>
      </c>
      <c r="B862">
        <v>51</v>
      </c>
      <c r="C862" t="s">
        <v>27</v>
      </c>
      <c r="D862" t="s">
        <v>35</v>
      </c>
      <c r="E862" t="s">
        <v>36</v>
      </c>
      <c r="F862" t="s">
        <v>37</v>
      </c>
      <c r="G862">
        <v>46728</v>
      </c>
      <c r="H862">
        <v>1</v>
      </c>
      <c r="I862">
        <v>27</v>
      </c>
      <c r="J862">
        <v>1</v>
      </c>
      <c r="K862">
        <v>4</v>
      </c>
      <c r="L862">
        <v>2</v>
      </c>
      <c r="M862">
        <v>1</v>
      </c>
      <c r="N862" t="s">
        <v>33</v>
      </c>
      <c r="O862" t="s">
        <v>32</v>
      </c>
      <c r="P862">
        <v>26</v>
      </c>
      <c r="Q862">
        <v>13</v>
      </c>
      <c r="R862">
        <v>3</v>
      </c>
      <c r="S862" t="s">
        <v>31</v>
      </c>
      <c r="T862">
        <v>6</v>
      </c>
      <c r="U862" t="s">
        <v>31</v>
      </c>
      <c r="V862" s="1">
        <v>42530</v>
      </c>
      <c r="X862" s="1" t="str">
        <f t="shared" si="39"/>
        <v>Active</v>
      </c>
      <c r="Y862" t="str">
        <f t="shared" si="40"/>
        <v>46-55</v>
      </c>
      <c r="Z862" t="str">
        <f t="shared" si="41"/>
        <v>0-1 Year</v>
      </c>
    </row>
    <row r="863" spans="1:26" x14ac:dyDescent="0.35">
      <c r="A863" t="s">
        <v>919</v>
      </c>
      <c r="B863">
        <v>27</v>
      </c>
      <c r="C863" t="s">
        <v>44</v>
      </c>
      <c r="D863" t="s">
        <v>39</v>
      </c>
      <c r="E863" t="s">
        <v>40</v>
      </c>
      <c r="F863" t="s">
        <v>78</v>
      </c>
      <c r="G863">
        <v>60459</v>
      </c>
      <c r="H863">
        <v>2</v>
      </c>
      <c r="I863">
        <v>6</v>
      </c>
      <c r="J863">
        <v>2</v>
      </c>
      <c r="K863">
        <v>2</v>
      </c>
      <c r="L863">
        <v>3</v>
      </c>
      <c r="M863">
        <v>4</v>
      </c>
      <c r="N863" t="s">
        <v>31</v>
      </c>
      <c r="O863" t="s">
        <v>32</v>
      </c>
      <c r="P863">
        <v>2</v>
      </c>
      <c r="Q863">
        <v>30</v>
      </c>
      <c r="R863">
        <v>3</v>
      </c>
      <c r="S863" t="s">
        <v>31</v>
      </c>
      <c r="T863">
        <v>3</v>
      </c>
      <c r="U863" t="s">
        <v>31</v>
      </c>
      <c r="V863" s="1">
        <v>42292</v>
      </c>
      <c r="X863" s="1" t="str">
        <f t="shared" si="39"/>
        <v>Active</v>
      </c>
      <c r="Y863" t="str">
        <f t="shared" si="40"/>
        <v>26-35</v>
      </c>
      <c r="Z863" t="str">
        <f t="shared" si="41"/>
        <v>2-3 Years</v>
      </c>
    </row>
    <row r="864" spans="1:26" x14ac:dyDescent="0.35">
      <c r="A864" t="s">
        <v>920</v>
      </c>
      <c r="B864">
        <v>45</v>
      </c>
      <c r="C864" t="s">
        <v>27</v>
      </c>
      <c r="D864" t="s">
        <v>52</v>
      </c>
      <c r="E864" t="s">
        <v>53</v>
      </c>
      <c r="F864" t="s">
        <v>56</v>
      </c>
      <c r="G864">
        <v>138521</v>
      </c>
      <c r="H864">
        <v>17</v>
      </c>
      <c r="I864">
        <v>22</v>
      </c>
      <c r="J864">
        <v>5</v>
      </c>
      <c r="K864">
        <v>4</v>
      </c>
      <c r="L864">
        <v>3</v>
      </c>
      <c r="M864">
        <v>4</v>
      </c>
      <c r="N864" t="s">
        <v>33</v>
      </c>
      <c r="O864" t="s">
        <v>32</v>
      </c>
      <c r="P864">
        <v>25</v>
      </c>
      <c r="Q864">
        <v>37</v>
      </c>
      <c r="R864">
        <v>3</v>
      </c>
      <c r="S864" t="s">
        <v>31</v>
      </c>
      <c r="T864">
        <v>5</v>
      </c>
      <c r="U864" t="s">
        <v>31</v>
      </c>
      <c r="V864" s="1">
        <v>41347</v>
      </c>
      <c r="X864" s="1" t="str">
        <f t="shared" si="39"/>
        <v>Active</v>
      </c>
      <c r="Y864" t="str">
        <f t="shared" si="40"/>
        <v>36-45</v>
      </c>
      <c r="Z864" t="str">
        <f t="shared" si="41"/>
        <v>10+ Years</v>
      </c>
    </row>
    <row r="865" spans="1:26" x14ac:dyDescent="0.35">
      <c r="A865" t="s">
        <v>921</v>
      </c>
      <c r="B865">
        <v>53</v>
      </c>
      <c r="C865" t="s">
        <v>44</v>
      </c>
      <c r="D865" t="s">
        <v>52</v>
      </c>
      <c r="E865" t="s">
        <v>55</v>
      </c>
      <c r="F865" t="s">
        <v>30</v>
      </c>
      <c r="G865">
        <v>136234</v>
      </c>
      <c r="H865">
        <v>17</v>
      </c>
      <c r="I865">
        <v>29</v>
      </c>
      <c r="J865">
        <v>5</v>
      </c>
      <c r="K865">
        <v>4</v>
      </c>
      <c r="L865">
        <v>1</v>
      </c>
      <c r="M865">
        <v>2</v>
      </c>
      <c r="N865" t="s">
        <v>33</v>
      </c>
      <c r="O865" t="s">
        <v>32</v>
      </c>
      <c r="P865">
        <v>12</v>
      </c>
      <c r="Q865">
        <v>14</v>
      </c>
      <c r="R865">
        <v>2</v>
      </c>
      <c r="S865" t="s">
        <v>31</v>
      </c>
      <c r="T865">
        <v>4</v>
      </c>
      <c r="U865" t="s">
        <v>31</v>
      </c>
      <c r="V865" s="1">
        <v>41812</v>
      </c>
      <c r="X865" s="1" t="str">
        <f t="shared" si="39"/>
        <v>Active</v>
      </c>
      <c r="Y865" t="str">
        <f t="shared" si="40"/>
        <v>46-55</v>
      </c>
      <c r="Z865" t="str">
        <f t="shared" si="41"/>
        <v>10+ Years</v>
      </c>
    </row>
    <row r="866" spans="1:26" x14ac:dyDescent="0.35">
      <c r="A866" t="s">
        <v>922</v>
      </c>
      <c r="B866">
        <v>53</v>
      </c>
      <c r="C866" t="s">
        <v>44</v>
      </c>
      <c r="D866" t="s">
        <v>45</v>
      </c>
      <c r="E866" t="s">
        <v>46</v>
      </c>
      <c r="F866" t="s">
        <v>61</v>
      </c>
      <c r="G866">
        <v>144675</v>
      </c>
      <c r="H866">
        <v>23</v>
      </c>
      <c r="I866">
        <v>29</v>
      </c>
      <c r="J866">
        <v>5</v>
      </c>
      <c r="K866">
        <v>1</v>
      </c>
      <c r="L866">
        <v>3</v>
      </c>
      <c r="M866">
        <v>4</v>
      </c>
      <c r="N866" t="s">
        <v>31</v>
      </c>
      <c r="O866" t="s">
        <v>32</v>
      </c>
      <c r="P866">
        <v>23</v>
      </c>
      <c r="Q866">
        <v>31</v>
      </c>
      <c r="R866">
        <v>3</v>
      </c>
      <c r="S866" t="s">
        <v>31</v>
      </c>
      <c r="T866">
        <v>1</v>
      </c>
      <c r="U866" t="s">
        <v>31</v>
      </c>
      <c r="V866" s="1">
        <v>44971</v>
      </c>
      <c r="X866" s="1" t="str">
        <f t="shared" si="39"/>
        <v>Active</v>
      </c>
      <c r="Y866" t="str">
        <f t="shared" si="40"/>
        <v>46-55</v>
      </c>
      <c r="Z866" t="str">
        <f t="shared" si="41"/>
        <v>10+ Years</v>
      </c>
    </row>
    <row r="867" spans="1:26" x14ac:dyDescent="0.35">
      <c r="A867" t="s">
        <v>923</v>
      </c>
      <c r="B867">
        <v>29</v>
      </c>
      <c r="C867" t="s">
        <v>27</v>
      </c>
      <c r="D867" t="s">
        <v>28</v>
      </c>
      <c r="E867" t="s">
        <v>29</v>
      </c>
      <c r="F867" t="s">
        <v>78</v>
      </c>
      <c r="G867">
        <v>45860</v>
      </c>
      <c r="H867">
        <v>2</v>
      </c>
      <c r="I867">
        <v>8</v>
      </c>
      <c r="J867">
        <v>1</v>
      </c>
      <c r="K867">
        <v>4</v>
      </c>
      <c r="L867">
        <v>1</v>
      </c>
      <c r="M867">
        <v>4</v>
      </c>
      <c r="N867" t="s">
        <v>31</v>
      </c>
      <c r="O867" t="s">
        <v>32</v>
      </c>
      <c r="P867">
        <v>21</v>
      </c>
      <c r="Q867">
        <v>47</v>
      </c>
      <c r="R867">
        <v>2</v>
      </c>
      <c r="S867" t="s">
        <v>31</v>
      </c>
      <c r="T867">
        <v>4</v>
      </c>
      <c r="U867" t="s">
        <v>33</v>
      </c>
      <c r="V867" s="1">
        <v>42629</v>
      </c>
      <c r="W867" s="1">
        <v>43531</v>
      </c>
      <c r="X867" s="1" t="str">
        <f t="shared" si="39"/>
        <v>2019-03-07</v>
      </c>
      <c r="Y867" t="str">
        <f t="shared" si="40"/>
        <v>26-35</v>
      </c>
      <c r="Z867" t="str">
        <f t="shared" si="41"/>
        <v>2-3 Years</v>
      </c>
    </row>
    <row r="868" spans="1:26" x14ac:dyDescent="0.35">
      <c r="A868" t="s">
        <v>924</v>
      </c>
      <c r="B868">
        <v>29</v>
      </c>
      <c r="C868" t="s">
        <v>27</v>
      </c>
      <c r="D868" t="s">
        <v>39</v>
      </c>
      <c r="E868" t="s">
        <v>74</v>
      </c>
      <c r="F868" t="s">
        <v>56</v>
      </c>
      <c r="G868">
        <v>64021</v>
      </c>
      <c r="H868">
        <v>4</v>
      </c>
      <c r="I868">
        <v>5</v>
      </c>
      <c r="J868">
        <v>2</v>
      </c>
      <c r="K868">
        <v>3</v>
      </c>
      <c r="L868">
        <v>3</v>
      </c>
      <c r="M868">
        <v>1</v>
      </c>
      <c r="N868" t="s">
        <v>31</v>
      </c>
      <c r="O868" t="s">
        <v>32</v>
      </c>
      <c r="P868">
        <v>9</v>
      </c>
      <c r="Q868">
        <v>12</v>
      </c>
      <c r="R868">
        <v>4</v>
      </c>
      <c r="S868" t="s">
        <v>31</v>
      </c>
      <c r="T868">
        <v>4</v>
      </c>
      <c r="U868" t="s">
        <v>31</v>
      </c>
      <c r="V868" s="1">
        <v>44116</v>
      </c>
      <c r="X868" s="1" t="str">
        <f t="shared" si="39"/>
        <v>Active</v>
      </c>
      <c r="Y868" t="str">
        <f t="shared" si="40"/>
        <v>26-35</v>
      </c>
      <c r="Z868" t="str">
        <f t="shared" si="41"/>
        <v>4-5 Years</v>
      </c>
    </row>
    <row r="869" spans="1:26" x14ac:dyDescent="0.35">
      <c r="A869" t="s">
        <v>925</v>
      </c>
      <c r="B869">
        <v>44</v>
      </c>
      <c r="C869" t="s">
        <v>27</v>
      </c>
      <c r="D869" t="s">
        <v>52</v>
      </c>
      <c r="E869" t="s">
        <v>53</v>
      </c>
      <c r="F869" t="s">
        <v>56</v>
      </c>
      <c r="G869">
        <v>58678</v>
      </c>
      <c r="H869">
        <v>0</v>
      </c>
      <c r="I869">
        <v>21</v>
      </c>
      <c r="J869">
        <v>2</v>
      </c>
      <c r="K869">
        <v>3</v>
      </c>
      <c r="L869">
        <v>3</v>
      </c>
      <c r="M869">
        <v>2</v>
      </c>
      <c r="N869" t="s">
        <v>31</v>
      </c>
      <c r="O869" t="s">
        <v>42</v>
      </c>
      <c r="P869">
        <v>14</v>
      </c>
      <c r="Q869">
        <v>16</v>
      </c>
      <c r="R869">
        <v>3</v>
      </c>
      <c r="S869" t="s">
        <v>31</v>
      </c>
      <c r="T869">
        <v>5</v>
      </c>
      <c r="U869" t="s">
        <v>33</v>
      </c>
      <c r="V869" s="1">
        <v>42473</v>
      </c>
      <c r="W869" s="1">
        <v>42844</v>
      </c>
      <c r="X869" s="1" t="str">
        <f t="shared" si="39"/>
        <v>2017-04-19</v>
      </c>
      <c r="Y869" t="str">
        <f t="shared" si="40"/>
        <v>36-45</v>
      </c>
      <c r="Z869" t="str">
        <f t="shared" si="41"/>
        <v>0-1 Year</v>
      </c>
    </row>
    <row r="870" spans="1:26" x14ac:dyDescent="0.35">
      <c r="A870" t="s">
        <v>926</v>
      </c>
      <c r="B870">
        <v>26</v>
      </c>
      <c r="C870" t="s">
        <v>27</v>
      </c>
      <c r="D870" t="s">
        <v>45</v>
      </c>
      <c r="E870" t="s">
        <v>46</v>
      </c>
      <c r="F870" t="s">
        <v>30</v>
      </c>
      <c r="G870">
        <v>66284</v>
      </c>
      <c r="H870">
        <v>4</v>
      </c>
      <c r="I870">
        <v>4</v>
      </c>
      <c r="J870">
        <v>2</v>
      </c>
      <c r="K870">
        <v>3</v>
      </c>
      <c r="L870">
        <v>1</v>
      </c>
      <c r="M870">
        <v>1</v>
      </c>
      <c r="N870" t="s">
        <v>31</v>
      </c>
      <c r="O870" t="s">
        <v>32</v>
      </c>
      <c r="P870">
        <v>20</v>
      </c>
      <c r="Q870">
        <v>43</v>
      </c>
      <c r="R870">
        <v>3</v>
      </c>
      <c r="S870" t="s">
        <v>31</v>
      </c>
      <c r="T870">
        <v>9</v>
      </c>
      <c r="U870" t="s">
        <v>31</v>
      </c>
      <c r="V870" s="1">
        <v>41652</v>
      </c>
      <c r="X870" s="1" t="str">
        <f t="shared" si="39"/>
        <v>Active</v>
      </c>
      <c r="Y870" t="str">
        <f t="shared" si="40"/>
        <v>26-35</v>
      </c>
      <c r="Z870" t="str">
        <f t="shared" si="41"/>
        <v>4-5 Years</v>
      </c>
    </row>
    <row r="871" spans="1:26" x14ac:dyDescent="0.35">
      <c r="A871" t="s">
        <v>927</v>
      </c>
      <c r="B871">
        <v>44</v>
      </c>
      <c r="C871" t="s">
        <v>44</v>
      </c>
      <c r="D871" t="s">
        <v>49</v>
      </c>
      <c r="E871" t="s">
        <v>50</v>
      </c>
      <c r="F871" t="s">
        <v>61</v>
      </c>
      <c r="G871">
        <v>129412</v>
      </c>
      <c r="H871">
        <v>15</v>
      </c>
      <c r="I871">
        <v>23</v>
      </c>
      <c r="J871">
        <v>5</v>
      </c>
      <c r="K871">
        <v>4</v>
      </c>
      <c r="L871">
        <v>4</v>
      </c>
      <c r="M871">
        <v>2</v>
      </c>
      <c r="N871" t="s">
        <v>31</v>
      </c>
      <c r="O871" t="s">
        <v>42</v>
      </c>
      <c r="P871">
        <v>17</v>
      </c>
      <c r="Q871">
        <v>14</v>
      </c>
      <c r="R871">
        <v>4</v>
      </c>
      <c r="S871" t="s">
        <v>31</v>
      </c>
      <c r="T871">
        <v>5</v>
      </c>
      <c r="U871" t="s">
        <v>33</v>
      </c>
      <c r="V871" s="1">
        <v>44928</v>
      </c>
      <c r="W871" s="1">
        <v>45294</v>
      </c>
      <c r="X871" s="1" t="str">
        <f t="shared" si="39"/>
        <v>2024-01-03</v>
      </c>
      <c r="Y871" t="str">
        <f t="shared" si="40"/>
        <v>36-45</v>
      </c>
      <c r="Z871" t="str">
        <f t="shared" si="41"/>
        <v>10+ Years</v>
      </c>
    </row>
    <row r="872" spans="1:26" x14ac:dyDescent="0.35">
      <c r="A872" t="s">
        <v>928</v>
      </c>
      <c r="B872">
        <v>47</v>
      </c>
      <c r="C872" t="s">
        <v>27</v>
      </c>
      <c r="D872" t="s">
        <v>45</v>
      </c>
      <c r="E872" t="s">
        <v>46</v>
      </c>
      <c r="F872" t="s">
        <v>41</v>
      </c>
      <c r="G872">
        <v>133121</v>
      </c>
      <c r="H872">
        <v>15</v>
      </c>
      <c r="I872">
        <v>26</v>
      </c>
      <c r="J872">
        <v>5</v>
      </c>
      <c r="K872">
        <v>1</v>
      </c>
      <c r="L872">
        <v>2</v>
      </c>
      <c r="M872">
        <v>4</v>
      </c>
      <c r="N872" t="s">
        <v>33</v>
      </c>
      <c r="O872" t="s">
        <v>42</v>
      </c>
      <c r="P872">
        <v>28</v>
      </c>
      <c r="Q872">
        <v>18</v>
      </c>
      <c r="R872">
        <v>3</v>
      </c>
      <c r="S872" t="s">
        <v>33</v>
      </c>
      <c r="T872">
        <v>5</v>
      </c>
      <c r="U872" t="s">
        <v>31</v>
      </c>
      <c r="V872" s="1">
        <v>43614</v>
      </c>
      <c r="X872" s="1" t="str">
        <f t="shared" si="39"/>
        <v>Active</v>
      </c>
      <c r="Y872" t="str">
        <f t="shared" si="40"/>
        <v>46-55</v>
      </c>
      <c r="Z872" t="str">
        <f t="shared" si="41"/>
        <v>10+ Years</v>
      </c>
    </row>
    <row r="873" spans="1:26" x14ac:dyDescent="0.35">
      <c r="A873" t="s">
        <v>929</v>
      </c>
      <c r="B873">
        <v>35</v>
      </c>
      <c r="C873" t="s">
        <v>27</v>
      </c>
      <c r="D873" t="s">
        <v>39</v>
      </c>
      <c r="E873" t="s">
        <v>74</v>
      </c>
      <c r="F873" t="s">
        <v>56</v>
      </c>
      <c r="G873">
        <v>102242</v>
      </c>
      <c r="H873">
        <v>7</v>
      </c>
      <c r="I873">
        <v>12</v>
      </c>
      <c r="J873">
        <v>4</v>
      </c>
      <c r="K873">
        <v>2</v>
      </c>
      <c r="L873">
        <v>1</v>
      </c>
      <c r="M873">
        <v>4</v>
      </c>
      <c r="N873" t="s">
        <v>31</v>
      </c>
      <c r="O873" t="s">
        <v>32</v>
      </c>
      <c r="P873">
        <v>20</v>
      </c>
      <c r="Q873">
        <v>16</v>
      </c>
      <c r="R873">
        <v>3</v>
      </c>
      <c r="S873" t="s">
        <v>31</v>
      </c>
      <c r="T873">
        <v>5</v>
      </c>
      <c r="U873" t="s">
        <v>31</v>
      </c>
      <c r="V873" s="1">
        <v>43344</v>
      </c>
      <c r="X873" s="1" t="str">
        <f t="shared" si="39"/>
        <v>Active</v>
      </c>
      <c r="Y873" t="str">
        <f t="shared" si="40"/>
        <v>26-35</v>
      </c>
      <c r="Z873" t="str">
        <f t="shared" si="41"/>
        <v>6-10 Years</v>
      </c>
    </row>
    <row r="874" spans="1:26" x14ac:dyDescent="0.35">
      <c r="A874" t="s">
        <v>930</v>
      </c>
      <c r="B874">
        <v>49</v>
      </c>
      <c r="C874" t="s">
        <v>27</v>
      </c>
      <c r="D874" t="s">
        <v>28</v>
      </c>
      <c r="E874" t="s">
        <v>66</v>
      </c>
      <c r="F874" t="s">
        <v>41</v>
      </c>
      <c r="G874">
        <v>154074</v>
      </c>
      <c r="H874">
        <v>25</v>
      </c>
      <c r="I874">
        <v>27</v>
      </c>
      <c r="J874">
        <v>5</v>
      </c>
      <c r="K874">
        <v>1</v>
      </c>
      <c r="L874">
        <v>4</v>
      </c>
      <c r="M874">
        <v>1</v>
      </c>
      <c r="N874" t="s">
        <v>31</v>
      </c>
      <c r="O874" t="s">
        <v>32</v>
      </c>
      <c r="P874">
        <v>25</v>
      </c>
      <c r="Q874">
        <v>42</v>
      </c>
      <c r="R874">
        <v>2</v>
      </c>
      <c r="S874" t="s">
        <v>31</v>
      </c>
      <c r="T874">
        <v>3</v>
      </c>
      <c r="U874" t="s">
        <v>31</v>
      </c>
      <c r="V874" s="1">
        <v>44025</v>
      </c>
      <c r="X874" s="1" t="str">
        <f t="shared" si="39"/>
        <v>Active</v>
      </c>
      <c r="Y874" t="str">
        <f t="shared" si="40"/>
        <v>46-55</v>
      </c>
      <c r="Z874" t="str">
        <f t="shared" si="41"/>
        <v>10+ Years</v>
      </c>
    </row>
    <row r="875" spans="1:26" x14ac:dyDescent="0.35">
      <c r="A875" t="s">
        <v>931</v>
      </c>
      <c r="B875">
        <v>31</v>
      </c>
      <c r="C875" t="s">
        <v>44</v>
      </c>
      <c r="D875" t="s">
        <v>49</v>
      </c>
      <c r="E875" t="s">
        <v>50</v>
      </c>
      <c r="F875" t="s">
        <v>56</v>
      </c>
      <c r="G875">
        <v>116839</v>
      </c>
      <c r="H875">
        <v>9</v>
      </c>
      <c r="I875">
        <v>9</v>
      </c>
      <c r="J875">
        <v>5</v>
      </c>
      <c r="K875">
        <v>2</v>
      </c>
      <c r="L875">
        <v>4</v>
      </c>
      <c r="M875">
        <v>1</v>
      </c>
      <c r="N875" t="s">
        <v>31</v>
      </c>
      <c r="O875" t="s">
        <v>47</v>
      </c>
      <c r="P875">
        <v>7</v>
      </c>
      <c r="Q875">
        <v>20</v>
      </c>
      <c r="R875">
        <v>3</v>
      </c>
      <c r="S875" t="s">
        <v>31</v>
      </c>
      <c r="T875">
        <v>9</v>
      </c>
      <c r="U875" t="s">
        <v>31</v>
      </c>
      <c r="V875" s="1">
        <v>43678</v>
      </c>
      <c r="X875" s="1" t="str">
        <f t="shared" si="39"/>
        <v>Active</v>
      </c>
      <c r="Y875" t="str">
        <f t="shared" si="40"/>
        <v>26-35</v>
      </c>
      <c r="Z875" t="str">
        <f t="shared" si="41"/>
        <v>6-10 Years</v>
      </c>
    </row>
    <row r="876" spans="1:26" x14ac:dyDescent="0.35">
      <c r="A876" t="s">
        <v>932</v>
      </c>
      <c r="B876">
        <v>40</v>
      </c>
      <c r="C876" t="s">
        <v>27</v>
      </c>
      <c r="D876" t="s">
        <v>49</v>
      </c>
      <c r="E876" t="s">
        <v>50</v>
      </c>
      <c r="F876" t="s">
        <v>56</v>
      </c>
      <c r="G876">
        <v>56091</v>
      </c>
      <c r="H876">
        <v>1</v>
      </c>
      <c r="I876">
        <v>19</v>
      </c>
      <c r="J876">
        <v>2</v>
      </c>
      <c r="K876">
        <v>1</v>
      </c>
      <c r="L876">
        <v>3</v>
      </c>
      <c r="M876">
        <v>4</v>
      </c>
      <c r="N876" t="s">
        <v>31</v>
      </c>
      <c r="O876" t="s">
        <v>47</v>
      </c>
      <c r="P876">
        <v>21</v>
      </c>
      <c r="Q876">
        <v>16</v>
      </c>
      <c r="R876">
        <v>3</v>
      </c>
      <c r="S876" t="s">
        <v>31</v>
      </c>
      <c r="T876">
        <v>5</v>
      </c>
      <c r="U876" t="s">
        <v>33</v>
      </c>
      <c r="V876" s="1">
        <v>41174</v>
      </c>
      <c r="W876" s="1">
        <v>42076</v>
      </c>
      <c r="X876" s="1" t="str">
        <f t="shared" si="39"/>
        <v>2015-03-13</v>
      </c>
      <c r="Y876" t="str">
        <f t="shared" si="40"/>
        <v>36-45</v>
      </c>
      <c r="Z876" t="str">
        <f t="shared" si="41"/>
        <v>0-1 Year</v>
      </c>
    </row>
    <row r="877" spans="1:26" x14ac:dyDescent="0.35">
      <c r="A877" t="s">
        <v>933</v>
      </c>
      <c r="B877">
        <v>56</v>
      </c>
      <c r="C877" t="s">
        <v>27</v>
      </c>
      <c r="D877" t="s">
        <v>35</v>
      </c>
      <c r="E877" t="s">
        <v>36</v>
      </c>
      <c r="F877" t="s">
        <v>30</v>
      </c>
      <c r="G877">
        <v>148764</v>
      </c>
      <c r="H877">
        <v>24</v>
      </c>
      <c r="I877">
        <v>33</v>
      </c>
      <c r="J877">
        <v>5</v>
      </c>
      <c r="K877">
        <v>4</v>
      </c>
      <c r="L877">
        <v>1</v>
      </c>
      <c r="M877">
        <v>1</v>
      </c>
      <c r="N877" t="s">
        <v>31</v>
      </c>
      <c r="O877" t="s">
        <v>32</v>
      </c>
      <c r="P877">
        <v>10</v>
      </c>
      <c r="Q877">
        <v>54</v>
      </c>
      <c r="R877">
        <v>3</v>
      </c>
      <c r="S877" t="s">
        <v>33</v>
      </c>
      <c r="T877">
        <v>8</v>
      </c>
      <c r="U877" t="s">
        <v>31</v>
      </c>
      <c r="V877" s="1">
        <v>41406</v>
      </c>
      <c r="X877" s="1" t="str">
        <f t="shared" si="39"/>
        <v>Active</v>
      </c>
      <c r="Y877" t="str">
        <f t="shared" si="40"/>
        <v>56+</v>
      </c>
      <c r="Z877" t="str">
        <f t="shared" si="41"/>
        <v>10+ Years</v>
      </c>
    </row>
    <row r="878" spans="1:26" x14ac:dyDescent="0.35">
      <c r="A878" t="s">
        <v>934</v>
      </c>
      <c r="B878">
        <v>53</v>
      </c>
      <c r="C878" t="s">
        <v>44</v>
      </c>
      <c r="D878" t="s">
        <v>52</v>
      </c>
      <c r="E878" t="s">
        <v>55</v>
      </c>
      <c r="F878" t="s">
        <v>41</v>
      </c>
      <c r="G878">
        <v>134031</v>
      </c>
      <c r="H878">
        <v>16</v>
      </c>
      <c r="I878">
        <v>30</v>
      </c>
      <c r="J878">
        <v>5</v>
      </c>
      <c r="K878">
        <v>4</v>
      </c>
      <c r="L878">
        <v>1</v>
      </c>
      <c r="M878">
        <v>2</v>
      </c>
      <c r="N878" t="s">
        <v>33</v>
      </c>
      <c r="O878" t="s">
        <v>42</v>
      </c>
      <c r="P878">
        <v>6</v>
      </c>
      <c r="Q878">
        <v>29</v>
      </c>
      <c r="R878">
        <v>2</v>
      </c>
      <c r="S878" t="s">
        <v>31</v>
      </c>
      <c r="T878">
        <v>6</v>
      </c>
      <c r="U878" t="s">
        <v>31</v>
      </c>
      <c r="V878" s="1">
        <v>41665</v>
      </c>
      <c r="X878" s="1" t="str">
        <f t="shared" si="39"/>
        <v>Active</v>
      </c>
      <c r="Y878" t="str">
        <f t="shared" si="40"/>
        <v>46-55</v>
      </c>
      <c r="Z878" t="str">
        <f t="shared" si="41"/>
        <v>10+ Years</v>
      </c>
    </row>
    <row r="879" spans="1:26" x14ac:dyDescent="0.35">
      <c r="A879" t="s">
        <v>935</v>
      </c>
      <c r="B879">
        <v>52</v>
      </c>
      <c r="C879" t="s">
        <v>27</v>
      </c>
      <c r="D879" t="s">
        <v>49</v>
      </c>
      <c r="E879" t="s">
        <v>68</v>
      </c>
      <c r="F879" t="s">
        <v>56</v>
      </c>
      <c r="G879">
        <v>43069</v>
      </c>
      <c r="H879">
        <v>0</v>
      </c>
      <c r="I879">
        <v>31</v>
      </c>
      <c r="J879">
        <v>1</v>
      </c>
      <c r="K879">
        <v>2</v>
      </c>
      <c r="L879">
        <v>3</v>
      </c>
      <c r="M879">
        <v>3</v>
      </c>
      <c r="N879" t="s">
        <v>31</v>
      </c>
      <c r="O879" t="s">
        <v>32</v>
      </c>
      <c r="P879">
        <v>14</v>
      </c>
      <c r="Q879">
        <v>13</v>
      </c>
      <c r="R879">
        <v>3</v>
      </c>
      <c r="S879" t="s">
        <v>31</v>
      </c>
      <c r="T879">
        <v>4</v>
      </c>
      <c r="U879" t="s">
        <v>31</v>
      </c>
      <c r="V879" s="1">
        <v>44040</v>
      </c>
      <c r="X879" s="1" t="str">
        <f t="shared" si="39"/>
        <v>Active</v>
      </c>
      <c r="Y879" t="str">
        <f t="shared" si="40"/>
        <v>46-55</v>
      </c>
      <c r="Z879" t="str">
        <f t="shared" si="41"/>
        <v>0-1 Year</v>
      </c>
    </row>
    <row r="880" spans="1:26" x14ac:dyDescent="0.35">
      <c r="A880" t="s">
        <v>936</v>
      </c>
      <c r="B880">
        <v>31</v>
      </c>
      <c r="C880" t="s">
        <v>27</v>
      </c>
      <c r="D880" t="s">
        <v>28</v>
      </c>
      <c r="E880" t="s">
        <v>29</v>
      </c>
      <c r="F880" t="s">
        <v>78</v>
      </c>
      <c r="G880">
        <v>78877</v>
      </c>
      <c r="H880">
        <v>4</v>
      </c>
      <c r="I880">
        <v>8</v>
      </c>
      <c r="J880">
        <v>3</v>
      </c>
      <c r="K880">
        <v>4</v>
      </c>
      <c r="L880">
        <v>1</v>
      </c>
      <c r="M880">
        <v>1</v>
      </c>
      <c r="N880" t="s">
        <v>33</v>
      </c>
      <c r="O880" t="s">
        <v>32</v>
      </c>
      <c r="P880">
        <v>1</v>
      </c>
      <c r="Q880">
        <v>12</v>
      </c>
      <c r="R880">
        <v>3</v>
      </c>
      <c r="S880" t="s">
        <v>31</v>
      </c>
      <c r="T880">
        <v>9</v>
      </c>
      <c r="U880" t="s">
        <v>31</v>
      </c>
      <c r="V880" s="1">
        <v>41749</v>
      </c>
      <c r="X880" s="1" t="str">
        <f t="shared" si="39"/>
        <v>Active</v>
      </c>
      <c r="Y880" t="str">
        <f t="shared" si="40"/>
        <v>26-35</v>
      </c>
      <c r="Z880" t="str">
        <f t="shared" si="41"/>
        <v>4-5 Years</v>
      </c>
    </row>
    <row r="881" spans="1:26" x14ac:dyDescent="0.35">
      <c r="A881" t="s">
        <v>937</v>
      </c>
      <c r="B881">
        <v>49</v>
      </c>
      <c r="C881" t="s">
        <v>44</v>
      </c>
      <c r="D881" t="s">
        <v>45</v>
      </c>
      <c r="E881" t="s">
        <v>63</v>
      </c>
      <c r="F881" t="s">
        <v>61</v>
      </c>
      <c r="G881">
        <v>131843</v>
      </c>
      <c r="H881">
        <v>15</v>
      </c>
      <c r="I881">
        <v>25</v>
      </c>
      <c r="J881">
        <v>5</v>
      </c>
      <c r="K881">
        <v>4</v>
      </c>
      <c r="L881">
        <v>4</v>
      </c>
      <c r="M881">
        <v>1</v>
      </c>
      <c r="N881" t="s">
        <v>31</v>
      </c>
      <c r="O881" t="s">
        <v>32</v>
      </c>
      <c r="P881">
        <v>17</v>
      </c>
      <c r="Q881">
        <v>18</v>
      </c>
      <c r="R881">
        <v>3</v>
      </c>
      <c r="S881" t="s">
        <v>31</v>
      </c>
      <c r="T881">
        <v>2</v>
      </c>
      <c r="U881" t="s">
        <v>31</v>
      </c>
      <c r="V881" s="1">
        <v>43224</v>
      </c>
      <c r="X881" s="1" t="str">
        <f t="shared" si="39"/>
        <v>Active</v>
      </c>
      <c r="Y881" t="str">
        <f t="shared" si="40"/>
        <v>46-55</v>
      </c>
      <c r="Z881" t="str">
        <f t="shared" si="41"/>
        <v>10+ Years</v>
      </c>
    </row>
    <row r="882" spans="1:26" x14ac:dyDescent="0.35">
      <c r="A882" t="s">
        <v>938</v>
      </c>
      <c r="B882">
        <v>57</v>
      </c>
      <c r="C882" t="s">
        <v>44</v>
      </c>
      <c r="D882" t="s">
        <v>52</v>
      </c>
      <c r="E882" t="s">
        <v>55</v>
      </c>
      <c r="F882" t="s">
        <v>37</v>
      </c>
      <c r="G882">
        <v>84069</v>
      </c>
      <c r="H882">
        <v>5</v>
      </c>
      <c r="I882">
        <v>33</v>
      </c>
      <c r="J882">
        <v>3</v>
      </c>
      <c r="K882">
        <v>3</v>
      </c>
      <c r="L882">
        <v>3</v>
      </c>
      <c r="M882">
        <v>2</v>
      </c>
      <c r="N882" t="s">
        <v>31</v>
      </c>
      <c r="O882" t="s">
        <v>42</v>
      </c>
      <c r="P882">
        <v>3</v>
      </c>
      <c r="Q882">
        <v>51</v>
      </c>
      <c r="R882">
        <v>3</v>
      </c>
      <c r="S882" t="s">
        <v>31</v>
      </c>
      <c r="T882">
        <v>4</v>
      </c>
      <c r="U882" t="s">
        <v>31</v>
      </c>
      <c r="V882" s="1">
        <v>44716</v>
      </c>
      <c r="X882" s="1" t="str">
        <f t="shared" si="39"/>
        <v>Active</v>
      </c>
      <c r="Y882" t="str">
        <f t="shared" si="40"/>
        <v>56+</v>
      </c>
      <c r="Z882" t="str">
        <f t="shared" si="41"/>
        <v>4-5 Years</v>
      </c>
    </row>
    <row r="883" spans="1:26" x14ac:dyDescent="0.35">
      <c r="A883" t="s">
        <v>939</v>
      </c>
      <c r="B883">
        <v>22</v>
      </c>
      <c r="C883" t="s">
        <v>27</v>
      </c>
      <c r="D883" t="s">
        <v>49</v>
      </c>
      <c r="E883" t="s">
        <v>68</v>
      </c>
      <c r="F883" t="s">
        <v>37</v>
      </c>
      <c r="G883">
        <v>59707</v>
      </c>
      <c r="H883">
        <v>1</v>
      </c>
      <c r="I883">
        <v>1</v>
      </c>
      <c r="J883">
        <v>2</v>
      </c>
      <c r="K883">
        <v>4</v>
      </c>
      <c r="L883">
        <v>4</v>
      </c>
      <c r="M883">
        <v>3</v>
      </c>
      <c r="N883" t="s">
        <v>33</v>
      </c>
      <c r="O883" t="s">
        <v>32</v>
      </c>
      <c r="P883">
        <v>14</v>
      </c>
      <c r="Q883">
        <v>16</v>
      </c>
      <c r="R883">
        <v>3</v>
      </c>
      <c r="S883" t="s">
        <v>31</v>
      </c>
      <c r="T883">
        <v>3</v>
      </c>
      <c r="U883" t="s">
        <v>31</v>
      </c>
      <c r="V883" s="1">
        <v>43649</v>
      </c>
      <c r="X883" s="1" t="str">
        <f t="shared" si="39"/>
        <v>Active</v>
      </c>
      <c r="Y883" t="str">
        <f t="shared" si="40"/>
        <v>18-25</v>
      </c>
      <c r="Z883" t="str">
        <f t="shared" si="41"/>
        <v>0-1 Year</v>
      </c>
    </row>
    <row r="884" spans="1:26" x14ac:dyDescent="0.35">
      <c r="A884" t="s">
        <v>940</v>
      </c>
      <c r="B884">
        <v>55</v>
      </c>
      <c r="C884" t="s">
        <v>27</v>
      </c>
      <c r="D884" t="s">
        <v>39</v>
      </c>
      <c r="E884" t="s">
        <v>40</v>
      </c>
      <c r="F884" t="s">
        <v>37</v>
      </c>
      <c r="G884">
        <v>58734</v>
      </c>
      <c r="H884">
        <v>1</v>
      </c>
      <c r="I884">
        <v>33</v>
      </c>
      <c r="J884">
        <v>2</v>
      </c>
      <c r="K884">
        <v>2</v>
      </c>
      <c r="L884">
        <v>2</v>
      </c>
      <c r="M884">
        <v>2</v>
      </c>
      <c r="N884" t="s">
        <v>31</v>
      </c>
      <c r="O884" t="s">
        <v>32</v>
      </c>
      <c r="P884">
        <v>13</v>
      </c>
      <c r="Q884">
        <v>42</v>
      </c>
      <c r="R884">
        <v>3</v>
      </c>
      <c r="S884" t="s">
        <v>31</v>
      </c>
      <c r="T884">
        <v>7</v>
      </c>
      <c r="U884" t="s">
        <v>31</v>
      </c>
      <c r="V884" s="1">
        <v>43258</v>
      </c>
      <c r="X884" s="1" t="str">
        <f t="shared" si="39"/>
        <v>Active</v>
      </c>
      <c r="Y884" t="str">
        <f t="shared" si="40"/>
        <v>46-55</v>
      </c>
      <c r="Z884" t="str">
        <f t="shared" si="41"/>
        <v>0-1 Year</v>
      </c>
    </row>
    <row r="885" spans="1:26" x14ac:dyDescent="0.35">
      <c r="A885" t="s">
        <v>941</v>
      </c>
      <c r="B885">
        <v>25</v>
      </c>
      <c r="C885" t="s">
        <v>44</v>
      </c>
      <c r="D885" t="s">
        <v>35</v>
      </c>
      <c r="E885" t="s">
        <v>36</v>
      </c>
      <c r="F885" t="s">
        <v>37</v>
      </c>
      <c r="G885">
        <v>79243</v>
      </c>
      <c r="H885">
        <v>3</v>
      </c>
      <c r="I885">
        <v>4</v>
      </c>
      <c r="J885">
        <v>3</v>
      </c>
      <c r="K885">
        <v>2</v>
      </c>
      <c r="L885">
        <v>3</v>
      </c>
      <c r="M885">
        <v>3</v>
      </c>
      <c r="N885" t="s">
        <v>33</v>
      </c>
      <c r="O885" t="s">
        <v>47</v>
      </c>
      <c r="P885">
        <v>7</v>
      </c>
      <c r="Q885">
        <v>43</v>
      </c>
      <c r="R885">
        <v>3</v>
      </c>
      <c r="S885" t="s">
        <v>31</v>
      </c>
      <c r="T885">
        <v>4</v>
      </c>
      <c r="U885" t="s">
        <v>33</v>
      </c>
      <c r="V885" s="1">
        <v>42839</v>
      </c>
      <c r="W885" s="1">
        <v>43360</v>
      </c>
      <c r="X885" s="1" t="str">
        <f t="shared" si="39"/>
        <v>2018-09-17</v>
      </c>
      <c r="Y885" t="str">
        <f t="shared" si="40"/>
        <v>18-25</v>
      </c>
      <c r="Z885" t="str">
        <f t="shared" si="41"/>
        <v>2-3 Years</v>
      </c>
    </row>
    <row r="886" spans="1:26" x14ac:dyDescent="0.35">
      <c r="A886" t="s">
        <v>942</v>
      </c>
      <c r="B886">
        <v>37</v>
      </c>
      <c r="C886" t="s">
        <v>27</v>
      </c>
      <c r="D886" t="s">
        <v>45</v>
      </c>
      <c r="E886" t="s">
        <v>46</v>
      </c>
      <c r="F886" t="s">
        <v>78</v>
      </c>
      <c r="G886">
        <v>39721</v>
      </c>
      <c r="H886">
        <v>1</v>
      </c>
      <c r="I886">
        <v>13</v>
      </c>
      <c r="J886">
        <v>1</v>
      </c>
      <c r="K886">
        <v>2</v>
      </c>
      <c r="L886">
        <v>2</v>
      </c>
      <c r="M886">
        <v>2</v>
      </c>
      <c r="N886" t="s">
        <v>31</v>
      </c>
      <c r="O886" t="s">
        <v>32</v>
      </c>
      <c r="P886">
        <v>12</v>
      </c>
      <c r="Q886">
        <v>41</v>
      </c>
      <c r="R886">
        <v>3</v>
      </c>
      <c r="S886" t="s">
        <v>31</v>
      </c>
      <c r="T886">
        <v>7</v>
      </c>
      <c r="U886" t="s">
        <v>33</v>
      </c>
      <c r="V886" s="1">
        <v>42170</v>
      </c>
      <c r="W886" s="1">
        <v>42291</v>
      </c>
      <c r="X886" s="1" t="str">
        <f t="shared" si="39"/>
        <v>2015-10-14</v>
      </c>
      <c r="Y886" t="str">
        <f t="shared" si="40"/>
        <v>36-45</v>
      </c>
      <c r="Z886" t="str">
        <f t="shared" si="41"/>
        <v>0-1 Year</v>
      </c>
    </row>
    <row r="887" spans="1:26" x14ac:dyDescent="0.35">
      <c r="A887" t="s">
        <v>943</v>
      </c>
      <c r="B887">
        <v>44</v>
      </c>
      <c r="C887" t="s">
        <v>27</v>
      </c>
      <c r="D887" t="s">
        <v>49</v>
      </c>
      <c r="E887" t="s">
        <v>50</v>
      </c>
      <c r="F887" t="s">
        <v>78</v>
      </c>
      <c r="G887">
        <v>137787</v>
      </c>
      <c r="H887">
        <v>18</v>
      </c>
      <c r="I887">
        <v>20</v>
      </c>
      <c r="J887">
        <v>5</v>
      </c>
      <c r="K887">
        <v>2</v>
      </c>
      <c r="L887">
        <v>4</v>
      </c>
      <c r="M887">
        <v>1</v>
      </c>
      <c r="N887" t="s">
        <v>31</v>
      </c>
      <c r="O887" t="s">
        <v>32</v>
      </c>
      <c r="P887">
        <v>29</v>
      </c>
      <c r="Q887">
        <v>16</v>
      </c>
      <c r="R887">
        <v>3</v>
      </c>
      <c r="S887" t="s">
        <v>33</v>
      </c>
      <c r="T887">
        <v>6</v>
      </c>
      <c r="U887" t="s">
        <v>31</v>
      </c>
      <c r="V887" s="1">
        <v>41236</v>
      </c>
      <c r="X887" s="1" t="str">
        <f t="shared" si="39"/>
        <v>Active</v>
      </c>
      <c r="Y887" t="str">
        <f t="shared" si="40"/>
        <v>36-45</v>
      </c>
      <c r="Z887" t="str">
        <f t="shared" si="41"/>
        <v>10+ Years</v>
      </c>
    </row>
    <row r="888" spans="1:26" x14ac:dyDescent="0.35">
      <c r="A888" t="s">
        <v>944</v>
      </c>
      <c r="B888">
        <v>52</v>
      </c>
      <c r="C888" t="s">
        <v>44</v>
      </c>
      <c r="D888" t="s">
        <v>49</v>
      </c>
      <c r="E888" t="s">
        <v>68</v>
      </c>
      <c r="F888" t="s">
        <v>41</v>
      </c>
      <c r="G888">
        <v>156033</v>
      </c>
      <c r="H888">
        <v>27</v>
      </c>
      <c r="I888">
        <v>30</v>
      </c>
      <c r="J888">
        <v>5</v>
      </c>
      <c r="K888">
        <v>3</v>
      </c>
      <c r="L888">
        <v>2</v>
      </c>
      <c r="M888">
        <v>1</v>
      </c>
      <c r="N888" t="s">
        <v>31</v>
      </c>
      <c r="O888" t="s">
        <v>47</v>
      </c>
      <c r="P888">
        <v>7</v>
      </c>
      <c r="Q888">
        <v>59</v>
      </c>
      <c r="R888">
        <v>3</v>
      </c>
      <c r="S888" t="s">
        <v>31</v>
      </c>
      <c r="T888">
        <v>5</v>
      </c>
      <c r="U888" t="s">
        <v>31</v>
      </c>
      <c r="V888" s="1">
        <v>44330</v>
      </c>
      <c r="X888" s="1" t="str">
        <f t="shared" si="39"/>
        <v>Active</v>
      </c>
      <c r="Y888" t="str">
        <f t="shared" si="40"/>
        <v>46-55</v>
      </c>
      <c r="Z888" t="str">
        <f t="shared" si="41"/>
        <v>10+ Years</v>
      </c>
    </row>
    <row r="889" spans="1:26" x14ac:dyDescent="0.35">
      <c r="A889" t="s">
        <v>945</v>
      </c>
      <c r="B889">
        <v>32</v>
      </c>
      <c r="C889" t="s">
        <v>27</v>
      </c>
      <c r="D889" t="s">
        <v>28</v>
      </c>
      <c r="E889" t="s">
        <v>29</v>
      </c>
      <c r="F889" t="s">
        <v>78</v>
      </c>
      <c r="G889">
        <v>101961</v>
      </c>
      <c r="H889">
        <v>8</v>
      </c>
      <c r="I889">
        <v>10</v>
      </c>
      <c r="J889">
        <v>4</v>
      </c>
      <c r="K889">
        <v>1</v>
      </c>
      <c r="L889">
        <v>1</v>
      </c>
      <c r="M889">
        <v>2</v>
      </c>
      <c r="N889" t="s">
        <v>31</v>
      </c>
      <c r="O889" t="s">
        <v>32</v>
      </c>
      <c r="P889">
        <v>20</v>
      </c>
      <c r="Q889">
        <v>32</v>
      </c>
      <c r="R889">
        <v>2</v>
      </c>
      <c r="S889" t="s">
        <v>31</v>
      </c>
      <c r="T889">
        <v>5</v>
      </c>
      <c r="U889" t="s">
        <v>31</v>
      </c>
      <c r="V889" s="1">
        <v>41455</v>
      </c>
      <c r="X889" s="1" t="str">
        <f t="shared" si="39"/>
        <v>Active</v>
      </c>
      <c r="Y889" t="str">
        <f t="shared" si="40"/>
        <v>26-35</v>
      </c>
      <c r="Z889" t="str">
        <f t="shared" si="41"/>
        <v>6-10 Years</v>
      </c>
    </row>
    <row r="890" spans="1:26" x14ac:dyDescent="0.35">
      <c r="A890" t="s">
        <v>946</v>
      </c>
      <c r="B890">
        <v>38</v>
      </c>
      <c r="C890" t="s">
        <v>44</v>
      </c>
      <c r="D890" t="s">
        <v>49</v>
      </c>
      <c r="E890" t="s">
        <v>50</v>
      </c>
      <c r="F890" t="s">
        <v>61</v>
      </c>
      <c r="G890">
        <v>40121</v>
      </c>
      <c r="H890">
        <v>0</v>
      </c>
      <c r="I890">
        <v>15</v>
      </c>
      <c r="J890">
        <v>1</v>
      </c>
      <c r="K890">
        <v>3</v>
      </c>
      <c r="L890">
        <v>3</v>
      </c>
      <c r="M890">
        <v>3</v>
      </c>
      <c r="N890" t="s">
        <v>33</v>
      </c>
      <c r="O890" t="s">
        <v>42</v>
      </c>
      <c r="P890">
        <v>29</v>
      </c>
      <c r="Q890">
        <v>35</v>
      </c>
      <c r="R890">
        <v>3</v>
      </c>
      <c r="S890" t="s">
        <v>31</v>
      </c>
      <c r="T890">
        <v>2</v>
      </c>
      <c r="U890" t="s">
        <v>31</v>
      </c>
      <c r="V890" s="1">
        <v>43899</v>
      </c>
      <c r="X890" s="1" t="str">
        <f t="shared" si="39"/>
        <v>Active</v>
      </c>
      <c r="Y890" t="str">
        <f t="shared" si="40"/>
        <v>36-45</v>
      </c>
      <c r="Z890" t="str">
        <f t="shared" si="41"/>
        <v>0-1 Year</v>
      </c>
    </row>
    <row r="891" spans="1:26" x14ac:dyDescent="0.35">
      <c r="A891" t="s">
        <v>947</v>
      </c>
      <c r="B891">
        <v>41</v>
      </c>
      <c r="C891" t="s">
        <v>44</v>
      </c>
      <c r="D891" t="s">
        <v>28</v>
      </c>
      <c r="E891" t="s">
        <v>29</v>
      </c>
      <c r="F891" t="s">
        <v>61</v>
      </c>
      <c r="G891">
        <v>102570</v>
      </c>
      <c r="H891">
        <v>9</v>
      </c>
      <c r="I891">
        <v>20</v>
      </c>
      <c r="J891">
        <v>4</v>
      </c>
      <c r="K891">
        <v>2</v>
      </c>
      <c r="L891">
        <v>4</v>
      </c>
      <c r="M891">
        <v>3</v>
      </c>
      <c r="N891" t="s">
        <v>31</v>
      </c>
      <c r="O891" t="s">
        <v>42</v>
      </c>
      <c r="P891">
        <v>13</v>
      </c>
      <c r="Q891">
        <v>36</v>
      </c>
      <c r="R891">
        <v>4</v>
      </c>
      <c r="S891" t="s">
        <v>31</v>
      </c>
      <c r="T891">
        <v>8</v>
      </c>
      <c r="U891" t="s">
        <v>31</v>
      </c>
      <c r="V891" s="1">
        <v>41318</v>
      </c>
      <c r="X891" s="1" t="str">
        <f t="shared" si="39"/>
        <v>Active</v>
      </c>
      <c r="Y891" t="str">
        <f t="shared" si="40"/>
        <v>36-45</v>
      </c>
      <c r="Z891" t="str">
        <f t="shared" si="41"/>
        <v>6-10 Years</v>
      </c>
    </row>
    <row r="892" spans="1:26" x14ac:dyDescent="0.35">
      <c r="A892" t="s">
        <v>948</v>
      </c>
      <c r="B892">
        <v>28</v>
      </c>
      <c r="C892" t="s">
        <v>27</v>
      </c>
      <c r="D892" t="s">
        <v>35</v>
      </c>
      <c r="E892" t="s">
        <v>36</v>
      </c>
      <c r="F892" t="s">
        <v>41</v>
      </c>
      <c r="G892">
        <v>37601</v>
      </c>
      <c r="H892">
        <v>0</v>
      </c>
      <c r="I892">
        <v>4</v>
      </c>
      <c r="J892">
        <v>1</v>
      </c>
      <c r="K892">
        <v>4</v>
      </c>
      <c r="L892">
        <v>3</v>
      </c>
      <c r="M892">
        <v>4</v>
      </c>
      <c r="N892" t="s">
        <v>33</v>
      </c>
      <c r="O892" t="s">
        <v>32</v>
      </c>
      <c r="P892">
        <v>22</v>
      </c>
      <c r="Q892">
        <v>26</v>
      </c>
      <c r="R892">
        <v>2</v>
      </c>
      <c r="S892" t="s">
        <v>31</v>
      </c>
      <c r="T892">
        <v>5</v>
      </c>
      <c r="U892" t="s">
        <v>31</v>
      </c>
      <c r="V892" s="1">
        <v>44734</v>
      </c>
      <c r="X892" s="1" t="str">
        <f t="shared" si="39"/>
        <v>Active</v>
      </c>
      <c r="Y892" t="str">
        <f t="shared" si="40"/>
        <v>26-35</v>
      </c>
      <c r="Z892" t="str">
        <f t="shared" si="41"/>
        <v>0-1 Year</v>
      </c>
    </row>
    <row r="893" spans="1:26" x14ac:dyDescent="0.35">
      <c r="A893" t="s">
        <v>949</v>
      </c>
      <c r="B893">
        <v>45</v>
      </c>
      <c r="C893" t="s">
        <v>44</v>
      </c>
      <c r="D893" t="s">
        <v>28</v>
      </c>
      <c r="E893" t="s">
        <v>29</v>
      </c>
      <c r="F893" t="s">
        <v>41</v>
      </c>
      <c r="G893">
        <v>64970</v>
      </c>
      <c r="H893">
        <v>5</v>
      </c>
      <c r="I893">
        <v>22</v>
      </c>
      <c r="J893">
        <v>2</v>
      </c>
      <c r="K893">
        <v>4</v>
      </c>
      <c r="L893">
        <v>3</v>
      </c>
      <c r="M893">
        <v>1</v>
      </c>
      <c r="N893" t="s">
        <v>33</v>
      </c>
      <c r="O893" t="s">
        <v>32</v>
      </c>
      <c r="P893">
        <v>16</v>
      </c>
      <c r="Q893">
        <v>44</v>
      </c>
      <c r="R893">
        <v>3</v>
      </c>
      <c r="S893" t="s">
        <v>31</v>
      </c>
      <c r="T893">
        <v>11</v>
      </c>
      <c r="U893" t="s">
        <v>31</v>
      </c>
      <c r="V893" s="1">
        <v>42897</v>
      </c>
      <c r="X893" s="1" t="str">
        <f t="shared" si="39"/>
        <v>Active</v>
      </c>
      <c r="Y893" t="str">
        <f t="shared" si="40"/>
        <v>36-45</v>
      </c>
      <c r="Z893" t="str">
        <f t="shared" si="41"/>
        <v>4-5 Years</v>
      </c>
    </row>
    <row r="894" spans="1:26" x14ac:dyDescent="0.35">
      <c r="A894" t="s">
        <v>950</v>
      </c>
      <c r="B894">
        <v>31</v>
      </c>
      <c r="C894" t="s">
        <v>27</v>
      </c>
      <c r="D894" t="s">
        <v>45</v>
      </c>
      <c r="E894" t="s">
        <v>46</v>
      </c>
      <c r="F894" t="s">
        <v>56</v>
      </c>
      <c r="G894">
        <v>42076</v>
      </c>
      <c r="H894">
        <v>2</v>
      </c>
      <c r="I894">
        <v>9</v>
      </c>
      <c r="J894">
        <v>1</v>
      </c>
      <c r="K894">
        <v>4</v>
      </c>
      <c r="L894">
        <v>4</v>
      </c>
      <c r="M894">
        <v>2</v>
      </c>
      <c r="N894" t="s">
        <v>31</v>
      </c>
      <c r="O894" t="s">
        <v>42</v>
      </c>
      <c r="P894">
        <v>22</v>
      </c>
      <c r="Q894">
        <v>20</v>
      </c>
      <c r="R894">
        <v>4</v>
      </c>
      <c r="S894" t="s">
        <v>31</v>
      </c>
      <c r="T894">
        <v>3</v>
      </c>
      <c r="U894" t="s">
        <v>33</v>
      </c>
      <c r="V894" s="1">
        <v>44631</v>
      </c>
      <c r="W894" s="1">
        <v>45297</v>
      </c>
      <c r="X894" s="1" t="str">
        <f t="shared" si="39"/>
        <v>2024-01-06</v>
      </c>
      <c r="Y894" t="str">
        <f t="shared" si="40"/>
        <v>26-35</v>
      </c>
      <c r="Z894" t="str">
        <f t="shared" si="41"/>
        <v>2-3 Years</v>
      </c>
    </row>
    <row r="895" spans="1:26" x14ac:dyDescent="0.35">
      <c r="A895" t="s">
        <v>951</v>
      </c>
      <c r="B895">
        <v>40</v>
      </c>
      <c r="C895" t="s">
        <v>44</v>
      </c>
      <c r="D895" t="s">
        <v>28</v>
      </c>
      <c r="E895" t="s">
        <v>66</v>
      </c>
      <c r="F895" t="s">
        <v>56</v>
      </c>
      <c r="G895">
        <v>107261</v>
      </c>
      <c r="H895">
        <v>10</v>
      </c>
      <c r="I895">
        <v>18</v>
      </c>
      <c r="J895">
        <v>4</v>
      </c>
      <c r="K895">
        <v>4</v>
      </c>
      <c r="L895">
        <v>4</v>
      </c>
      <c r="M895">
        <v>4</v>
      </c>
      <c r="N895" t="s">
        <v>31</v>
      </c>
      <c r="O895" t="s">
        <v>32</v>
      </c>
      <c r="P895">
        <v>20</v>
      </c>
      <c r="Q895">
        <v>31</v>
      </c>
      <c r="R895">
        <v>3</v>
      </c>
      <c r="S895" t="s">
        <v>31</v>
      </c>
      <c r="T895">
        <v>9</v>
      </c>
      <c r="U895" t="s">
        <v>31</v>
      </c>
      <c r="V895" s="1">
        <v>43552</v>
      </c>
      <c r="X895" s="1" t="str">
        <f t="shared" si="39"/>
        <v>Active</v>
      </c>
      <c r="Y895" t="str">
        <f t="shared" si="40"/>
        <v>36-45</v>
      </c>
      <c r="Z895" t="str">
        <f t="shared" si="41"/>
        <v>6-10 Years</v>
      </c>
    </row>
    <row r="896" spans="1:26" x14ac:dyDescent="0.35">
      <c r="A896" t="s">
        <v>952</v>
      </c>
      <c r="B896">
        <v>41</v>
      </c>
      <c r="C896" t="s">
        <v>44</v>
      </c>
      <c r="D896" t="s">
        <v>28</v>
      </c>
      <c r="E896" t="s">
        <v>29</v>
      </c>
      <c r="F896" t="s">
        <v>30</v>
      </c>
      <c r="G896">
        <v>134015</v>
      </c>
      <c r="H896">
        <v>15</v>
      </c>
      <c r="I896">
        <v>19</v>
      </c>
      <c r="J896">
        <v>5</v>
      </c>
      <c r="K896">
        <v>3</v>
      </c>
      <c r="L896">
        <v>4</v>
      </c>
      <c r="M896">
        <v>4</v>
      </c>
      <c r="N896" t="s">
        <v>33</v>
      </c>
      <c r="O896" t="s">
        <v>32</v>
      </c>
      <c r="P896">
        <v>23</v>
      </c>
      <c r="Q896">
        <v>19</v>
      </c>
      <c r="R896">
        <v>2</v>
      </c>
      <c r="S896" t="s">
        <v>31</v>
      </c>
      <c r="T896">
        <v>5</v>
      </c>
      <c r="U896" t="s">
        <v>31</v>
      </c>
      <c r="V896" s="1">
        <v>42023</v>
      </c>
      <c r="X896" s="1" t="str">
        <f t="shared" si="39"/>
        <v>Active</v>
      </c>
      <c r="Y896" t="str">
        <f t="shared" si="40"/>
        <v>36-45</v>
      </c>
      <c r="Z896" t="str">
        <f t="shared" si="41"/>
        <v>10+ Years</v>
      </c>
    </row>
    <row r="897" spans="1:26" x14ac:dyDescent="0.35">
      <c r="A897" t="s">
        <v>953</v>
      </c>
      <c r="B897">
        <v>57</v>
      </c>
      <c r="C897" t="s">
        <v>44</v>
      </c>
      <c r="D897" t="s">
        <v>28</v>
      </c>
      <c r="E897" t="s">
        <v>66</v>
      </c>
      <c r="F897" t="s">
        <v>41</v>
      </c>
      <c r="G897">
        <v>62984</v>
      </c>
      <c r="H897">
        <v>2</v>
      </c>
      <c r="I897">
        <v>33</v>
      </c>
      <c r="J897">
        <v>2</v>
      </c>
      <c r="K897">
        <v>3</v>
      </c>
      <c r="L897">
        <v>4</v>
      </c>
      <c r="M897">
        <v>2</v>
      </c>
      <c r="N897" t="s">
        <v>31</v>
      </c>
      <c r="O897" t="s">
        <v>47</v>
      </c>
      <c r="P897">
        <v>13</v>
      </c>
      <c r="Q897">
        <v>26</v>
      </c>
      <c r="R897">
        <v>3</v>
      </c>
      <c r="S897" t="s">
        <v>31</v>
      </c>
      <c r="T897">
        <v>5</v>
      </c>
      <c r="U897" t="s">
        <v>33</v>
      </c>
      <c r="V897" s="1">
        <v>41261</v>
      </c>
      <c r="W897" s="1">
        <v>41476</v>
      </c>
      <c r="X897" s="1" t="str">
        <f t="shared" si="39"/>
        <v>2013-07-21</v>
      </c>
      <c r="Y897" t="str">
        <f t="shared" si="40"/>
        <v>56+</v>
      </c>
      <c r="Z897" t="str">
        <f t="shared" si="41"/>
        <v>2-3 Years</v>
      </c>
    </row>
    <row r="898" spans="1:26" x14ac:dyDescent="0.35">
      <c r="A898" t="s">
        <v>954</v>
      </c>
      <c r="B898">
        <v>34</v>
      </c>
      <c r="C898" t="s">
        <v>27</v>
      </c>
      <c r="D898" t="s">
        <v>28</v>
      </c>
      <c r="E898" t="s">
        <v>66</v>
      </c>
      <c r="F898" t="s">
        <v>78</v>
      </c>
      <c r="G898">
        <v>103820</v>
      </c>
      <c r="H898">
        <v>7</v>
      </c>
      <c r="I898">
        <v>10</v>
      </c>
      <c r="J898">
        <v>4</v>
      </c>
      <c r="K898">
        <v>4</v>
      </c>
      <c r="L898">
        <v>3</v>
      </c>
      <c r="M898">
        <v>1</v>
      </c>
      <c r="N898" t="s">
        <v>33</v>
      </c>
      <c r="O898" t="s">
        <v>47</v>
      </c>
      <c r="P898">
        <v>25</v>
      </c>
      <c r="Q898">
        <v>50</v>
      </c>
      <c r="R898">
        <v>3</v>
      </c>
      <c r="S898" t="s">
        <v>31</v>
      </c>
      <c r="T898">
        <v>8</v>
      </c>
      <c r="U898" t="s">
        <v>31</v>
      </c>
      <c r="V898" s="1">
        <v>41223</v>
      </c>
      <c r="X898" s="1" t="str">
        <f t="shared" si="39"/>
        <v>Active</v>
      </c>
      <c r="Y898" t="str">
        <f t="shared" si="40"/>
        <v>26-35</v>
      </c>
      <c r="Z898" t="str">
        <f t="shared" si="41"/>
        <v>6-10 Years</v>
      </c>
    </row>
    <row r="899" spans="1:26" x14ac:dyDescent="0.35">
      <c r="A899" t="s">
        <v>955</v>
      </c>
      <c r="B899">
        <v>55</v>
      </c>
      <c r="C899" t="s">
        <v>27</v>
      </c>
      <c r="D899" t="s">
        <v>45</v>
      </c>
      <c r="E899" t="s">
        <v>63</v>
      </c>
      <c r="F899" t="s">
        <v>30</v>
      </c>
      <c r="G899">
        <v>155630</v>
      </c>
      <c r="H899">
        <v>26</v>
      </c>
      <c r="I899">
        <v>31</v>
      </c>
      <c r="J899">
        <v>5</v>
      </c>
      <c r="K899">
        <v>2</v>
      </c>
      <c r="L899">
        <v>3</v>
      </c>
      <c r="M899">
        <v>2</v>
      </c>
      <c r="N899" t="s">
        <v>33</v>
      </c>
      <c r="O899" t="s">
        <v>32</v>
      </c>
      <c r="P899">
        <v>21</v>
      </c>
      <c r="Q899">
        <v>50</v>
      </c>
      <c r="R899">
        <v>3</v>
      </c>
      <c r="S899" t="s">
        <v>31</v>
      </c>
      <c r="T899">
        <v>8</v>
      </c>
      <c r="U899" t="s">
        <v>31</v>
      </c>
      <c r="V899" s="1">
        <v>44555</v>
      </c>
      <c r="X899" s="1" t="str">
        <f t="shared" ref="X899:X962" si="42">IF(ISBLANK(W899), "Active", TEXT(W899, "yyyy-mm-dd"))</f>
        <v>Active</v>
      </c>
      <c r="Y899" t="str">
        <f t="shared" ref="Y899:Y962" si="43">_xlfn.IFS(B899&lt;=25, "18-25", B899&lt;=35, "26-35", B899&lt;=45, "36-45", B899&lt;=55, "46-55", B899&gt;55, "56+")</f>
        <v>46-55</v>
      </c>
      <c r="Z899" t="str">
        <f t="shared" ref="Z899:Z962" si="44">_xlfn.IFS(H899&lt;=1, "0-1 Year", H899&lt;=3, "2-3 Years", H899&lt;=5, "4-5 Years", H899&lt;=10, "6-10 Years", H899&gt;10, "10+ Years")</f>
        <v>10+ Years</v>
      </c>
    </row>
    <row r="900" spans="1:26" x14ac:dyDescent="0.35">
      <c r="A900" t="s">
        <v>956</v>
      </c>
      <c r="B900">
        <v>42</v>
      </c>
      <c r="C900" t="s">
        <v>27</v>
      </c>
      <c r="D900" t="s">
        <v>35</v>
      </c>
      <c r="E900" t="s">
        <v>85</v>
      </c>
      <c r="F900" t="s">
        <v>41</v>
      </c>
      <c r="G900">
        <v>99365</v>
      </c>
      <c r="H900">
        <v>7</v>
      </c>
      <c r="I900">
        <v>18</v>
      </c>
      <c r="J900">
        <v>4</v>
      </c>
      <c r="K900">
        <v>3</v>
      </c>
      <c r="L900">
        <v>2</v>
      </c>
      <c r="M900">
        <v>2</v>
      </c>
      <c r="N900" t="s">
        <v>31</v>
      </c>
      <c r="O900" t="s">
        <v>32</v>
      </c>
      <c r="P900">
        <v>9</v>
      </c>
      <c r="Q900">
        <v>54</v>
      </c>
      <c r="R900">
        <v>3</v>
      </c>
      <c r="S900" t="s">
        <v>31</v>
      </c>
      <c r="T900">
        <v>7</v>
      </c>
      <c r="U900" t="s">
        <v>31</v>
      </c>
      <c r="V900" s="1">
        <v>41796</v>
      </c>
      <c r="X900" s="1" t="str">
        <f t="shared" si="42"/>
        <v>Active</v>
      </c>
      <c r="Y900" t="str">
        <f t="shared" si="43"/>
        <v>36-45</v>
      </c>
      <c r="Z900" t="str">
        <f t="shared" si="44"/>
        <v>6-10 Years</v>
      </c>
    </row>
    <row r="901" spans="1:26" x14ac:dyDescent="0.35">
      <c r="A901" t="s">
        <v>957</v>
      </c>
      <c r="B901">
        <v>38</v>
      </c>
      <c r="C901" t="s">
        <v>44</v>
      </c>
      <c r="D901" t="s">
        <v>35</v>
      </c>
      <c r="E901" t="s">
        <v>36</v>
      </c>
      <c r="F901" t="s">
        <v>30</v>
      </c>
      <c r="G901">
        <v>124269</v>
      </c>
      <c r="H901">
        <v>11</v>
      </c>
      <c r="I901">
        <v>17</v>
      </c>
      <c r="J901">
        <v>5</v>
      </c>
      <c r="K901">
        <v>1</v>
      </c>
      <c r="L901">
        <v>1</v>
      </c>
      <c r="M901">
        <v>1</v>
      </c>
      <c r="N901" t="s">
        <v>31</v>
      </c>
      <c r="O901" t="s">
        <v>32</v>
      </c>
      <c r="P901">
        <v>1</v>
      </c>
      <c r="Q901">
        <v>48</v>
      </c>
      <c r="R901">
        <v>3</v>
      </c>
      <c r="S901" t="s">
        <v>33</v>
      </c>
      <c r="T901">
        <v>5</v>
      </c>
      <c r="U901" t="s">
        <v>31</v>
      </c>
      <c r="V901" s="1">
        <v>42146</v>
      </c>
      <c r="X901" s="1" t="str">
        <f t="shared" si="42"/>
        <v>Active</v>
      </c>
      <c r="Y901" t="str">
        <f t="shared" si="43"/>
        <v>36-45</v>
      </c>
      <c r="Z901" t="str">
        <f t="shared" si="44"/>
        <v>10+ Years</v>
      </c>
    </row>
    <row r="902" spans="1:26" x14ac:dyDescent="0.35">
      <c r="A902" t="s">
        <v>958</v>
      </c>
      <c r="B902">
        <v>27</v>
      </c>
      <c r="C902" t="s">
        <v>44</v>
      </c>
      <c r="D902" t="s">
        <v>35</v>
      </c>
      <c r="E902" t="s">
        <v>85</v>
      </c>
      <c r="F902" t="s">
        <v>56</v>
      </c>
      <c r="G902">
        <v>56619</v>
      </c>
      <c r="H902">
        <v>0</v>
      </c>
      <c r="I902">
        <v>4</v>
      </c>
      <c r="J902">
        <v>2</v>
      </c>
      <c r="K902">
        <v>2</v>
      </c>
      <c r="L902">
        <v>3</v>
      </c>
      <c r="M902">
        <v>4</v>
      </c>
      <c r="N902" t="s">
        <v>31</v>
      </c>
      <c r="O902" t="s">
        <v>32</v>
      </c>
      <c r="P902">
        <v>21</v>
      </c>
      <c r="Q902">
        <v>10</v>
      </c>
      <c r="R902">
        <v>3</v>
      </c>
      <c r="S902" t="s">
        <v>31</v>
      </c>
      <c r="T902">
        <v>3</v>
      </c>
      <c r="U902" t="s">
        <v>31</v>
      </c>
      <c r="V902" s="1">
        <v>42285</v>
      </c>
      <c r="X902" s="1" t="str">
        <f t="shared" si="42"/>
        <v>Active</v>
      </c>
      <c r="Y902" t="str">
        <f t="shared" si="43"/>
        <v>26-35</v>
      </c>
      <c r="Z902" t="str">
        <f t="shared" si="44"/>
        <v>0-1 Year</v>
      </c>
    </row>
    <row r="903" spans="1:26" x14ac:dyDescent="0.35">
      <c r="A903" t="s">
        <v>959</v>
      </c>
      <c r="B903">
        <v>32</v>
      </c>
      <c r="C903" t="s">
        <v>44</v>
      </c>
      <c r="D903" t="s">
        <v>35</v>
      </c>
      <c r="E903" t="s">
        <v>36</v>
      </c>
      <c r="F903" t="s">
        <v>78</v>
      </c>
      <c r="G903">
        <v>66409</v>
      </c>
      <c r="H903">
        <v>5</v>
      </c>
      <c r="I903">
        <v>9</v>
      </c>
      <c r="J903">
        <v>2</v>
      </c>
      <c r="K903">
        <v>4</v>
      </c>
      <c r="L903">
        <v>4</v>
      </c>
      <c r="M903">
        <v>4</v>
      </c>
      <c r="N903" t="s">
        <v>31</v>
      </c>
      <c r="O903" t="s">
        <v>32</v>
      </c>
      <c r="P903">
        <v>9</v>
      </c>
      <c r="Q903">
        <v>44</v>
      </c>
      <c r="R903">
        <v>3</v>
      </c>
      <c r="S903" t="s">
        <v>33</v>
      </c>
      <c r="T903">
        <v>3</v>
      </c>
      <c r="U903" t="s">
        <v>31</v>
      </c>
      <c r="V903" s="1">
        <v>41776</v>
      </c>
      <c r="X903" s="1" t="str">
        <f t="shared" si="42"/>
        <v>Active</v>
      </c>
      <c r="Y903" t="str">
        <f t="shared" si="43"/>
        <v>26-35</v>
      </c>
      <c r="Z903" t="str">
        <f t="shared" si="44"/>
        <v>4-5 Years</v>
      </c>
    </row>
    <row r="904" spans="1:26" x14ac:dyDescent="0.35">
      <c r="A904" t="s">
        <v>960</v>
      </c>
      <c r="B904">
        <v>31</v>
      </c>
      <c r="C904" t="s">
        <v>44</v>
      </c>
      <c r="D904" t="s">
        <v>35</v>
      </c>
      <c r="E904" t="s">
        <v>36</v>
      </c>
      <c r="F904" t="s">
        <v>78</v>
      </c>
      <c r="G904">
        <v>101381</v>
      </c>
      <c r="H904">
        <v>8</v>
      </c>
      <c r="I904">
        <v>8</v>
      </c>
      <c r="J904">
        <v>4</v>
      </c>
      <c r="K904">
        <v>3</v>
      </c>
      <c r="L904">
        <v>4</v>
      </c>
      <c r="M904">
        <v>1</v>
      </c>
      <c r="N904" t="s">
        <v>31</v>
      </c>
      <c r="O904" t="s">
        <v>32</v>
      </c>
      <c r="P904">
        <v>25</v>
      </c>
      <c r="Q904">
        <v>53</v>
      </c>
      <c r="R904">
        <v>3</v>
      </c>
      <c r="S904" t="s">
        <v>33</v>
      </c>
      <c r="T904">
        <v>6</v>
      </c>
      <c r="U904" t="s">
        <v>31</v>
      </c>
      <c r="V904" s="1">
        <v>44138</v>
      </c>
      <c r="X904" s="1" t="str">
        <f t="shared" si="42"/>
        <v>Active</v>
      </c>
      <c r="Y904" t="str">
        <f t="shared" si="43"/>
        <v>26-35</v>
      </c>
      <c r="Z904" t="str">
        <f t="shared" si="44"/>
        <v>6-10 Years</v>
      </c>
    </row>
    <row r="905" spans="1:26" x14ac:dyDescent="0.35">
      <c r="A905" t="s">
        <v>961</v>
      </c>
      <c r="B905">
        <v>49</v>
      </c>
      <c r="C905" t="s">
        <v>27</v>
      </c>
      <c r="D905" t="s">
        <v>52</v>
      </c>
      <c r="E905" t="s">
        <v>53</v>
      </c>
      <c r="F905" t="s">
        <v>78</v>
      </c>
      <c r="G905">
        <v>64539</v>
      </c>
      <c r="H905">
        <v>3</v>
      </c>
      <c r="I905">
        <v>25</v>
      </c>
      <c r="J905">
        <v>2</v>
      </c>
      <c r="K905">
        <v>1</v>
      </c>
      <c r="L905">
        <v>2</v>
      </c>
      <c r="M905">
        <v>4</v>
      </c>
      <c r="N905" t="s">
        <v>31</v>
      </c>
      <c r="O905" t="s">
        <v>32</v>
      </c>
      <c r="P905">
        <v>13</v>
      </c>
      <c r="Q905">
        <v>11</v>
      </c>
      <c r="R905">
        <v>4</v>
      </c>
      <c r="S905" t="s">
        <v>31</v>
      </c>
      <c r="T905">
        <v>4</v>
      </c>
      <c r="U905" t="s">
        <v>31</v>
      </c>
      <c r="V905" s="1">
        <v>43989</v>
      </c>
      <c r="X905" s="1" t="str">
        <f t="shared" si="42"/>
        <v>Active</v>
      </c>
      <c r="Y905" t="str">
        <f t="shared" si="43"/>
        <v>46-55</v>
      </c>
      <c r="Z905" t="str">
        <f t="shared" si="44"/>
        <v>2-3 Years</v>
      </c>
    </row>
    <row r="906" spans="1:26" x14ac:dyDescent="0.35">
      <c r="A906" t="s">
        <v>962</v>
      </c>
      <c r="B906">
        <v>49</v>
      </c>
      <c r="C906" t="s">
        <v>27</v>
      </c>
      <c r="D906" t="s">
        <v>35</v>
      </c>
      <c r="E906" t="s">
        <v>36</v>
      </c>
      <c r="F906" t="s">
        <v>37</v>
      </c>
      <c r="G906">
        <v>143289</v>
      </c>
      <c r="H906">
        <v>22</v>
      </c>
      <c r="I906">
        <v>27</v>
      </c>
      <c r="J906">
        <v>5</v>
      </c>
      <c r="K906">
        <v>2</v>
      </c>
      <c r="L906">
        <v>1</v>
      </c>
      <c r="M906">
        <v>2</v>
      </c>
      <c r="N906" t="s">
        <v>31</v>
      </c>
      <c r="O906" t="s">
        <v>32</v>
      </c>
      <c r="P906">
        <v>7</v>
      </c>
      <c r="Q906">
        <v>38</v>
      </c>
      <c r="R906">
        <v>3</v>
      </c>
      <c r="S906" t="s">
        <v>31</v>
      </c>
      <c r="T906">
        <v>6</v>
      </c>
      <c r="U906" t="s">
        <v>31</v>
      </c>
      <c r="V906" s="1">
        <v>41929</v>
      </c>
      <c r="X906" s="1" t="str">
        <f t="shared" si="42"/>
        <v>Active</v>
      </c>
      <c r="Y906" t="str">
        <f t="shared" si="43"/>
        <v>46-55</v>
      </c>
      <c r="Z906" t="str">
        <f t="shared" si="44"/>
        <v>10+ Years</v>
      </c>
    </row>
    <row r="907" spans="1:26" x14ac:dyDescent="0.35">
      <c r="A907" t="s">
        <v>963</v>
      </c>
      <c r="B907">
        <v>27</v>
      </c>
      <c r="C907" t="s">
        <v>44</v>
      </c>
      <c r="D907" t="s">
        <v>45</v>
      </c>
      <c r="E907" t="s">
        <v>46</v>
      </c>
      <c r="F907" t="s">
        <v>37</v>
      </c>
      <c r="G907">
        <v>41546</v>
      </c>
      <c r="H907">
        <v>2</v>
      </c>
      <c r="I907">
        <v>4</v>
      </c>
      <c r="J907">
        <v>1</v>
      </c>
      <c r="K907">
        <v>3</v>
      </c>
      <c r="L907">
        <v>3</v>
      </c>
      <c r="M907">
        <v>2</v>
      </c>
      <c r="N907" t="s">
        <v>31</v>
      </c>
      <c r="O907" t="s">
        <v>32</v>
      </c>
      <c r="P907">
        <v>6</v>
      </c>
      <c r="Q907">
        <v>55</v>
      </c>
      <c r="R907">
        <v>3</v>
      </c>
      <c r="S907" t="s">
        <v>31</v>
      </c>
      <c r="T907">
        <v>6</v>
      </c>
      <c r="U907" t="s">
        <v>33</v>
      </c>
      <c r="V907" s="1">
        <v>44705</v>
      </c>
      <c r="W907" s="1">
        <v>45629</v>
      </c>
      <c r="X907" s="1" t="str">
        <f t="shared" si="42"/>
        <v>2024-12-03</v>
      </c>
      <c r="Y907" t="str">
        <f t="shared" si="43"/>
        <v>26-35</v>
      </c>
      <c r="Z907" t="str">
        <f t="shared" si="44"/>
        <v>2-3 Years</v>
      </c>
    </row>
    <row r="908" spans="1:26" x14ac:dyDescent="0.35">
      <c r="A908" t="s">
        <v>964</v>
      </c>
      <c r="B908">
        <v>45</v>
      </c>
      <c r="C908" t="s">
        <v>27</v>
      </c>
      <c r="D908" t="s">
        <v>28</v>
      </c>
      <c r="E908" t="s">
        <v>66</v>
      </c>
      <c r="F908" t="s">
        <v>56</v>
      </c>
      <c r="G908">
        <v>82963</v>
      </c>
      <c r="H908">
        <v>6</v>
      </c>
      <c r="I908">
        <v>23</v>
      </c>
      <c r="J908">
        <v>3</v>
      </c>
      <c r="K908">
        <v>3</v>
      </c>
      <c r="L908">
        <v>3</v>
      </c>
      <c r="M908">
        <v>4</v>
      </c>
      <c r="N908" t="s">
        <v>31</v>
      </c>
      <c r="O908" t="s">
        <v>32</v>
      </c>
      <c r="P908">
        <v>19</v>
      </c>
      <c r="Q908">
        <v>36</v>
      </c>
      <c r="R908">
        <v>3</v>
      </c>
      <c r="S908" t="s">
        <v>33</v>
      </c>
      <c r="T908">
        <v>6</v>
      </c>
      <c r="U908" t="s">
        <v>33</v>
      </c>
      <c r="V908" s="1">
        <v>41896</v>
      </c>
      <c r="W908" s="1">
        <v>42119</v>
      </c>
      <c r="X908" s="1" t="str">
        <f t="shared" si="42"/>
        <v>2015-04-25</v>
      </c>
      <c r="Y908" t="str">
        <f t="shared" si="43"/>
        <v>36-45</v>
      </c>
      <c r="Z908" t="str">
        <f t="shared" si="44"/>
        <v>6-10 Years</v>
      </c>
    </row>
    <row r="909" spans="1:26" x14ac:dyDescent="0.35">
      <c r="A909" t="s">
        <v>965</v>
      </c>
      <c r="B909">
        <v>54</v>
      </c>
      <c r="C909" t="s">
        <v>27</v>
      </c>
      <c r="D909" t="s">
        <v>35</v>
      </c>
      <c r="E909" t="s">
        <v>36</v>
      </c>
      <c r="F909" t="s">
        <v>41</v>
      </c>
      <c r="G909">
        <v>148381</v>
      </c>
      <c r="H909">
        <v>25</v>
      </c>
      <c r="I909">
        <v>31</v>
      </c>
      <c r="J909">
        <v>5</v>
      </c>
      <c r="K909">
        <v>3</v>
      </c>
      <c r="L909">
        <v>1</v>
      </c>
      <c r="M909">
        <v>2</v>
      </c>
      <c r="N909" t="s">
        <v>33</v>
      </c>
      <c r="O909" t="s">
        <v>32</v>
      </c>
      <c r="P909">
        <v>27</v>
      </c>
      <c r="Q909">
        <v>24</v>
      </c>
      <c r="R909">
        <v>3</v>
      </c>
      <c r="S909" t="s">
        <v>31</v>
      </c>
      <c r="T909">
        <v>4</v>
      </c>
      <c r="U909" t="s">
        <v>31</v>
      </c>
      <c r="V909" s="1">
        <v>44125</v>
      </c>
      <c r="X909" s="1" t="str">
        <f t="shared" si="42"/>
        <v>Active</v>
      </c>
      <c r="Y909" t="str">
        <f t="shared" si="43"/>
        <v>46-55</v>
      </c>
      <c r="Z909" t="str">
        <f t="shared" si="44"/>
        <v>10+ Years</v>
      </c>
    </row>
    <row r="910" spans="1:26" x14ac:dyDescent="0.35">
      <c r="A910" t="s">
        <v>966</v>
      </c>
      <c r="B910">
        <v>48</v>
      </c>
      <c r="C910" t="s">
        <v>44</v>
      </c>
      <c r="D910" t="s">
        <v>49</v>
      </c>
      <c r="E910" t="s">
        <v>68</v>
      </c>
      <c r="F910" t="s">
        <v>30</v>
      </c>
      <c r="G910">
        <v>57996</v>
      </c>
      <c r="H910">
        <v>1</v>
      </c>
      <c r="I910">
        <v>25</v>
      </c>
      <c r="J910">
        <v>2</v>
      </c>
      <c r="K910">
        <v>1</v>
      </c>
      <c r="L910">
        <v>4</v>
      </c>
      <c r="M910">
        <v>4</v>
      </c>
      <c r="N910" t="s">
        <v>31</v>
      </c>
      <c r="O910" t="s">
        <v>47</v>
      </c>
      <c r="P910">
        <v>24</v>
      </c>
      <c r="Q910">
        <v>50</v>
      </c>
      <c r="R910">
        <v>3</v>
      </c>
      <c r="S910" t="s">
        <v>31</v>
      </c>
      <c r="T910">
        <v>3</v>
      </c>
      <c r="U910" t="s">
        <v>31</v>
      </c>
      <c r="V910" s="1">
        <v>40934</v>
      </c>
      <c r="X910" s="1" t="str">
        <f t="shared" si="42"/>
        <v>Active</v>
      </c>
      <c r="Y910" t="str">
        <f t="shared" si="43"/>
        <v>46-55</v>
      </c>
      <c r="Z910" t="str">
        <f t="shared" si="44"/>
        <v>0-1 Year</v>
      </c>
    </row>
    <row r="911" spans="1:26" x14ac:dyDescent="0.35">
      <c r="A911" t="s">
        <v>967</v>
      </c>
      <c r="B911">
        <v>40</v>
      </c>
      <c r="C911" t="s">
        <v>44</v>
      </c>
      <c r="D911" t="s">
        <v>28</v>
      </c>
      <c r="E911" t="s">
        <v>66</v>
      </c>
      <c r="F911" t="s">
        <v>56</v>
      </c>
      <c r="G911">
        <v>84362</v>
      </c>
      <c r="H911">
        <v>5</v>
      </c>
      <c r="I911">
        <v>17</v>
      </c>
      <c r="J911">
        <v>3</v>
      </c>
      <c r="K911">
        <v>1</v>
      </c>
      <c r="L911">
        <v>3</v>
      </c>
      <c r="M911">
        <v>1</v>
      </c>
      <c r="N911" t="s">
        <v>33</v>
      </c>
      <c r="O911" t="s">
        <v>32</v>
      </c>
      <c r="P911">
        <v>5</v>
      </c>
      <c r="Q911">
        <v>40</v>
      </c>
      <c r="R911">
        <v>3</v>
      </c>
      <c r="S911" t="s">
        <v>31</v>
      </c>
      <c r="T911">
        <v>2</v>
      </c>
      <c r="U911" t="s">
        <v>33</v>
      </c>
      <c r="V911" s="1">
        <v>44805</v>
      </c>
      <c r="W911" s="1">
        <v>45743</v>
      </c>
      <c r="X911" s="1" t="str">
        <f t="shared" si="42"/>
        <v>2025-03-27</v>
      </c>
      <c r="Y911" t="str">
        <f t="shared" si="43"/>
        <v>36-45</v>
      </c>
      <c r="Z911" t="str">
        <f t="shared" si="44"/>
        <v>4-5 Years</v>
      </c>
    </row>
    <row r="912" spans="1:26" x14ac:dyDescent="0.35">
      <c r="A912" t="s">
        <v>968</v>
      </c>
      <c r="B912">
        <v>45</v>
      </c>
      <c r="C912" t="s">
        <v>44</v>
      </c>
      <c r="D912" t="s">
        <v>39</v>
      </c>
      <c r="E912" t="s">
        <v>59</v>
      </c>
      <c r="F912" t="s">
        <v>41</v>
      </c>
      <c r="G912">
        <v>86310</v>
      </c>
      <c r="H912">
        <v>8</v>
      </c>
      <c r="I912">
        <v>21</v>
      </c>
      <c r="J912">
        <v>3</v>
      </c>
      <c r="K912">
        <v>4</v>
      </c>
      <c r="L912">
        <v>2</v>
      </c>
      <c r="M912">
        <v>3</v>
      </c>
      <c r="N912" t="s">
        <v>31</v>
      </c>
      <c r="O912" t="s">
        <v>32</v>
      </c>
      <c r="P912">
        <v>12</v>
      </c>
      <c r="Q912">
        <v>47</v>
      </c>
      <c r="R912">
        <v>3</v>
      </c>
      <c r="S912" t="s">
        <v>33</v>
      </c>
      <c r="T912">
        <v>4</v>
      </c>
      <c r="U912" t="s">
        <v>31</v>
      </c>
      <c r="V912" s="1">
        <v>41986</v>
      </c>
      <c r="X912" s="1" t="str">
        <f t="shared" si="42"/>
        <v>Active</v>
      </c>
      <c r="Y912" t="str">
        <f t="shared" si="43"/>
        <v>36-45</v>
      </c>
      <c r="Z912" t="str">
        <f t="shared" si="44"/>
        <v>6-10 Years</v>
      </c>
    </row>
    <row r="913" spans="1:26" x14ac:dyDescent="0.35">
      <c r="A913" t="s">
        <v>969</v>
      </c>
      <c r="B913">
        <v>39</v>
      </c>
      <c r="C913" t="s">
        <v>44</v>
      </c>
      <c r="D913" t="s">
        <v>28</v>
      </c>
      <c r="E913" t="s">
        <v>66</v>
      </c>
      <c r="F913" t="s">
        <v>41</v>
      </c>
      <c r="G913">
        <v>130294</v>
      </c>
      <c r="H913">
        <v>15</v>
      </c>
      <c r="I913">
        <v>17</v>
      </c>
      <c r="J913">
        <v>5</v>
      </c>
      <c r="K913">
        <v>4</v>
      </c>
      <c r="L913">
        <v>4</v>
      </c>
      <c r="M913">
        <v>2</v>
      </c>
      <c r="N913" t="s">
        <v>31</v>
      </c>
      <c r="O913" t="s">
        <v>32</v>
      </c>
      <c r="P913">
        <v>16</v>
      </c>
      <c r="Q913">
        <v>26</v>
      </c>
      <c r="R913">
        <v>3</v>
      </c>
      <c r="S913" t="s">
        <v>31</v>
      </c>
      <c r="T913">
        <v>1</v>
      </c>
      <c r="U913" t="s">
        <v>33</v>
      </c>
      <c r="V913" s="1">
        <v>44860</v>
      </c>
      <c r="W913" s="1">
        <v>45130</v>
      </c>
      <c r="X913" s="1" t="str">
        <f t="shared" si="42"/>
        <v>2023-07-23</v>
      </c>
      <c r="Y913" t="str">
        <f t="shared" si="43"/>
        <v>36-45</v>
      </c>
      <c r="Z913" t="str">
        <f t="shared" si="44"/>
        <v>10+ Years</v>
      </c>
    </row>
    <row r="914" spans="1:26" x14ac:dyDescent="0.35">
      <c r="A914" t="s">
        <v>970</v>
      </c>
      <c r="B914">
        <v>41</v>
      </c>
      <c r="C914" t="s">
        <v>27</v>
      </c>
      <c r="D914" t="s">
        <v>52</v>
      </c>
      <c r="E914" t="s">
        <v>55</v>
      </c>
      <c r="F914" t="s">
        <v>41</v>
      </c>
      <c r="G914">
        <v>78727</v>
      </c>
      <c r="H914">
        <v>3</v>
      </c>
      <c r="I914">
        <v>18</v>
      </c>
      <c r="J914">
        <v>3</v>
      </c>
      <c r="K914">
        <v>1</v>
      </c>
      <c r="L914">
        <v>1</v>
      </c>
      <c r="M914">
        <v>1</v>
      </c>
      <c r="N914" t="s">
        <v>31</v>
      </c>
      <c r="O914" t="s">
        <v>42</v>
      </c>
      <c r="P914">
        <v>6</v>
      </c>
      <c r="Q914">
        <v>26</v>
      </c>
      <c r="R914">
        <v>3</v>
      </c>
      <c r="S914" t="s">
        <v>31</v>
      </c>
      <c r="T914">
        <v>7</v>
      </c>
      <c r="U914" t="s">
        <v>31</v>
      </c>
      <c r="V914" s="1">
        <v>42686</v>
      </c>
      <c r="X914" s="1" t="str">
        <f t="shared" si="42"/>
        <v>Active</v>
      </c>
      <c r="Y914" t="str">
        <f t="shared" si="43"/>
        <v>36-45</v>
      </c>
      <c r="Z914" t="str">
        <f t="shared" si="44"/>
        <v>2-3 Years</v>
      </c>
    </row>
    <row r="915" spans="1:26" x14ac:dyDescent="0.35">
      <c r="A915" t="s">
        <v>971</v>
      </c>
      <c r="B915">
        <v>55</v>
      </c>
      <c r="C915" t="s">
        <v>27</v>
      </c>
      <c r="D915" t="s">
        <v>52</v>
      </c>
      <c r="E915" t="s">
        <v>53</v>
      </c>
      <c r="F915" t="s">
        <v>78</v>
      </c>
      <c r="G915">
        <v>128592</v>
      </c>
      <c r="H915">
        <v>15</v>
      </c>
      <c r="I915">
        <v>33</v>
      </c>
      <c r="J915">
        <v>5</v>
      </c>
      <c r="K915">
        <v>1</v>
      </c>
      <c r="L915">
        <v>1</v>
      </c>
      <c r="M915">
        <v>4</v>
      </c>
      <c r="N915" t="s">
        <v>33</v>
      </c>
      <c r="O915" t="s">
        <v>42</v>
      </c>
      <c r="P915">
        <v>25</v>
      </c>
      <c r="Q915">
        <v>39</v>
      </c>
      <c r="R915">
        <v>3</v>
      </c>
      <c r="S915" t="s">
        <v>33</v>
      </c>
      <c r="T915">
        <v>6</v>
      </c>
      <c r="U915" t="s">
        <v>31</v>
      </c>
      <c r="V915" s="1">
        <v>44688</v>
      </c>
      <c r="X915" s="1" t="str">
        <f t="shared" si="42"/>
        <v>Active</v>
      </c>
      <c r="Y915" t="str">
        <f t="shared" si="43"/>
        <v>46-55</v>
      </c>
      <c r="Z915" t="str">
        <f t="shared" si="44"/>
        <v>10+ Years</v>
      </c>
    </row>
    <row r="916" spans="1:26" x14ac:dyDescent="0.35">
      <c r="A916" t="s">
        <v>972</v>
      </c>
      <c r="B916">
        <v>26</v>
      </c>
      <c r="C916" t="s">
        <v>44</v>
      </c>
      <c r="D916" t="s">
        <v>45</v>
      </c>
      <c r="E916" t="s">
        <v>46</v>
      </c>
      <c r="F916" t="s">
        <v>41</v>
      </c>
      <c r="G916">
        <v>62418</v>
      </c>
      <c r="H916">
        <v>2</v>
      </c>
      <c r="I916">
        <v>3</v>
      </c>
      <c r="J916">
        <v>2</v>
      </c>
      <c r="K916">
        <v>1</v>
      </c>
      <c r="L916">
        <v>3</v>
      </c>
      <c r="M916">
        <v>2</v>
      </c>
      <c r="N916" t="s">
        <v>33</v>
      </c>
      <c r="O916" t="s">
        <v>42</v>
      </c>
      <c r="P916">
        <v>28</v>
      </c>
      <c r="Q916">
        <v>38</v>
      </c>
      <c r="R916">
        <v>3</v>
      </c>
      <c r="S916" t="s">
        <v>31</v>
      </c>
      <c r="T916">
        <v>4</v>
      </c>
      <c r="U916" t="s">
        <v>31</v>
      </c>
      <c r="V916" s="1">
        <v>43724</v>
      </c>
      <c r="X916" s="1" t="str">
        <f t="shared" si="42"/>
        <v>Active</v>
      </c>
      <c r="Y916" t="str">
        <f t="shared" si="43"/>
        <v>26-35</v>
      </c>
      <c r="Z916" t="str">
        <f t="shared" si="44"/>
        <v>2-3 Years</v>
      </c>
    </row>
    <row r="917" spans="1:26" x14ac:dyDescent="0.35">
      <c r="A917" t="s">
        <v>973</v>
      </c>
      <c r="B917">
        <v>32</v>
      </c>
      <c r="C917" t="s">
        <v>44</v>
      </c>
      <c r="D917" t="s">
        <v>35</v>
      </c>
      <c r="E917" t="s">
        <v>85</v>
      </c>
      <c r="F917" t="s">
        <v>41</v>
      </c>
      <c r="G917">
        <v>79504</v>
      </c>
      <c r="H917">
        <v>6</v>
      </c>
      <c r="I917">
        <v>10</v>
      </c>
      <c r="J917">
        <v>3</v>
      </c>
      <c r="K917">
        <v>2</v>
      </c>
      <c r="L917">
        <v>3</v>
      </c>
      <c r="M917">
        <v>4</v>
      </c>
      <c r="N917" t="s">
        <v>31</v>
      </c>
      <c r="O917" t="s">
        <v>32</v>
      </c>
      <c r="P917">
        <v>7</v>
      </c>
      <c r="Q917">
        <v>52</v>
      </c>
      <c r="R917">
        <v>3</v>
      </c>
      <c r="S917" t="s">
        <v>33</v>
      </c>
      <c r="T917">
        <v>4</v>
      </c>
      <c r="U917" t="s">
        <v>31</v>
      </c>
      <c r="V917" s="1">
        <v>41978</v>
      </c>
      <c r="X917" s="1" t="str">
        <f t="shared" si="42"/>
        <v>Active</v>
      </c>
      <c r="Y917" t="str">
        <f t="shared" si="43"/>
        <v>26-35</v>
      </c>
      <c r="Z917" t="str">
        <f t="shared" si="44"/>
        <v>6-10 Years</v>
      </c>
    </row>
    <row r="918" spans="1:26" x14ac:dyDescent="0.35">
      <c r="A918" t="s">
        <v>974</v>
      </c>
      <c r="B918">
        <v>33</v>
      </c>
      <c r="C918" t="s">
        <v>44</v>
      </c>
      <c r="D918" t="s">
        <v>39</v>
      </c>
      <c r="E918" t="s">
        <v>74</v>
      </c>
      <c r="F918" t="s">
        <v>41</v>
      </c>
      <c r="G918">
        <v>79628</v>
      </c>
      <c r="H918">
        <v>5</v>
      </c>
      <c r="I918">
        <v>10</v>
      </c>
      <c r="J918">
        <v>3</v>
      </c>
      <c r="K918">
        <v>2</v>
      </c>
      <c r="L918">
        <v>4</v>
      </c>
      <c r="M918">
        <v>2</v>
      </c>
      <c r="N918" t="s">
        <v>31</v>
      </c>
      <c r="O918" t="s">
        <v>32</v>
      </c>
      <c r="P918">
        <v>7</v>
      </c>
      <c r="Q918">
        <v>12</v>
      </c>
      <c r="R918">
        <v>3</v>
      </c>
      <c r="S918" t="s">
        <v>33</v>
      </c>
      <c r="T918">
        <v>6</v>
      </c>
      <c r="U918" t="s">
        <v>31</v>
      </c>
      <c r="V918" s="1">
        <v>43905</v>
      </c>
      <c r="X918" s="1" t="str">
        <f t="shared" si="42"/>
        <v>Active</v>
      </c>
      <c r="Y918" t="str">
        <f t="shared" si="43"/>
        <v>26-35</v>
      </c>
      <c r="Z918" t="str">
        <f t="shared" si="44"/>
        <v>4-5 Years</v>
      </c>
    </row>
    <row r="919" spans="1:26" x14ac:dyDescent="0.35">
      <c r="A919" t="s">
        <v>975</v>
      </c>
      <c r="B919">
        <v>38</v>
      </c>
      <c r="C919" t="s">
        <v>44</v>
      </c>
      <c r="D919" t="s">
        <v>39</v>
      </c>
      <c r="E919" t="s">
        <v>40</v>
      </c>
      <c r="F919" t="s">
        <v>41</v>
      </c>
      <c r="G919">
        <v>64121</v>
      </c>
      <c r="H919">
        <v>3</v>
      </c>
      <c r="I919">
        <v>14</v>
      </c>
      <c r="J919">
        <v>2</v>
      </c>
      <c r="K919">
        <v>2</v>
      </c>
      <c r="L919">
        <v>1</v>
      </c>
      <c r="M919">
        <v>2</v>
      </c>
      <c r="N919" t="s">
        <v>31</v>
      </c>
      <c r="O919" t="s">
        <v>42</v>
      </c>
      <c r="P919">
        <v>1</v>
      </c>
      <c r="Q919">
        <v>56</v>
      </c>
      <c r="R919">
        <v>2</v>
      </c>
      <c r="S919" t="s">
        <v>31</v>
      </c>
      <c r="T919">
        <v>7</v>
      </c>
      <c r="U919" t="s">
        <v>31</v>
      </c>
      <c r="V919" s="1">
        <v>42402</v>
      </c>
      <c r="X919" s="1" t="str">
        <f t="shared" si="42"/>
        <v>Active</v>
      </c>
      <c r="Y919" t="str">
        <f t="shared" si="43"/>
        <v>36-45</v>
      </c>
      <c r="Z919" t="str">
        <f t="shared" si="44"/>
        <v>2-3 Years</v>
      </c>
    </row>
    <row r="920" spans="1:26" x14ac:dyDescent="0.35">
      <c r="A920" t="s">
        <v>976</v>
      </c>
      <c r="B920">
        <v>22</v>
      </c>
      <c r="C920" t="s">
        <v>27</v>
      </c>
      <c r="D920" t="s">
        <v>49</v>
      </c>
      <c r="E920" t="s">
        <v>50</v>
      </c>
      <c r="F920" t="s">
        <v>41</v>
      </c>
      <c r="G920">
        <v>54891</v>
      </c>
      <c r="H920">
        <v>0</v>
      </c>
      <c r="I920">
        <v>1</v>
      </c>
      <c r="J920">
        <v>2</v>
      </c>
      <c r="K920">
        <v>3</v>
      </c>
      <c r="L920">
        <v>4</v>
      </c>
      <c r="M920">
        <v>3</v>
      </c>
      <c r="N920" t="s">
        <v>31</v>
      </c>
      <c r="O920" t="s">
        <v>42</v>
      </c>
      <c r="P920">
        <v>1</v>
      </c>
      <c r="Q920">
        <v>43</v>
      </c>
      <c r="R920">
        <v>3</v>
      </c>
      <c r="S920" t="s">
        <v>31</v>
      </c>
      <c r="T920">
        <v>5</v>
      </c>
      <c r="U920" t="s">
        <v>31</v>
      </c>
      <c r="V920" s="1">
        <v>44902</v>
      </c>
      <c r="X920" s="1" t="str">
        <f t="shared" si="42"/>
        <v>Active</v>
      </c>
      <c r="Y920" t="str">
        <f t="shared" si="43"/>
        <v>18-25</v>
      </c>
      <c r="Z920" t="str">
        <f t="shared" si="44"/>
        <v>0-1 Year</v>
      </c>
    </row>
    <row r="921" spans="1:26" x14ac:dyDescent="0.35">
      <c r="A921" t="s">
        <v>977</v>
      </c>
      <c r="B921">
        <v>24</v>
      </c>
      <c r="C921" t="s">
        <v>44</v>
      </c>
      <c r="D921" t="s">
        <v>49</v>
      </c>
      <c r="E921" t="s">
        <v>68</v>
      </c>
      <c r="F921" t="s">
        <v>56</v>
      </c>
      <c r="G921">
        <v>44168</v>
      </c>
      <c r="H921">
        <v>2</v>
      </c>
      <c r="I921">
        <v>2</v>
      </c>
      <c r="J921">
        <v>1</v>
      </c>
      <c r="K921">
        <v>3</v>
      </c>
      <c r="L921">
        <v>4</v>
      </c>
      <c r="M921">
        <v>2</v>
      </c>
      <c r="N921" t="s">
        <v>31</v>
      </c>
      <c r="O921" t="s">
        <v>47</v>
      </c>
      <c r="P921">
        <v>13</v>
      </c>
      <c r="Q921">
        <v>25</v>
      </c>
      <c r="R921">
        <v>3</v>
      </c>
      <c r="S921" t="s">
        <v>31</v>
      </c>
      <c r="T921">
        <v>3</v>
      </c>
      <c r="U921" t="s">
        <v>33</v>
      </c>
      <c r="V921" s="1">
        <v>43993</v>
      </c>
      <c r="W921" s="1">
        <v>44992</v>
      </c>
      <c r="X921" s="1" t="str">
        <f t="shared" si="42"/>
        <v>2023-03-07</v>
      </c>
      <c r="Y921" t="str">
        <f t="shared" si="43"/>
        <v>18-25</v>
      </c>
      <c r="Z921" t="str">
        <f t="shared" si="44"/>
        <v>2-3 Years</v>
      </c>
    </row>
    <row r="922" spans="1:26" x14ac:dyDescent="0.35">
      <c r="A922" t="s">
        <v>978</v>
      </c>
      <c r="B922">
        <v>53</v>
      </c>
      <c r="C922" t="s">
        <v>27</v>
      </c>
      <c r="D922" t="s">
        <v>39</v>
      </c>
      <c r="E922" t="s">
        <v>40</v>
      </c>
      <c r="F922" t="s">
        <v>37</v>
      </c>
      <c r="G922">
        <v>148805</v>
      </c>
      <c r="H922">
        <v>23</v>
      </c>
      <c r="I922">
        <v>32</v>
      </c>
      <c r="J922">
        <v>5</v>
      </c>
      <c r="K922">
        <v>4</v>
      </c>
      <c r="L922">
        <v>2</v>
      </c>
      <c r="M922">
        <v>1</v>
      </c>
      <c r="N922" t="s">
        <v>33</v>
      </c>
      <c r="O922" t="s">
        <v>32</v>
      </c>
      <c r="P922">
        <v>3</v>
      </c>
      <c r="Q922">
        <v>22</v>
      </c>
      <c r="R922">
        <v>2</v>
      </c>
      <c r="S922" t="s">
        <v>31</v>
      </c>
      <c r="T922">
        <v>4</v>
      </c>
      <c r="U922" t="s">
        <v>31</v>
      </c>
      <c r="V922" s="1">
        <v>44862</v>
      </c>
      <c r="X922" s="1" t="str">
        <f t="shared" si="42"/>
        <v>Active</v>
      </c>
      <c r="Y922" t="str">
        <f t="shared" si="43"/>
        <v>46-55</v>
      </c>
      <c r="Z922" t="str">
        <f t="shared" si="44"/>
        <v>10+ Years</v>
      </c>
    </row>
    <row r="923" spans="1:26" x14ac:dyDescent="0.35">
      <c r="A923" t="s">
        <v>979</v>
      </c>
      <c r="B923">
        <v>40</v>
      </c>
      <c r="C923" t="s">
        <v>27</v>
      </c>
      <c r="D923" t="s">
        <v>49</v>
      </c>
      <c r="E923" t="s">
        <v>68</v>
      </c>
      <c r="F923" t="s">
        <v>78</v>
      </c>
      <c r="G923">
        <v>60814</v>
      </c>
      <c r="H923">
        <v>2</v>
      </c>
      <c r="I923">
        <v>16</v>
      </c>
      <c r="J923">
        <v>2</v>
      </c>
      <c r="K923">
        <v>4</v>
      </c>
      <c r="L923">
        <v>1</v>
      </c>
      <c r="M923">
        <v>3</v>
      </c>
      <c r="N923" t="s">
        <v>31</v>
      </c>
      <c r="O923" t="s">
        <v>32</v>
      </c>
      <c r="P923">
        <v>29</v>
      </c>
      <c r="Q923">
        <v>53</v>
      </c>
      <c r="R923">
        <v>3</v>
      </c>
      <c r="S923" t="s">
        <v>31</v>
      </c>
      <c r="T923">
        <v>4</v>
      </c>
      <c r="U923" t="s">
        <v>31</v>
      </c>
      <c r="V923" s="1">
        <v>43876</v>
      </c>
      <c r="X923" s="1" t="str">
        <f t="shared" si="42"/>
        <v>Active</v>
      </c>
      <c r="Y923" t="str">
        <f t="shared" si="43"/>
        <v>36-45</v>
      </c>
      <c r="Z923" t="str">
        <f t="shared" si="44"/>
        <v>2-3 Years</v>
      </c>
    </row>
    <row r="924" spans="1:26" x14ac:dyDescent="0.35">
      <c r="A924" t="s">
        <v>980</v>
      </c>
      <c r="B924">
        <v>28</v>
      </c>
      <c r="C924" t="s">
        <v>27</v>
      </c>
      <c r="D924" t="s">
        <v>35</v>
      </c>
      <c r="E924" t="s">
        <v>85</v>
      </c>
      <c r="F924" t="s">
        <v>37</v>
      </c>
      <c r="G924">
        <v>56382</v>
      </c>
      <c r="H924">
        <v>2</v>
      </c>
      <c r="I924">
        <v>5</v>
      </c>
      <c r="J924">
        <v>2</v>
      </c>
      <c r="K924">
        <v>3</v>
      </c>
      <c r="L924">
        <v>1</v>
      </c>
      <c r="M924">
        <v>2</v>
      </c>
      <c r="N924" t="s">
        <v>31</v>
      </c>
      <c r="O924" t="s">
        <v>42</v>
      </c>
      <c r="P924">
        <v>4</v>
      </c>
      <c r="Q924">
        <v>36</v>
      </c>
      <c r="R924">
        <v>3</v>
      </c>
      <c r="S924" t="s">
        <v>31</v>
      </c>
      <c r="T924">
        <v>4</v>
      </c>
      <c r="U924" t="s">
        <v>31</v>
      </c>
      <c r="V924" s="1">
        <v>41349</v>
      </c>
      <c r="X924" s="1" t="str">
        <f t="shared" si="42"/>
        <v>Active</v>
      </c>
      <c r="Y924" t="str">
        <f t="shared" si="43"/>
        <v>26-35</v>
      </c>
      <c r="Z924" t="str">
        <f t="shared" si="44"/>
        <v>2-3 Years</v>
      </c>
    </row>
    <row r="925" spans="1:26" x14ac:dyDescent="0.35">
      <c r="A925" t="s">
        <v>981</v>
      </c>
      <c r="B925">
        <v>33</v>
      </c>
      <c r="C925" t="s">
        <v>44</v>
      </c>
      <c r="D925" t="s">
        <v>35</v>
      </c>
      <c r="E925" t="s">
        <v>85</v>
      </c>
      <c r="F925" t="s">
        <v>56</v>
      </c>
      <c r="G925">
        <v>103194</v>
      </c>
      <c r="H925">
        <v>9</v>
      </c>
      <c r="I925">
        <v>11</v>
      </c>
      <c r="J925">
        <v>4</v>
      </c>
      <c r="K925">
        <v>1</v>
      </c>
      <c r="L925">
        <v>2</v>
      </c>
      <c r="M925">
        <v>3</v>
      </c>
      <c r="N925" t="s">
        <v>31</v>
      </c>
      <c r="O925" t="s">
        <v>32</v>
      </c>
      <c r="P925">
        <v>14</v>
      </c>
      <c r="Q925">
        <v>12</v>
      </c>
      <c r="R925">
        <v>3</v>
      </c>
      <c r="S925" t="s">
        <v>33</v>
      </c>
      <c r="T925">
        <v>3</v>
      </c>
      <c r="U925" t="s">
        <v>31</v>
      </c>
      <c r="V925" s="1">
        <v>45174</v>
      </c>
      <c r="X925" s="1" t="str">
        <f t="shared" si="42"/>
        <v>Active</v>
      </c>
      <c r="Y925" t="str">
        <f t="shared" si="43"/>
        <v>26-35</v>
      </c>
      <c r="Z925" t="str">
        <f t="shared" si="44"/>
        <v>6-10 Years</v>
      </c>
    </row>
    <row r="926" spans="1:26" x14ac:dyDescent="0.35">
      <c r="A926" t="s">
        <v>982</v>
      </c>
      <c r="B926">
        <v>39</v>
      </c>
      <c r="C926" t="s">
        <v>44</v>
      </c>
      <c r="D926" t="s">
        <v>52</v>
      </c>
      <c r="E926" t="s">
        <v>55</v>
      </c>
      <c r="F926" t="s">
        <v>78</v>
      </c>
      <c r="G926">
        <v>57286</v>
      </c>
      <c r="H926">
        <v>2</v>
      </c>
      <c r="I926">
        <v>15</v>
      </c>
      <c r="J926">
        <v>2</v>
      </c>
      <c r="K926">
        <v>3</v>
      </c>
      <c r="L926">
        <v>1</v>
      </c>
      <c r="M926">
        <v>3</v>
      </c>
      <c r="N926" t="s">
        <v>33</v>
      </c>
      <c r="O926" t="s">
        <v>47</v>
      </c>
      <c r="P926">
        <v>29</v>
      </c>
      <c r="Q926">
        <v>44</v>
      </c>
      <c r="R926">
        <v>3</v>
      </c>
      <c r="S926" t="s">
        <v>31</v>
      </c>
      <c r="T926">
        <v>10</v>
      </c>
      <c r="U926" t="s">
        <v>31</v>
      </c>
      <c r="V926" s="1">
        <v>43900</v>
      </c>
      <c r="X926" s="1" t="str">
        <f t="shared" si="42"/>
        <v>Active</v>
      </c>
      <c r="Y926" t="str">
        <f t="shared" si="43"/>
        <v>36-45</v>
      </c>
      <c r="Z926" t="str">
        <f t="shared" si="44"/>
        <v>2-3 Years</v>
      </c>
    </row>
    <row r="927" spans="1:26" x14ac:dyDescent="0.35">
      <c r="A927" t="s">
        <v>983</v>
      </c>
      <c r="B927">
        <v>31</v>
      </c>
      <c r="C927" t="s">
        <v>44</v>
      </c>
      <c r="D927" t="s">
        <v>49</v>
      </c>
      <c r="E927" t="s">
        <v>68</v>
      </c>
      <c r="F927" t="s">
        <v>37</v>
      </c>
      <c r="G927">
        <v>61057</v>
      </c>
      <c r="H927">
        <v>4</v>
      </c>
      <c r="I927">
        <v>9</v>
      </c>
      <c r="J927">
        <v>2</v>
      </c>
      <c r="K927">
        <v>4</v>
      </c>
      <c r="L927">
        <v>4</v>
      </c>
      <c r="M927">
        <v>3</v>
      </c>
      <c r="N927" t="s">
        <v>33</v>
      </c>
      <c r="O927" t="s">
        <v>32</v>
      </c>
      <c r="P927">
        <v>13</v>
      </c>
      <c r="Q927">
        <v>48</v>
      </c>
      <c r="R927">
        <v>4</v>
      </c>
      <c r="S927" t="s">
        <v>31</v>
      </c>
      <c r="T927">
        <v>6</v>
      </c>
      <c r="U927" t="s">
        <v>31</v>
      </c>
      <c r="V927" s="1">
        <v>44301</v>
      </c>
      <c r="X927" s="1" t="str">
        <f t="shared" si="42"/>
        <v>Active</v>
      </c>
      <c r="Y927" t="str">
        <f t="shared" si="43"/>
        <v>26-35</v>
      </c>
      <c r="Z927" t="str">
        <f t="shared" si="44"/>
        <v>4-5 Years</v>
      </c>
    </row>
    <row r="928" spans="1:26" x14ac:dyDescent="0.35">
      <c r="A928" t="s">
        <v>984</v>
      </c>
      <c r="B928">
        <v>44</v>
      </c>
      <c r="C928" t="s">
        <v>27</v>
      </c>
      <c r="D928" t="s">
        <v>49</v>
      </c>
      <c r="E928" t="s">
        <v>50</v>
      </c>
      <c r="F928" t="s">
        <v>37</v>
      </c>
      <c r="G928">
        <v>130141</v>
      </c>
      <c r="H928">
        <v>14</v>
      </c>
      <c r="I928">
        <v>20</v>
      </c>
      <c r="J928">
        <v>5</v>
      </c>
      <c r="K928">
        <v>2</v>
      </c>
      <c r="L928">
        <v>3</v>
      </c>
      <c r="M928">
        <v>1</v>
      </c>
      <c r="N928" t="s">
        <v>33</v>
      </c>
      <c r="O928" t="s">
        <v>32</v>
      </c>
      <c r="P928">
        <v>27</v>
      </c>
      <c r="Q928">
        <v>11</v>
      </c>
      <c r="R928">
        <v>3</v>
      </c>
      <c r="S928" t="s">
        <v>33</v>
      </c>
      <c r="T928">
        <v>8</v>
      </c>
      <c r="U928" t="s">
        <v>31</v>
      </c>
      <c r="V928" s="1">
        <v>42977</v>
      </c>
      <c r="X928" s="1" t="str">
        <f t="shared" si="42"/>
        <v>Active</v>
      </c>
      <c r="Y928" t="str">
        <f t="shared" si="43"/>
        <v>36-45</v>
      </c>
      <c r="Z928" t="str">
        <f t="shared" si="44"/>
        <v>10+ Years</v>
      </c>
    </row>
    <row r="929" spans="1:26" x14ac:dyDescent="0.35">
      <c r="A929" t="s">
        <v>985</v>
      </c>
      <c r="B929">
        <v>58</v>
      </c>
      <c r="C929" t="s">
        <v>27</v>
      </c>
      <c r="D929" t="s">
        <v>49</v>
      </c>
      <c r="E929" t="s">
        <v>68</v>
      </c>
      <c r="F929" t="s">
        <v>78</v>
      </c>
      <c r="G929">
        <v>140017</v>
      </c>
      <c r="H929">
        <v>20</v>
      </c>
      <c r="I929">
        <v>35</v>
      </c>
      <c r="J929">
        <v>5</v>
      </c>
      <c r="K929">
        <v>1</v>
      </c>
      <c r="L929">
        <v>3</v>
      </c>
      <c r="M929">
        <v>1</v>
      </c>
      <c r="N929" t="s">
        <v>31</v>
      </c>
      <c r="O929" t="s">
        <v>47</v>
      </c>
      <c r="P929">
        <v>14</v>
      </c>
      <c r="Q929">
        <v>28</v>
      </c>
      <c r="R929">
        <v>4</v>
      </c>
      <c r="S929" t="s">
        <v>31</v>
      </c>
      <c r="T929">
        <v>2</v>
      </c>
      <c r="U929" t="s">
        <v>31</v>
      </c>
      <c r="V929" s="1">
        <v>41413</v>
      </c>
      <c r="X929" s="1" t="str">
        <f t="shared" si="42"/>
        <v>Active</v>
      </c>
      <c r="Y929" t="str">
        <f t="shared" si="43"/>
        <v>56+</v>
      </c>
      <c r="Z929" t="str">
        <f t="shared" si="44"/>
        <v>10+ Years</v>
      </c>
    </row>
    <row r="930" spans="1:26" x14ac:dyDescent="0.35">
      <c r="A930" t="s">
        <v>986</v>
      </c>
      <c r="B930">
        <v>57</v>
      </c>
      <c r="C930" t="s">
        <v>44</v>
      </c>
      <c r="D930" t="s">
        <v>39</v>
      </c>
      <c r="E930" t="s">
        <v>74</v>
      </c>
      <c r="F930" t="s">
        <v>56</v>
      </c>
      <c r="G930">
        <v>129422</v>
      </c>
      <c r="H930">
        <v>15</v>
      </c>
      <c r="I930">
        <v>33</v>
      </c>
      <c r="J930">
        <v>5</v>
      </c>
      <c r="K930">
        <v>1</v>
      </c>
      <c r="L930">
        <v>1</v>
      </c>
      <c r="M930">
        <v>2</v>
      </c>
      <c r="N930" t="s">
        <v>31</v>
      </c>
      <c r="O930" t="s">
        <v>32</v>
      </c>
      <c r="P930">
        <v>20</v>
      </c>
      <c r="Q930">
        <v>37</v>
      </c>
      <c r="R930">
        <v>3</v>
      </c>
      <c r="S930" t="s">
        <v>31</v>
      </c>
      <c r="T930">
        <v>1</v>
      </c>
      <c r="U930" t="s">
        <v>31</v>
      </c>
      <c r="V930" s="1">
        <v>45202</v>
      </c>
      <c r="X930" s="1" t="str">
        <f t="shared" si="42"/>
        <v>Active</v>
      </c>
      <c r="Y930" t="str">
        <f t="shared" si="43"/>
        <v>56+</v>
      </c>
      <c r="Z930" t="str">
        <f t="shared" si="44"/>
        <v>10+ Years</v>
      </c>
    </row>
    <row r="931" spans="1:26" x14ac:dyDescent="0.35">
      <c r="A931" t="s">
        <v>987</v>
      </c>
      <c r="B931">
        <v>24</v>
      </c>
      <c r="C931" t="s">
        <v>44</v>
      </c>
      <c r="D931" t="s">
        <v>52</v>
      </c>
      <c r="E931" t="s">
        <v>53</v>
      </c>
      <c r="F931" t="s">
        <v>30</v>
      </c>
      <c r="G931">
        <v>61459</v>
      </c>
      <c r="H931">
        <v>1</v>
      </c>
      <c r="I931">
        <v>1</v>
      </c>
      <c r="J931">
        <v>2</v>
      </c>
      <c r="K931">
        <v>3</v>
      </c>
      <c r="L931">
        <v>1</v>
      </c>
      <c r="M931">
        <v>2</v>
      </c>
      <c r="N931" t="s">
        <v>31</v>
      </c>
      <c r="O931" t="s">
        <v>32</v>
      </c>
      <c r="P931">
        <v>9</v>
      </c>
      <c r="Q931">
        <v>31</v>
      </c>
      <c r="R931">
        <v>3</v>
      </c>
      <c r="S931" t="s">
        <v>31</v>
      </c>
      <c r="T931">
        <v>3</v>
      </c>
      <c r="U931" t="s">
        <v>31</v>
      </c>
      <c r="V931" s="1">
        <v>43042</v>
      </c>
      <c r="X931" s="1" t="str">
        <f t="shared" si="42"/>
        <v>Active</v>
      </c>
      <c r="Y931" t="str">
        <f t="shared" si="43"/>
        <v>18-25</v>
      </c>
      <c r="Z931" t="str">
        <f t="shared" si="44"/>
        <v>0-1 Year</v>
      </c>
    </row>
    <row r="932" spans="1:26" x14ac:dyDescent="0.35">
      <c r="A932" t="s">
        <v>988</v>
      </c>
      <c r="B932">
        <v>26</v>
      </c>
      <c r="C932" t="s">
        <v>27</v>
      </c>
      <c r="D932" t="s">
        <v>45</v>
      </c>
      <c r="E932" t="s">
        <v>46</v>
      </c>
      <c r="F932" t="s">
        <v>61</v>
      </c>
      <c r="G932">
        <v>41320</v>
      </c>
      <c r="H932">
        <v>0</v>
      </c>
      <c r="I932">
        <v>3</v>
      </c>
      <c r="J932">
        <v>1</v>
      </c>
      <c r="K932">
        <v>3</v>
      </c>
      <c r="L932">
        <v>2</v>
      </c>
      <c r="M932">
        <v>2</v>
      </c>
      <c r="N932" t="s">
        <v>31</v>
      </c>
      <c r="O932" t="s">
        <v>47</v>
      </c>
      <c r="P932">
        <v>29</v>
      </c>
      <c r="Q932">
        <v>22</v>
      </c>
      <c r="R932">
        <v>3</v>
      </c>
      <c r="S932" t="s">
        <v>31</v>
      </c>
      <c r="T932">
        <v>5</v>
      </c>
      <c r="U932" t="s">
        <v>31</v>
      </c>
      <c r="V932" s="1">
        <v>44075</v>
      </c>
      <c r="X932" s="1" t="str">
        <f t="shared" si="42"/>
        <v>Active</v>
      </c>
      <c r="Y932" t="str">
        <f t="shared" si="43"/>
        <v>26-35</v>
      </c>
      <c r="Z932" t="str">
        <f t="shared" si="44"/>
        <v>0-1 Year</v>
      </c>
    </row>
    <row r="933" spans="1:26" x14ac:dyDescent="0.35">
      <c r="A933" t="s">
        <v>989</v>
      </c>
      <c r="B933">
        <v>48</v>
      </c>
      <c r="C933" t="s">
        <v>44</v>
      </c>
      <c r="D933" t="s">
        <v>49</v>
      </c>
      <c r="E933" t="s">
        <v>68</v>
      </c>
      <c r="F933" t="s">
        <v>61</v>
      </c>
      <c r="G933">
        <v>57679</v>
      </c>
      <c r="H933">
        <v>2</v>
      </c>
      <c r="I933">
        <v>24</v>
      </c>
      <c r="J933">
        <v>2</v>
      </c>
      <c r="K933">
        <v>4</v>
      </c>
      <c r="L933">
        <v>2</v>
      </c>
      <c r="M933">
        <v>4</v>
      </c>
      <c r="N933" t="s">
        <v>31</v>
      </c>
      <c r="O933" t="s">
        <v>47</v>
      </c>
      <c r="P933">
        <v>10</v>
      </c>
      <c r="Q933">
        <v>29</v>
      </c>
      <c r="R933">
        <v>3</v>
      </c>
      <c r="S933" t="s">
        <v>31</v>
      </c>
      <c r="T933">
        <v>9</v>
      </c>
      <c r="U933" t="s">
        <v>31</v>
      </c>
      <c r="V933" s="1">
        <v>41139</v>
      </c>
      <c r="X933" s="1" t="str">
        <f t="shared" si="42"/>
        <v>Active</v>
      </c>
      <c r="Y933" t="str">
        <f t="shared" si="43"/>
        <v>46-55</v>
      </c>
      <c r="Z933" t="str">
        <f t="shared" si="44"/>
        <v>2-3 Years</v>
      </c>
    </row>
    <row r="934" spans="1:26" x14ac:dyDescent="0.35">
      <c r="A934" t="s">
        <v>990</v>
      </c>
      <c r="B934">
        <v>32</v>
      </c>
      <c r="C934" t="s">
        <v>27</v>
      </c>
      <c r="D934" t="s">
        <v>45</v>
      </c>
      <c r="E934" t="s">
        <v>46</v>
      </c>
      <c r="F934" t="s">
        <v>78</v>
      </c>
      <c r="G934">
        <v>58628</v>
      </c>
      <c r="H934">
        <v>1</v>
      </c>
      <c r="I934">
        <v>10</v>
      </c>
      <c r="J934">
        <v>2</v>
      </c>
      <c r="K934">
        <v>1</v>
      </c>
      <c r="L934">
        <v>3</v>
      </c>
      <c r="M934">
        <v>4</v>
      </c>
      <c r="N934" t="s">
        <v>31</v>
      </c>
      <c r="O934" t="s">
        <v>32</v>
      </c>
      <c r="P934">
        <v>27</v>
      </c>
      <c r="Q934">
        <v>31</v>
      </c>
      <c r="R934">
        <v>2</v>
      </c>
      <c r="S934" t="s">
        <v>31</v>
      </c>
      <c r="T934">
        <v>6</v>
      </c>
      <c r="U934" t="s">
        <v>31</v>
      </c>
      <c r="V934" s="1">
        <v>44890</v>
      </c>
      <c r="X934" s="1" t="str">
        <f t="shared" si="42"/>
        <v>Active</v>
      </c>
      <c r="Y934" t="str">
        <f t="shared" si="43"/>
        <v>26-35</v>
      </c>
      <c r="Z934" t="str">
        <f t="shared" si="44"/>
        <v>0-1 Year</v>
      </c>
    </row>
    <row r="935" spans="1:26" x14ac:dyDescent="0.35">
      <c r="A935" t="s">
        <v>991</v>
      </c>
      <c r="B935">
        <v>30</v>
      </c>
      <c r="C935" t="s">
        <v>27</v>
      </c>
      <c r="D935" t="s">
        <v>35</v>
      </c>
      <c r="E935" t="s">
        <v>36</v>
      </c>
      <c r="F935" t="s">
        <v>30</v>
      </c>
      <c r="G935">
        <v>98699</v>
      </c>
      <c r="H935">
        <v>8</v>
      </c>
      <c r="I935">
        <v>9</v>
      </c>
      <c r="J935">
        <v>4</v>
      </c>
      <c r="K935">
        <v>1</v>
      </c>
      <c r="L935">
        <v>2</v>
      </c>
      <c r="M935">
        <v>3</v>
      </c>
      <c r="N935" t="s">
        <v>31</v>
      </c>
      <c r="O935" t="s">
        <v>32</v>
      </c>
      <c r="P935">
        <v>1</v>
      </c>
      <c r="Q935">
        <v>54</v>
      </c>
      <c r="R935">
        <v>3</v>
      </c>
      <c r="S935" t="s">
        <v>31</v>
      </c>
      <c r="T935">
        <v>13</v>
      </c>
      <c r="U935" t="s">
        <v>31</v>
      </c>
      <c r="V935" s="1">
        <v>44635</v>
      </c>
      <c r="X935" s="1" t="str">
        <f t="shared" si="42"/>
        <v>Active</v>
      </c>
      <c r="Y935" t="str">
        <f t="shared" si="43"/>
        <v>26-35</v>
      </c>
      <c r="Z935" t="str">
        <f t="shared" si="44"/>
        <v>6-10 Years</v>
      </c>
    </row>
    <row r="936" spans="1:26" x14ac:dyDescent="0.35">
      <c r="A936" t="s">
        <v>992</v>
      </c>
      <c r="B936">
        <v>25</v>
      </c>
      <c r="C936" t="s">
        <v>27</v>
      </c>
      <c r="D936" t="s">
        <v>49</v>
      </c>
      <c r="E936" t="s">
        <v>68</v>
      </c>
      <c r="F936" t="s">
        <v>78</v>
      </c>
      <c r="G936">
        <v>58081</v>
      </c>
      <c r="H936">
        <v>2</v>
      </c>
      <c r="I936">
        <v>2</v>
      </c>
      <c r="J936">
        <v>2</v>
      </c>
      <c r="K936">
        <v>3</v>
      </c>
      <c r="L936">
        <v>4</v>
      </c>
      <c r="M936">
        <v>1</v>
      </c>
      <c r="N936" t="s">
        <v>31</v>
      </c>
      <c r="O936" t="s">
        <v>32</v>
      </c>
      <c r="P936">
        <v>22</v>
      </c>
      <c r="Q936">
        <v>50</v>
      </c>
      <c r="R936">
        <v>3</v>
      </c>
      <c r="S936" t="s">
        <v>31</v>
      </c>
      <c r="T936">
        <v>4</v>
      </c>
      <c r="U936" t="s">
        <v>31</v>
      </c>
      <c r="V936" s="1">
        <v>43651</v>
      </c>
      <c r="X936" s="1" t="str">
        <f t="shared" si="42"/>
        <v>Active</v>
      </c>
      <c r="Y936" t="str">
        <f t="shared" si="43"/>
        <v>18-25</v>
      </c>
      <c r="Z936" t="str">
        <f t="shared" si="44"/>
        <v>2-3 Years</v>
      </c>
    </row>
    <row r="937" spans="1:26" x14ac:dyDescent="0.35">
      <c r="A937" t="s">
        <v>993</v>
      </c>
      <c r="B937">
        <v>55</v>
      </c>
      <c r="C937" t="s">
        <v>27</v>
      </c>
      <c r="D937" t="s">
        <v>45</v>
      </c>
      <c r="E937" t="s">
        <v>63</v>
      </c>
      <c r="F937" t="s">
        <v>37</v>
      </c>
      <c r="G937">
        <v>125040</v>
      </c>
      <c r="H937">
        <v>12</v>
      </c>
      <c r="I937">
        <v>31</v>
      </c>
      <c r="J937">
        <v>5</v>
      </c>
      <c r="K937">
        <v>3</v>
      </c>
      <c r="L937">
        <v>2</v>
      </c>
      <c r="M937">
        <v>4</v>
      </c>
      <c r="N937" t="s">
        <v>31</v>
      </c>
      <c r="O937" t="s">
        <v>32</v>
      </c>
      <c r="P937">
        <v>7</v>
      </c>
      <c r="Q937">
        <v>32</v>
      </c>
      <c r="R937">
        <v>3</v>
      </c>
      <c r="S937" t="s">
        <v>33</v>
      </c>
      <c r="T937">
        <v>4</v>
      </c>
      <c r="U937" t="s">
        <v>31</v>
      </c>
      <c r="V937" s="1">
        <v>43298</v>
      </c>
      <c r="X937" s="1" t="str">
        <f t="shared" si="42"/>
        <v>Active</v>
      </c>
      <c r="Y937" t="str">
        <f t="shared" si="43"/>
        <v>46-55</v>
      </c>
      <c r="Z937" t="str">
        <f t="shared" si="44"/>
        <v>10+ Years</v>
      </c>
    </row>
    <row r="938" spans="1:26" x14ac:dyDescent="0.35">
      <c r="A938" t="s">
        <v>994</v>
      </c>
      <c r="B938">
        <v>43</v>
      </c>
      <c r="C938" t="s">
        <v>27</v>
      </c>
      <c r="D938" t="s">
        <v>45</v>
      </c>
      <c r="E938" t="s">
        <v>46</v>
      </c>
      <c r="F938" t="s">
        <v>30</v>
      </c>
      <c r="G938">
        <v>134453</v>
      </c>
      <c r="H938">
        <v>16</v>
      </c>
      <c r="I938">
        <v>20</v>
      </c>
      <c r="J938">
        <v>5</v>
      </c>
      <c r="K938">
        <v>4</v>
      </c>
      <c r="L938">
        <v>3</v>
      </c>
      <c r="M938">
        <v>4</v>
      </c>
      <c r="N938" t="s">
        <v>31</v>
      </c>
      <c r="O938" t="s">
        <v>42</v>
      </c>
      <c r="P938">
        <v>14</v>
      </c>
      <c r="Q938">
        <v>53</v>
      </c>
      <c r="R938">
        <v>3</v>
      </c>
      <c r="S938" t="s">
        <v>31</v>
      </c>
      <c r="T938">
        <v>3</v>
      </c>
      <c r="U938" t="s">
        <v>33</v>
      </c>
      <c r="V938" s="1">
        <v>45195</v>
      </c>
      <c r="W938" s="1">
        <v>45938</v>
      </c>
      <c r="X938" s="1" t="str">
        <f t="shared" si="42"/>
        <v>2025-10-08</v>
      </c>
      <c r="Y938" t="str">
        <f t="shared" si="43"/>
        <v>36-45</v>
      </c>
      <c r="Z938" t="str">
        <f t="shared" si="44"/>
        <v>10+ Years</v>
      </c>
    </row>
    <row r="939" spans="1:26" x14ac:dyDescent="0.35">
      <c r="A939" t="s">
        <v>995</v>
      </c>
      <c r="B939">
        <v>36</v>
      </c>
      <c r="C939" t="s">
        <v>27</v>
      </c>
      <c r="D939" t="s">
        <v>28</v>
      </c>
      <c r="E939" t="s">
        <v>29</v>
      </c>
      <c r="F939" t="s">
        <v>30</v>
      </c>
      <c r="G939">
        <v>66885</v>
      </c>
      <c r="H939">
        <v>5</v>
      </c>
      <c r="I939">
        <v>14</v>
      </c>
      <c r="J939">
        <v>2</v>
      </c>
      <c r="K939">
        <v>3</v>
      </c>
      <c r="L939">
        <v>2</v>
      </c>
      <c r="M939">
        <v>2</v>
      </c>
      <c r="N939" t="s">
        <v>31</v>
      </c>
      <c r="O939" t="s">
        <v>32</v>
      </c>
      <c r="P939">
        <v>13</v>
      </c>
      <c r="Q939">
        <v>16</v>
      </c>
      <c r="R939">
        <v>3</v>
      </c>
      <c r="S939" t="s">
        <v>31</v>
      </c>
      <c r="T939">
        <v>4</v>
      </c>
      <c r="U939" t="s">
        <v>31</v>
      </c>
      <c r="V939" s="1">
        <v>43926</v>
      </c>
      <c r="X939" s="1" t="str">
        <f t="shared" si="42"/>
        <v>Active</v>
      </c>
      <c r="Y939" t="str">
        <f t="shared" si="43"/>
        <v>36-45</v>
      </c>
      <c r="Z939" t="str">
        <f t="shared" si="44"/>
        <v>4-5 Years</v>
      </c>
    </row>
    <row r="940" spans="1:26" x14ac:dyDescent="0.35">
      <c r="A940" t="s">
        <v>996</v>
      </c>
      <c r="B940">
        <v>54</v>
      </c>
      <c r="C940" t="s">
        <v>27</v>
      </c>
      <c r="D940" t="s">
        <v>49</v>
      </c>
      <c r="E940" t="s">
        <v>50</v>
      </c>
      <c r="F940" t="s">
        <v>78</v>
      </c>
      <c r="G940">
        <v>128323</v>
      </c>
      <c r="H940">
        <v>15</v>
      </c>
      <c r="I940">
        <v>33</v>
      </c>
      <c r="J940">
        <v>5</v>
      </c>
      <c r="K940">
        <v>2</v>
      </c>
      <c r="L940">
        <v>3</v>
      </c>
      <c r="M940">
        <v>1</v>
      </c>
      <c r="N940" t="s">
        <v>31</v>
      </c>
      <c r="O940" t="s">
        <v>47</v>
      </c>
      <c r="P940">
        <v>20</v>
      </c>
      <c r="Q940">
        <v>11</v>
      </c>
      <c r="R940">
        <v>3</v>
      </c>
      <c r="S940" t="s">
        <v>33</v>
      </c>
      <c r="T940">
        <v>2</v>
      </c>
      <c r="U940" t="s">
        <v>31</v>
      </c>
      <c r="V940" s="1">
        <v>40940</v>
      </c>
      <c r="X940" s="1" t="str">
        <f t="shared" si="42"/>
        <v>Active</v>
      </c>
      <c r="Y940" t="str">
        <f t="shared" si="43"/>
        <v>46-55</v>
      </c>
      <c r="Z940" t="str">
        <f t="shared" si="44"/>
        <v>10+ Years</v>
      </c>
    </row>
    <row r="941" spans="1:26" x14ac:dyDescent="0.35">
      <c r="A941" t="s">
        <v>997</v>
      </c>
      <c r="B941">
        <v>57</v>
      </c>
      <c r="C941" t="s">
        <v>44</v>
      </c>
      <c r="D941" t="s">
        <v>49</v>
      </c>
      <c r="E941" t="s">
        <v>68</v>
      </c>
      <c r="F941" t="s">
        <v>56</v>
      </c>
      <c r="G941">
        <v>57909</v>
      </c>
      <c r="H941">
        <v>1</v>
      </c>
      <c r="I941">
        <v>34</v>
      </c>
      <c r="J941">
        <v>2</v>
      </c>
      <c r="K941">
        <v>4</v>
      </c>
      <c r="L941">
        <v>3</v>
      </c>
      <c r="M941">
        <v>1</v>
      </c>
      <c r="N941" t="s">
        <v>31</v>
      </c>
      <c r="O941" t="s">
        <v>32</v>
      </c>
      <c r="P941">
        <v>1</v>
      </c>
      <c r="Q941">
        <v>24</v>
      </c>
      <c r="R941">
        <v>3</v>
      </c>
      <c r="S941" t="s">
        <v>31</v>
      </c>
      <c r="T941">
        <v>4</v>
      </c>
      <c r="U941" t="s">
        <v>31</v>
      </c>
      <c r="V941" s="1">
        <v>41697</v>
      </c>
      <c r="X941" s="1" t="str">
        <f t="shared" si="42"/>
        <v>Active</v>
      </c>
      <c r="Y941" t="str">
        <f t="shared" si="43"/>
        <v>56+</v>
      </c>
      <c r="Z941" t="str">
        <f t="shared" si="44"/>
        <v>0-1 Year</v>
      </c>
    </row>
    <row r="942" spans="1:26" x14ac:dyDescent="0.35">
      <c r="A942" t="s">
        <v>998</v>
      </c>
      <c r="B942">
        <v>59</v>
      </c>
      <c r="C942" t="s">
        <v>27</v>
      </c>
      <c r="D942" t="s">
        <v>28</v>
      </c>
      <c r="E942" t="s">
        <v>29</v>
      </c>
      <c r="F942" t="s">
        <v>56</v>
      </c>
      <c r="G942">
        <v>142203</v>
      </c>
      <c r="H942">
        <v>20</v>
      </c>
      <c r="I942">
        <v>36</v>
      </c>
      <c r="J942">
        <v>5</v>
      </c>
      <c r="K942">
        <v>1</v>
      </c>
      <c r="L942">
        <v>3</v>
      </c>
      <c r="M942">
        <v>4</v>
      </c>
      <c r="N942" t="s">
        <v>31</v>
      </c>
      <c r="O942" t="s">
        <v>42</v>
      </c>
      <c r="P942">
        <v>25</v>
      </c>
      <c r="Q942">
        <v>41</v>
      </c>
      <c r="R942">
        <v>3</v>
      </c>
      <c r="S942" t="s">
        <v>33</v>
      </c>
      <c r="T942">
        <v>3</v>
      </c>
      <c r="U942" t="s">
        <v>33</v>
      </c>
      <c r="V942" s="1">
        <v>42840</v>
      </c>
      <c r="W942" s="1">
        <v>43387</v>
      </c>
      <c r="X942" s="1" t="str">
        <f t="shared" si="42"/>
        <v>2018-10-14</v>
      </c>
      <c r="Y942" t="str">
        <f t="shared" si="43"/>
        <v>56+</v>
      </c>
      <c r="Z942" t="str">
        <f t="shared" si="44"/>
        <v>10+ Years</v>
      </c>
    </row>
    <row r="943" spans="1:26" x14ac:dyDescent="0.35">
      <c r="A943" t="s">
        <v>999</v>
      </c>
      <c r="B943">
        <v>23</v>
      </c>
      <c r="C943" t="s">
        <v>27</v>
      </c>
      <c r="D943" t="s">
        <v>52</v>
      </c>
      <c r="E943" t="s">
        <v>55</v>
      </c>
      <c r="F943" t="s">
        <v>61</v>
      </c>
      <c r="G943">
        <v>44457</v>
      </c>
      <c r="H943">
        <v>0</v>
      </c>
      <c r="I943">
        <v>2</v>
      </c>
      <c r="J943">
        <v>1</v>
      </c>
      <c r="K943">
        <v>3</v>
      </c>
      <c r="L943">
        <v>1</v>
      </c>
      <c r="M943">
        <v>3</v>
      </c>
      <c r="N943" t="s">
        <v>31</v>
      </c>
      <c r="O943" t="s">
        <v>32</v>
      </c>
      <c r="P943">
        <v>15</v>
      </c>
      <c r="Q943">
        <v>46</v>
      </c>
      <c r="R943">
        <v>2</v>
      </c>
      <c r="S943" t="s">
        <v>31</v>
      </c>
      <c r="T943">
        <v>3</v>
      </c>
      <c r="U943" t="s">
        <v>31</v>
      </c>
      <c r="V943" s="1">
        <v>44276</v>
      </c>
      <c r="X943" s="1" t="str">
        <f t="shared" si="42"/>
        <v>Active</v>
      </c>
      <c r="Y943" t="str">
        <f t="shared" si="43"/>
        <v>18-25</v>
      </c>
      <c r="Z943" t="str">
        <f t="shared" si="44"/>
        <v>0-1 Year</v>
      </c>
    </row>
    <row r="944" spans="1:26" x14ac:dyDescent="0.35">
      <c r="A944" t="s">
        <v>1000</v>
      </c>
      <c r="B944">
        <v>32</v>
      </c>
      <c r="C944" t="s">
        <v>27</v>
      </c>
      <c r="D944" t="s">
        <v>35</v>
      </c>
      <c r="E944" t="s">
        <v>85</v>
      </c>
      <c r="F944" t="s">
        <v>30</v>
      </c>
      <c r="G944">
        <v>42154</v>
      </c>
      <c r="H944">
        <v>0</v>
      </c>
      <c r="I944">
        <v>9</v>
      </c>
      <c r="J944">
        <v>1</v>
      </c>
      <c r="K944">
        <v>2</v>
      </c>
      <c r="L944">
        <v>4</v>
      </c>
      <c r="M944">
        <v>4</v>
      </c>
      <c r="N944" t="s">
        <v>31</v>
      </c>
      <c r="O944" t="s">
        <v>32</v>
      </c>
      <c r="P944">
        <v>16</v>
      </c>
      <c r="Q944">
        <v>36</v>
      </c>
      <c r="R944">
        <v>3</v>
      </c>
      <c r="S944" t="s">
        <v>31</v>
      </c>
      <c r="T944">
        <v>4</v>
      </c>
      <c r="U944" t="s">
        <v>31</v>
      </c>
      <c r="V944" s="1">
        <v>41950</v>
      </c>
      <c r="X944" s="1" t="str">
        <f t="shared" si="42"/>
        <v>Active</v>
      </c>
      <c r="Y944" t="str">
        <f t="shared" si="43"/>
        <v>26-35</v>
      </c>
      <c r="Z944" t="str">
        <f t="shared" si="44"/>
        <v>0-1 Year</v>
      </c>
    </row>
    <row r="945" spans="1:26" x14ac:dyDescent="0.35">
      <c r="A945" t="s">
        <v>1001</v>
      </c>
      <c r="B945">
        <v>48</v>
      </c>
      <c r="C945" t="s">
        <v>27</v>
      </c>
      <c r="D945" t="s">
        <v>49</v>
      </c>
      <c r="E945" t="s">
        <v>68</v>
      </c>
      <c r="F945" t="s">
        <v>30</v>
      </c>
      <c r="G945">
        <v>134299</v>
      </c>
      <c r="H945">
        <v>15</v>
      </c>
      <c r="I945">
        <v>25</v>
      </c>
      <c r="J945">
        <v>5</v>
      </c>
      <c r="K945">
        <v>1</v>
      </c>
      <c r="L945">
        <v>2</v>
      </c>
      <c r="M945">
        <v>4</v>
      </c>
      <c r="N945" t="s">
        <v>31</v>
      </c>
      <c r="O945" t="s">
        <v>32</v>
      </c>
      <c r="P945">
        <v>4</v>
      </c>
      <c r="Q945">
        <v>29</v>
      </c>
      <c r="R945">
        <v>3</v>
      </c>
      <c r="S945" t="s">
        <v>31</v>
      </c>
      <c r="T945">
        <v>7</v>
      </c>
      <c r="U945" t="s">
        <v>31</v>
      </c>
      <c r="V945" s="1">
        <v>43953</v>
      </c>
      <c r="X945" s="1" t="str">
        <f t="shared" si="42"/>
        <v>Active</v>
      </c>
      <c r="Y945" t="str">
        <f t="shared" si="43"/>
        <v>46-55</v>
      </c>
      <c r="Z945" t="str">
        <f t="shared" si="44"/>
        <v>10+ Years</v>
      </c>
    </row>
    <row r="946" spans="1:26" x14ac:dyDescent="0.35">
      <c r="A946" t="s">
        <v>1002</v>
      </c>
      <c r="B946">
        <v>54</v>
      </c>
      <c r="C946" t="s">
        <v>27</v>
      </c>
      <c r="D946" t="s">
        <v>39</v>
      </c>
      <c r="E946" t="s">
        <v>74</v>
      </c>
      <c r="F946" t="s">
        <v>78</v>
      </c>
      <c r="G946">
        <v>135463</v>
      </c>
      <c r="H946">
        <v>18</v>
      </c>
      <c r="I946">
        <v>31</v>
      </c>
      <c r="J946">
        <v>5</v>
      </c>
      <c r="K946">
        <v>4</v>
      </c>
      <c r="L946">
        <v>3</v>
      </c>
      <c r="M946">
        <v>4</v>
      </c>
      <c r="N946" t="s">
        <v>33</v>
      </c>
      <c r="O946" t="s">
        <v>32</v>
      </c>
      <c r="P946">
        <v>14</v>
      </c>
      <c r="Q946">
        <v>46</v>
      </c>
      <c r="R946">
        <v>2</v>
      </c>
      <c r="S946" t="s">
        <v>31</v>
      </c>
      <c r="T946">
        <v>1</v>
      </c>
      <c r="U946" t="s">
        <v>33</v>
      </c>
      <c r="V946" s="1">
        <v>43550</v>
      </c>
      <c r="W946" s="1">
        <v>44143</v>
      </c>
      <c r="X946" s="1" t="str">
        <f t="shared" si="42"/>
        <v>2020-11-08</v>
      </c>
      <c r="Y946" t="str">
        <f t="shared" si="43"/>
        <v>46-55</v>
      </c>
      <c r="Z946" t="str">
        <f t="shared" si="44"/>
        <v>10+ Years</v>
      </c>
    </row>
    <row r="947" spans="1:26" x14ac:dyDescent="0.35">
      <c r="A947" t="s">
        <v>1003</v>
      </c>
      <c r="B947">
        <v>22</v>
      </c>
      <c r="C947" t="s">
        <v>44</v>
      </c>
      <c r="D947" t="s">
        <v>35</v>
      </c>
      <c r="E947" t="s">
        <v>36</v>
      </c>
      <c r="F947" t="s">
        <v>30</v>
      </c>
      <c r="G947">
        <v>58635</v>
      </c>
      <c r="H947">
        <v>0</v>
      </c>
      <c r="I947">
        <v>1</v>
      </c>
      <c r="J947">
        <v>2</v>
      </c>
      <c r="K947">
        <v>2</v>
      </c>
      <c r="L947">
        <v>3</v>
      </c>
      <c r="M947">
        <v>3</v>
      </c>
      <c r="N947" t="s">
        <v>31</v>
      </c>
      <c r="O947" t="s">
        <v>32</v>
      </c>
      <c r="P947">
        <v>4</v>
      </c>
      <c r="Q947">
        <v>39</v>
      </c>
      <c r="R947">
        <v>4</v>
      </c>
      <c r="S947" t="s">
        <v>31</v>
      </c>
      <c r="T947">
        <v>2</v>
      </c>
      <c r="U947" t="s">
        <v>31</v>
      </c>
      <c r="V947" s="1">
        <v>42867</v>
      </c>
      <c r="X947" s="1" t="str">
        <f t="shared" si="42"/>
        <v>Active</v>
      </c>
      <c r="Y947" t="str">
        <f t="shared" si="43"/>
        <v>18-25</v>
      </c>
      <c r="Z947" t="str">
        <f t="shared" si="44"/>
        <v>0-1 Year</v>
      </c>
    </row>
    <row r="948" spans="1:26" x14ac:dyDescent="0.35">
      <c r="A948" t="s">
        <v>1004</v>
      </c>
      <c r="B948">
        <v>37</v>
      </c>
      <c r="C948" t="s">
        <v>27</v>
      </c>
      <c r="D948" t="s">
        <v>49</v>
      </c>
      <c r="E948" t="s">
        <v>68</v>
      </c>
      <c r="F948" t="s">
        <v>61</v>
      </c>
      <c r="G948">
        <v>101903</v>
      </c>
      <c r="H948">
        <v>9</v>
      </c>
      <c r="I948">
        <v>14</v>
      </c>
      <c r="J948">
        <v>4</v>
      </c>
      <c r="K948">
        <v>2</v>
      </c>
      <c r="L948">
        <v>4</v>
      </c>
      <c r="M948">
        <v>1</v>
      </c>
      <c r="N948" t="s">
        <v>31</v>
      </c>
      <c r="O948" t="s">
        <v>32</v>
      </c>
      <c r="P948">
        <v>19</v>
      </c>
      <c r="Q948">
        <v>35</v>
      </c>
      <c r="R948">
        <v>2</v>
      </c>
      <c r="S948" t="s">
        <v>31</v>
      </c>
      <c r="T948">
        <v>6</v>
      </c>
      <c r="U948" t="s">
        <v>31</v>
      </c>
      <c r="V948" s="1">
        <v>42749</v>
      </c>
      <c r="X948" s="1" t="str">
        <f t="shared" si="42"/>
        <v>Active</v>
      </c>
      <c r="Y948" t="str">
        <f t="shared" si="43"/>
        <v>36-45</v>
      </c>
      <c r="Z948" t="str">
        <f t="shared" si="44"/>
        <v>6-10 Years</v>
      </c>
    </row>
    <row r="949" spans="1:26" x14ac:dyDescent="0.35">
      <c r="A949" t="s">
        <v>1005</v>
      </c>
      <c r="B949">
        <v>46</v>
      </c>
      <c r="C949" t="s">
        <v>27</v>
      </c>
      <c r="D949" t="s">
        <v>28</v>
      </c>
      <c r="E949" t="s">
        <v>29</v>
      </c>
      <c r="F949" t="s">
        <v>41</v>
      </c>
      <c r="G949">
        <v>73299</v>
      </c>
      <c r="H949">
        <v>3</v>
      </c>
      <c r="I949">
        <v>22</v>
      </c>
      <c r="J949">
        <v>3</v>
      </c>
      <c r="K949">
        <v>3</v>
      </c>
      <c r="L949">
        <v>3</v>
      </c>
      <c r="M949">
        <v>4</v>
      </c>
      <c r="N949" t="s">
        <v>31</v>
      </c>
      <c r="O949" t="s">
        <v>32</v>
      </c>
      <c r="P949">
        <v>16</v>
      </c>
      <c r="Q949">
        <v>34</v>
      </c>
      <c r="R949">
        <v>3</v>
      </c>
      <c r="S949" t="s">
        <v>31</v>
      </c>
      <c r="T949">
        <v>4</v>
      </c>
      <c r="U949" t="s">
        <v>33</v>
      </c>
      <c r="V949" s="1">
        <v>41712</v>
      </c>
      <c r="W949" s="1">
        <v>41839</v>
      </c>
      <c r="X949" s="1" t="str">
        <f t="shared" si="42"/>
        <v>2014-07-19</v>
      </c>
      <c r="Y949" t="str">
        <f t="shared" si="43"/>
        <v>46-55</v>
      </c>
      <c r="Z949" t="str">
        <f t="shared" si="44"/>
        <v>2-3 Years</v>
      </c>
    </row>
    <row r="950" spans="1:26" x14ac:dyDescent="0.35">
      <c r="A950" t="s">
        <v>1006</v>
      </c>
      <c r="B950">
        <v>48</v>
      </c>
      <c r="C950" t="s">
        <v>44</v>
      </c>
      <c r="D950" t="s">
        <v>49</v>
      </c>
      <c r="E950" t="s">
        <v>68</v>
      </c>
      <c r="F950" t="s">
        <v>37</v>
      </c>
      <c r="G950">
        <v>43945</v>
      </c>
      <c r="H950">
        <v>1</v>
      </c>
      <c r="I950">
        <v>25</v>
      </c>
      <c r="J950">
        <v>1</v>
      </c>
      <c r="K950">
        <v>2</v>
      </c>
      <c r="L950">
        <v>1</v>
      </c>
      <c r="M950">
        <v>2</v>
      </c>
      <c r="N950" t="s">
        <v>31</v>
      </c>
      <c r="O950" t="s">
        <v>42</v>
      </c>
      <c r="P950">
        <v>19</v>
      </c>
      <c r="Q950">
        <v>23</v>
      </c>
      <c r="R950">
        <v>3</v>
      </c>
      <c r="S950" t="s">
        <v>31</v>
      </c>
      <c r="T950">
        <v>8</v>
      </c>
      <c r="U950" t="s">
        <v>31</v>
      </c>
      <c r="V950" s="1">
        <v>44734</v>
      </c>
      <c r="X950" s="1" t="str">
        <f t="shared" si="42"/>
        <v>Active</v>
      </c>
      <c r="Y950" t="str">
        <f t="shared" si="43"/>
        <v>46-55</v>
      </c>
      <c r="Z950" t="str">
        <f t="shared" si="44"/>
        <v>0-1 Year</v>
      </c>
    </row>
    <row r="951" spans="1:26" x14ac:dyDescent="0.35">
      <c r="A951" t="s">
        <v>1007</v>
      </c>
      <c r="B951">
        <v>58</v>
      </c>
      <c r="C951" t="s">
        <v>44</v>
      </c>
      <c r="D951" t="s">
        <v>35</v>
      </c>
      <c r="E951" t="s">
        <v>36</v>
      </c>
      <c r="F951" t="s">
        <v>41</v>
      </c>
      <c r="G951">
        <v>152269</v>
      </c>
      <c r="H951">
        <v>24</v>
      </c>
      <c r="I951">
        <v>35</v>
      </c>
      <c r="J951">
        <v>5</v>
      </c>
      <c r="K951">
        <v>4</v>
      </c>
      <c r="L951">
        <v>2</v>
      </c>
      <c r="M951">
        <v>1</v>
      </c>
      <c r="N951" t="s">
        <v>31</v>
      </c>
      <c r="O951" t="s">
        <v>32</v>
      </c>
      <c r="P951">
        <v>18</v>
      </c>
      <c r="Q951">
        <v>42</v>
      </c>
      <c r="R951">
        <v>3</v>
      </c>
      <c r="S951" t="s">
        <v>31</v>
      </c>
      <c r="T951">
        <v>9</v>
      </c>
      <c r="U951" t="s">
        <v>31</v>
      </c>
      <c r="V951" s="1">
        <v>43753</v>
      </c>
      <c r="X951" s="1" t="str">
        <f t="shared" si="42"/>
        <v>Active</v>
      </c>
      <c r="Y951" t="str">
        <f t="shared" si="43"/>
        <v>56+</v>
      </c>
      <c r="Z951" t="str">
        <f t="shared" si="44"/>
        <v>10+ Years</v>
      </c>
    </row>
    <row r="952" spans="1:26" x14ac:dyDescent="0.35">
      <c r="A952" t="s">
        <v>1008</v>
      </c>
      <c r="B952">
        <v>32</v>
      </c>
      <c r="C952" t="s">
        <v>27</v>
      </c>
      <c r="D952" t="s">
        <v>35</v>
      </c>
      <c r="E952" t="s">
        <v>85</v>
      </c>
      <c r="F952" t="s">
        <v>37</v>
      </c>
      <c r="G952">
        <v>52202</v>
      </c>
      <c r="H952">
        <v>0</v>
      </c>
      <c r="I952">
        <v>11</v>
      </c>
      <c r="J952">
        <v>2</v>
      </c>
      <c r="K952">
        <v>3</v>
      </c>
      <c r="L952">
        <v>4</v>
      </c>
      <c r="M952">
        <v>3</v>
      </c>
      <c r="N952" t="s">
        <v>31</v>
      </c>
      <c r="O952" t="s">
        <v>32</v>
      </c>
      <c r="P952">
        <v>17</v>
      </c>
      <c r="Q952">
        <v>27</v>
      </c>
      <c r="R952">
        <v>3</v>
      </c>
      <c r="S952" t="s">
        <v>31</v>
      </c>
      <c r="T952">
        <v>4</v>
      </c>
      <c r="U952" t="s">
        <v>31</v>
      </c>
      <c r="V952" s="1">
        <v>42353</v>
      </c>
      <c r="X952" s="1" t="str">
        <f t="shared" si="42"/>
        <v>Active</v>
      </c>
      <c r="Y952" t="str">
        <f t="shared" si="43"/>
        <v>26-35</v>
      </c>
      <c r="Z952" t="str">
        <f t="shared" si="44"/>
        <v>0-1 Year</v>
      </c>
    </row>
    <row r="953" spans="1:26" x14ac:dyDescent="0.35">
      <c r="A953" t="s">
        <v>1009</v>
      </c>
      <c r="B953">
        <v>32</v>
      </c>
      <c r="C953" t="s">
        <v>44</v>
      </c>
      <c r="D953" t="s">
        <v>28</v>
      </c>
      <c r="E953" t="s">
        <v>66</v>
      </c>
      <c r="F953" t="s">
        <v>56</v>
      </c>
      <c r="G953">
        <v>84290</v>
      </c>
      <c r="H953">
        <v>6</v>
      </c>
      <c r="I953">
        <v>8</v>
      </c>
      <c r="J953">
        <v>3</v>
      </c>
      <c r="K953">
        <v>2</v>
      </c>
      <c r="L953">
        <v>1</v>
      </c>
      <c r="M953">
        <v>2</v>
      </c>
      <c r="N953" t="s">
        <v>31</v>
      </c>
      <c r="O953" t="s">
        <v>42</v>
      </c>
      <c r="P953">
        <v>27</v>
      </c>
      <c r="Q953">
        <v>43</v>
      </c>
      <c r="R953">
        <v>3</v>
      </c>
      <c r="S953" t="s">
        <v>31</v>
      </c>
      <c r="T953">
        <v>9</v>
      </c>
      <c r="U953" t="s">
        <v>33</v>
      </c>
      <c r="V953" s="1">
        <v>43950</v>
      </c>
      <c r="W953" s="1">
        <v>44340</v>
      </c>
      <c r="X953" s="1" t="str">
        <f t="shared" si="42"/>
        <v>2021-05-24</v>
      </c>
      <c r="Y953" t="str">
        <f t="shared" si="43"/>
        <v>26-35</v>
      </c>
      <c r="Z953" t="str">
        <f t="shared" si="44"/>
        <v>6-10 Years</v>
      </c>
    </row>
    <row r="954" spans="1:26" x14ac:dyDescent="0.35">
      <c r="A954" t="s">
        <v>1010</v>
      </c>
      <c r="B954">
        <v>25</v>
      </c>
      <c r="C954" t="s">
        <v>27</v>
      </c>
      <c r="D954" t="s">
        <v>52</v>
      </c>
      <c r="E954" t="s">
        <v>55</v>
      </c>
      <c r="F954" t="s">
        <v>56</v>
      </c>
      <c r="G954">
        <v>40604</v>
      </c>
      <c r="H954">
        <v>1</v>
      </c>
      <c r="I954">
        <v>2</v>
      </c>
      <c r="J954">
        <v>1</v>
      </c>
      <c r="K954">
        <v>4</v>
      </c>
      <c r="L954">
        <v>3</v>
      </c>
      <c r="M954">
        <v>3</v>
      </c>
      <c r="N954" t="s">
        <v>31</v>
      </c>
      <c r="O954" t="s">
        <v>32</v>
      </c>
      <c r="P954">
        <v>8</v>
      </c>
      <c r="Q954">
        <v>38</v>
      </c>
      <c r="R954">
        <v>3</v>
      </c>
      <c r="S954" t="s">
        <v>31</v>
      </c>
      <c r="T954">
        <v>7</v>
      </c>
      <c r="U954" t="s">
        <v>31</v>
      </c>
      <c r="V954" s="1">
        <v>41065</v>
      </c>
      <c r="X954" s="1" t="str">
        <f t="shared" si="42"/>
        <v>Active</v>
      </c>
      <c r="Y954" t="str">
        <f t="shared" si="43"/>
        <v>18-25</v>
      </c>
      <c r="Z954" t="str">
        <f t="shared" si="44"/>
        <v>0-1 Year</v>
      </c>
    </row>
    <row r="955" spans="1:26" x14ac:dyDescent="0.35">
      <c r="A955" t="s">
        <v>1011</v>
      </c>
      <c r="B955">
        <v>31</v>
      </c>
      <c r="C955" t="s">
        <v>44</v>
      </c>
      <c r="D955" t="s">
        <v>35</v>
      </c>
      <c r="E955" t="s">
        <v>85</v>
      </c>
      <c r="F955" t="s">
        <v>41</v>
      </c>
      <c r="G955">
        <v>41976</v>
      </c>
      <c r="H955">
        <v>1</v>
      </c>
      <c r="I955">
        <v>10</v>
      </c>
      <c r="J955">
        <v>1</v>
      </c>
      <c r="K955">
        <v>4</v>
      </c>
      <c r="L955">
        <v>4</v>
      </c>
      <c r="M955">
        <v>2</v>
      </c>
      <c r="N955" t="s">
        <v>31</v>
      </c>
      <c r="O955" t="s">
        <v>42</v>
      </c>
      <c r="P955">
        <v>28</v>
      </c>
      <c r="Q955">
        <v>11</v>
      </c>
      <c r="R955">
        <v>3</v>
      </c>
      <c r="S955" t="s">
        <v>31</v>
      </c>
      <c r="T955">
        <v>6</v>
      </c>
      <c r="U955" t="s">
        <v>31</v>
      </c>
      <c r="V955" s="1">
        <v>42276</v>
      </c>
      <c r="X955" s="1" t="str">
        <f t="shared" si="42"/>
        <v>Active</v>
      </c>
      <c r="Y955" t="str">
        <f t="shared" si="43"/>
        <v>26-35</v>
      </c>
      <c r="Z955" t="str">
        <f t="shared" si="44"/>
        <v>0-1 Year</v>
      </c>
    </row>
    <row r="956" spans="1:26" x14ac:dyDescent="0.35">
      <c r="A956" t="s">
        <v>1012</v>
      </c>
      <c r="B956">
        <v>48</v>
      </c>
      <c r="C956" t="s">
        <v>44</v>
      </c>
      <c r="D956" t="s">
        <v>35</v>
      </c>
      <c r="E956" t="s">
        <v>85</v>
      </c>
      <c r="F956" t="s">
        <v>30</v>
      </c>
      <c r="G956">
        <v>110731</v>
      </c>
      <c r="H956">
        <v>11</v>
      </c>
      <c r="I956">
        <v>24</v>
      </c>
      <c r="J956">
        <v>4</v>
      </c>
      <c r="K956">
        <v>1</v>
      </c>
      <c r="L956">
        <v>1</v>
      </c>
      <c r="M956">
        <v>1</v>
      </c>
      <c r="N956" t="s">
        <v>31</v>
      </c>
      <c r="O956" t="s">
        <v>32</v>
      </c>
      <c r="P956">
        <v>1</v>
      </c>
      <c r="Q956">
        <v>19</v>
      </c>
      <c r="R956">
        <v>3</v>
      </c>
      <c r="S956" t="s">
        <v>33</v>
      </c>
      <c r="T956">
        <v>3</v>
      </c>
      <c r="U956" t="s">
        <v>31</v>
      </c>
      <c r="V956" s="1">
        <v>44309</v>
      </c>
      <c r="X956" s="1" t="str">
        <f t="shared" si="42"/>
        <v>Active</v>
      </c>
      <c r="Y956" t="str">
        <f t="shared" si="43"/>
        <v>46-55</v>
      </c>
      <c r="Z956" t="str">
        <f t="shared" si="44"/>
        <v>10+ Years</v>
      </c>
    </row>
    <row r="957" spans="1:26" x14ac:dyDescent="0.35">
      <c r="A957" t="s">
        <v>1013</v>
      </c>
      <c r="B957">
        <v>46</v>
      </c>
      <c r="C957" t="s">
        <v>44</v>
      </c>
      <c r="D957" t="s">
        <v>52</v>
      </c>
      <c r="E957" t="s">
        <v>53</v>
      </c>
      <c r="F957" t="s">
        <v>41</v>
      </c>
      <c r="G957">
        <v>142417</v>
      </c>
      <c r="H957">
        <v>21</v>
      </c>
      <c r="I957">
        <v>25</v>
      </c>
      <c r="J957">
        <v>5</v>
      </c>
      <c r="K957">
        <v>3</v>
      </c>
      <c r="L957">
        <v>4</v>
      </c>
      <c r="M957">
        <v>1</v>
      </c>
      <c r="N957" t="s">
        <v>31</v>
      </c>
      <c r="O957" t="s">
        <v>47</v>
      </c>
      <c r="P957">
        <v>15</v>
      </c>
      <c r="Q957">
        <v>28</v>
      </c>
      <c r="R957">
        <v>3</v>
      </c>
      <c r="S957" t="s">
        <v>31</v>
      </c>
      <c r="T957">
        <v>4</v>
      </c>
      <c r="U957" t="s">
        <v>31</v>
      </c>
      <c r="V957" s="1">
        <v>43474</v>
      </c>
      <c r="X957" s="1" t="str">
        <f t="shared" si="42"/>
        <v>Active</v>
      </c>
      <c r="Y957" t="str">
        <f t="shared" si="43"/>
        <v>46-55</v>
      </c>
      <c r="Z957" t="str">
        <f t="shared" si="44"/>
        <v>10+ Years</v>
      </c>
    </row>
    <row r="958" spans="1:26" x14ac:dyDescent="0.35">
      <c r="A958" t="s">
        <v>1014</v>
      </c>
      <c r="B958">
        <v>48</v>
      </c>
      <c r="C958" t="s">
        <v>44</v>
      </c>
      <c r="D958" t="s">
        <v>52</v>
      </c>
      <c r="E958" t="s">
        <v>53</v>
      </c>
      <c r="F958" t="s">
        <v>61</v>
      </c>
      <c r="G958">
        <v>136230</v>
      </c>
      <c r="H958">
        <v>19</v>
      </c>
      <c r="I958">
        <v>25</v>
      </c>
      <c r="J958">
        <v>5</v>
      </c>
      <c r="K958">
        <v>3</v>
      </c>
      <c r="L958">
        <v>3</v>
      </c>
      <c r="M958">
        <v>2</v>
      </c>
      <c r="N958" t="s">
        <v>31</v>
      </c>
      <c r="O958" t="s">
        <v>47</v>
      </c>
      <c r="P958">
        <v>2</v>
      </c>
      <c r="Q958">
        <v>24</v>
      </c>
      <c r="R958">
        <v>3</v>
      </c>
      <c r="S958" t="s">
        <v>33</v>
      </c>
      <c r="T958">
        <v>7</v>
      </c>
      <c r="U958" t="s">
        <v>33</v>
      </c>
      <c r="V958" s="1">
        <v>42323</v>
      </c>
      <c r="W958" s="1">
        <v>42719</v>
      </c>
      <c r="X958" s="1" t="str">
        <f t="shared" si="42"/>
        <v>2016-12-15</v>
      </c>
      <c r="Y958" t="str">
        <f t="shared" si="43"/>
        <v>46-55</v>
      </c>
      <c r="Z958" t="str">
        <f t="shared" si="44"/>
        <v>10+ Years</v>
      </c>
    </row>
    <row r="959" spans="1:26" x14ac:dyDescent="0.35">
      <c r="A959" t="s">
        <v>1015</v>
      </c>
      <c r="B959">
        <v>57</v>
      </c>
      <c r="C959" t="s">
        <v>44</v>
      </c>
      <c r="D959" t="s">
        <v>52</v>
      </c>
      <c r="E959" t="s">
        <v>55</v>
      </c>
      <c r="F959" t="s">
        <v>78</v>
      </c>
      <c r="G959">
        <v>130476</v>
      </c>
      <c r="H959">
        <v>13</v>
      </c>
      <c r="I959">
        <v>34</v>
      </c>
      <c r="J959">
        <v>5</v>
      </c>
      <c r="K959">
        <v>2</v>
      </c>
      <c r="L959">
        <v>1</v>
      </c>
      <c r="M959">
        <v>1</v>
      </c>
      <c r="N959" t="s">
        <v>31</v>
      </c>
      <c r="O959" t="s">
        <v>32</v>
      </c>
      <c r="P959">
        <v>24</v>
      </c>
      <c r="Q959">
        <v>14</v>
      </c>
      <c r="R959">
        <v>3</v>
      </c>
      <c r="S959" t="s">
        <v>31</v>
      </c>
      <c r="T959">
        <v>6</v>
      </c>
      <c r="U959" t="s">
        <v>31</v>
      </c>
      <c r="V959" s="1">
        <v>44829</v>
      </c>
      <c r="X959" s="1" t="str">
        <f t="shared" si="42"/>
        <v>Active</v>
      </c>
      <c r="Y959" t="str">
        <f t="shared" si="43"/>
        <v>56+</v>
      </c>
      <c r="Z959" t="str">
        <f t="shared" si="44"/>
        <v>10+ Years</v>
      </c>
    </row>
    <row r="960" spans="1:26" x14ac:dyDescent="0.35">
      <c r="A960" t="s">
        <v>1016</v>
      </c>
      <c r="B960">
        <v>34</v>
      </c>
      <c r="C960" t="s">
        <v>27</v>
      </c>
      <c r="D960" t="s">
        <v>35</v>
      </c>
      <c r="E960" t="s">
        <v>36</v>
      </c>
      <c r="F960" t="s">
        <v>78</v>
      </c>
      <c r="G960">
        <v>85424</v>
      </c>
      <c r="H960">
        <v>7</v>
      </c>
      <c r="I960">
        <v>13</v>
      </c>
      <c r="J960">
        <v>3</v>
      </c>
      <c r="K960">
        <v>4</v>
      </c>
      <c r="L960">
        <v>4</v>
      </c>
      <c r="M960">
        <v>4</v>
      </c>
      <c r="N960" t="s">
        <v>31</v>
      </c>
      <c r="O960" t="s">
        <v>47</v>
      </c>
      <c r="P960">
        <v>5</v>
      </c>
      <c r="Q960">
        <v>26</v>
      </c>
      <c r="R960">
        <v>4</v>
      </c>
      <c r="S960" t="s">
        <v>33</v>
      </c>
      <c r="T960">
        <v>8</v>
      </c>
      <c r="U960" t="s">
        <v>31</v>
      </c>
      <c r="V960" s="1">
        <v>43030</v>
      </c>
      <c r="X960" s="1" t="str">
        <f t="shared" si="42"/>
        <v>Active</v>
      </c>
      <c r="Y960" t="str">
        <f t="shared" si="43"/>
        <v>26-35</v>
      </c>
      <c r="Z960" t="str">
        <f t="shared" si="44"/>
        <v>6-10 Years</v>
      </c>
    </row>
    <row r="961" spans="1:26" x14ac:dyDescent="0.35">
      <c r="A961" t="s">
        <v>1017</v>
      </c>
      <c r="B961">
        <v>26</v>
      </c>
      <c r="C961" t="s">
        <v>27</v>
      </c>
      <c r="D961" t="s">
        <v>52</v>
      </c>
      <c r="E961" t="s">
        <v>53</v>
      </c>
      <c r="F961" t="s">
        <v>78</v>
      </c>
      <c r="G961">
        <v>67520</v>
      </c>
      <c r="H961">
        <v>4</v>
      </c>
      <c r="I961">
        <v>5</v>
      </c>
      <c r="J961">
        <v>2</v>
      </c>
      <c r="K961">
        <v>2</v>
      </c>
      <c r="L961">
        <v>4</v>
      </c>
      <c r="M961">
        <v>3</v>
      </c>
      <c r="N961" t="s">
        <v>31</v>
      </c>
      <c r="O961" t="s">
        <v>32</v>
      </c>
      <c r="P961">
        <v>23</v>
      </c>
      <c r="Q961">
        <v>43</v>
      </c>
      <c r="R961">
        <v>3</v>
      </c>
      <c r="S961" t="s">
        <v>31</v>
      </c>
      <c r="T961">
        <v>5</v>
      </c>
      <c r="U961" t="s">
        <v>33</v>
      </c>
      <c r="V961" s="1">
        <v>41413</v>
      </c>
      <c r="W961" s="1">
        <v>41812</v>
      </c>
      <c r="X961" s="1" t="str">
        <f t="shared" si="42"/>
        <v>2014-06-22</v>
      </c>
      <c r="Y961" t="str">
        <f t="shared" si="43"/>
        <v>26-35</v>
      </c>
      <c r="Z961" t="str">
        <f t="shared" si="44"/>
        <v>4-5 Years</v>
      </c>
    </row>
    <row r="962" spans="1:26" x14ac:dyDescent="0.35">
      <c r="A962" t="s">
        <v>1018</v>
      </c>
      <c r="B962">
        <v>58</v>
      </c>
      <c r="C962" t="s">
        <v>27</v>
      </c>
      <c r="D962" t="s">
        <v>49</v>
      </c>
      <c r="E962" t="s">
        <v>68</v>
      </c>
      <c r="F962" t="s">
        <v>37</v>
      </c>
      <c r="G962">
        <v>97201</v>
      </c>
      <c r="H962">
        <v>7</v>
      </c>
      <c r="I962">
        <v>34</v>
      </c>
      <c r="J962">
        <v>4</v>
      </c>
      <c r="K962">
        <v>2</v>
      </c>
      <c r="L962">
        <v>1</v>
      </c>
      <c r="M962">
        <v>1</v>
      </c>
      <c r="N962" t="s">
        <v>33</v>
      </c>
      <c r="O962" t="s">
        <v>42</v>
      </c>
      <c r="P962">
        <v>22</v>
      </c>
      <c r="Q962">
        <v>23</v>
      </c>
      <c r="R962">
        <v>3</v>
      </c>
      <c r="S962" t="s">
        <v>33</v>
      </c>
      <c r="T962">
        <v>0</v>
      </c>
      <c r="U962" t="s">
        <v>31</v>
      </c>
      <c r="V962" s="1">
        <v>40972</v>
      </c>
      <c r="X962" s="1" t="str">
        <f t="shared" si="42"/>
        <v>Active</v>
      </c>
      <c r="Y962" t="str">
        <f t="shared" si="43"/>
        <v>56+</v>
      </c>
      <c r="Z962" t="str">
        <f t="shared" si="44"/>
        <v>6-10 Years</v>
      </c>
    </row>
    <row r="963" spans="1:26" x14ac:dyDescent="0.35">
      <c r="A963" t="s">
        <v>1019</v>
      </c>
      <c r="B963">
        <v>33</v>
      </c>
      <c r="C963" t="s">
        <v>44</v>
      </c>
      <c r="D963" t="s">
        <v>39</v>
      </c>
      <c r="E963" t="s">
        <v>74</v>
      </c>
      <c r="F963" t="s">
        <v>41</v>
      </c>
      <c r="G963">
        <v>37931</v>
      </c>
      <c r="H963">
        <v>0</v>
      </c>
      <c r="I963">
        <v>11</v>
      </c>
      <c r="J963">
        <v>1</v>
      </c>
      <c r="K963">
        <v>4</v>
      </c>
      <c r="L963">
        <v>3</v>
      </c>
      <c r="M963">
        <v>1</v>
      </c>
      <c r="N963" t="s">
        <v>31</v>
      </c>
      <c r="O963" t="s">
        <v>42</v>
      </c>
      <c r="P963">
        <v>17</v>
      </c>
      <c r="Q963">
        <v>21</v>
      </c>
      <c r="R963">
        <v>4</v>
      </c>
      <c r="S963" t="s">
        <v>31</v>
      </c>
      <c r="T963">
        <v>1</v>
      </c>
      <c r="U963" t="s">
        <v>31</v>
      </c>
      <c r="V963" s="1">
        <v>41560</v>
      </c>
      <c r="X963" s="1" t="str">
        <f t="shared" ref="X963:X1001" si="45">IF(ISBLANK(W963), "Active", TEXT(W963, "yyyy-mm-dd"))</f>
        <v>Active</v>
      </c>
      <c r="Y963" t="str">
        <f t="shared" ref="Y963:Y1001" si="46">_xlfn.IFS(B963&lt;=25, "18-25", B963&lt;=35, "26-35", B963&lt;=45, "36-45", B963&lt;=55, "46-55", B963&gt;55, "56+")</f>
        <v>26-35</v>
      </c>
      <c r="Z963" t="str">
        <f t="shared" ref="Z963:Z1001" si="47">_xlfn.IFS(H963&lt;=1, "0-1 Year", H963&lt;=3, "2-3 Years", H963&lt;=5, "4-5 Years", H963&lt;=10, "6-10 Years", H963&gt;10, "10+ Years")</f>
        <v>0-1 Year</v>
      </c>
    </row>
    <row r="964" spans="1:26" x14ac:dyDescent="0.35">
      <c r="A964" t="s">
        <v>1020</v>
      </c>
      <c r="B964">
        <v>48</v>
      </c>
      <c r="C964" t="s">
        <v>44</v>
      </c>
      <c r="D964" t="s">
        <v>28</v>
      </c>
      <c r="E964" t="s">
        <v>66</v>
      </c>
      <c r="F964" t="s">
        <v>30</v>
      </c>
      <c r="G964">
        <v>142056</v>
      </c>
      <c r="H964">
        <v>20</v>
      </c>
      <c r="I964">
        <v>27</v>
      </c>
      <c r="J964">
        <v>5</v>
      </c>
      <c r="K964">
        <v>1</v>
      </c>
      <c r="L964">
        <v>3</v>
      </c>
      <c r="M964">
        <v>2</v>
      </c>
      <c r="N964" t="s">
        <v>31</v>
      </c>
      <c r="O964" t="s">
        <v>32</v>
      </c>
      <c r="P964">
        <v>2</v>
      </c>
      <c r="Q964">
        <v>31</v>
      </c>
      <c r="R964">
        <v>3</v>
      </c>
      <c r="S964" t="s">
        <v>31</v>
      </c>
      <c r="T964">
        <v>1</v>
      </c>
      <c r="U964" t="s">
        <v>31</v>
      </c>
      <c r="V964" s="1">
        <v>41479</v>
      </c>
      <c r="X964" s="1" t="str">
        <f t="shared" si="45"/>
        <v>Active</v>
      </c>
      <c r="Y964" t="str">
        <f t="shared" si="46"/>
        <v>46-55</v>
      </c>
      <c r="Z964" t="str">
        <f t="shared" si="47"/>
        <v>10+ Years</v>
      </c>
    </row>
    <row r="965" spans="1:26" x14ac:dyDescent="0.35">
      <c r="A965" t="s">
        <v>1021</v>
      </c>
      <c r="B965">
        <v>25</v>
      </c>
      <c r="C965" t="s">
        <v>27</v>
      </c>
      <c r="D965" t="s">
        <v>49</v>
      </c>
      <c r="E965" t="s">
        <v>68</v>
      </c>
      <c r="F965" t="s">
        <v>78</v>
      </c>
      <c r="G965">
        <v>64526</v>
      </c>
      <c r="H965">
        <v>3</v>
      </c>
      <c r="I965">
        <v>4</v>
      </c>
      <c r="J965">
        <v>2</v>
      </c>
      <c r="K965">
        <v>1</v>
      </c>
      <c r="L965">
        <v>4</v>
      </c>
      <c r="M965">
        <v>4</v>
      </c>
      <c r="N965" t="s">
        <v>31</v>
      </c>
      <c r="O965" t="s">
        <v>32</v>
      </c>
      <c r="P965">
        <v>14</v>
      </c>
      <c r="Q965">
        <v>57</v>
      </c>
      <c r="R965">
        <v>3</v>
      </c>
      <c r="S965" t="s">
        <v>31</v>
      </c>
      <c r="T965">
        <v>1</v>
      </c>
      <c r="U965" t="s">
        <v>31</v>
      </c>
      <c r="V965" s="1">
        <v>44470</v>
      </c>
      <c r="X965" s="1" t="str">
        <f t="shared" si="45"/>
        <v>Active</v>
      </c>
      <c r="Y965" t="str">
        <f t="shared" si="46"/>
        <v>18-25</v>
      </c>
      <c r="Z965" t="str">
        <f t="shared" si="47"/>
        <v>2-3 Years</v>
      </c>
    </row>
    <row r="966" spans="1:26" x14ac:dyDescent="0.35">
      <c r="A966" t="s">
        <v>1022</v>
      </c>
      <c r="B966">
        <v>56</v>
      </c>
      <c r="C966" t="s">
        <v>44</v>
      </c>
      <c r="D966" t="s">
        <v>28</v>
      </c>
      <c r="E966" t="s">
        <v>29</v>
      </c>
      <c r="F966" t="s">
        <v>37</v>
      </c>
      <c r="G966">
        <v>100198</v>
      </c>
      <c r="H966">
        <v>9</v>
      </c>
      <c r="I966">
        <v>32</v>
      </c>
      <c r="J966">
        <v>4</v>
      </c>
      <c r="K966">
        <v>1</v>
      </c>
      <c r="L966">
        <v>3</v>
      </c>
      <c r="M966">
        <v>1</v>
      </c>
      <c r="N966" t="s">
        <v>31</v>
      </c>
      <c r="O966" t="s">
        <v>32</v>
      </c>
      <c r="P966">
        <v>25</v>
      </c>
      <c r="Q966">
        <v>17</v>
      </c>
      <c r="R966">
        <v>3</v>
      </c>
      <c r="S966" t="s">
        <v>31</v>
      </c>
      <c r="T966">
        <v>5</v>
      </c>
      <c r="U966" t="s">
        <v>31</v>
      </c>
      <c r="V966" s="1">
        <v>44757</v>
      </c>
      <c r="X966" s="1" t="str">
        <f t="shared" si="45"/>
        <v>Active</v>
      </c>
      <c r="Y966" t="str">
        <f t="shared" si="46"/>
        <v>56+</v>
      </c>
      <c r="Z966" t="str">
        <f t="shared" si="47"/>
        <v>6-10 Years</v>
      </c>
    </row>
    <row r="967" spans="1:26" x14ac:dyDescent="0.35">
      <c r="A967" t="s">
        <v>1023</v>
      </c>
      <c r="B967">
        <v>27</v>
      </c>
      <c r="C967" t="s">
        <v>44</v>
      </c>
      <c r="D967" t="s">
        <v>35</v>
      </c>
      <c r="E967" t="s">
        <v>36</v>
      </c>
      <c r="F967" t="s">
        <v>56</v>
      </c>
      <c r="G967">
        <v>61515</v>
      </c>
      <c r="H967">
        <v>4</v>
      </c>
      <c r="I967">
        <v>5</v>
      </c>
      <c r="J967">
        <v>2</v>
      </c>
      <c r="K967">
        <v>3</v>
      </c>
      <c r="L967">
        <v>1</v>
      </c>
      <c r="M967">
        <v>1</v>
      </c>
      <c r="N967" t="s">
        <v>33</v>
      </c>
      <c r="O967" t="s">
        <v>32</v>
      </c>
      <c r="P967">
        <v>16</v>
      </c>
      <c r="Q967">
        <v>49</v>
      </c>
      <c r="R967">
        <v>2</v>
      </c>
      <c r="S967" t="s">
        <v>31</v>
      </c>
      <c r="T967">
        <v>8</v>
      </c>
      <c r="U967" t="s">
        <v>31</v>
      </c>
      <c r="V967" s="1">
        <v>41227</v>
      </c>
      <c r="X967" s="1" t="str">
        <f t="shared" si="45"/>
        <v>Active</v>
      </c>
      <c r="Y967" t="str">
        <f t="shared" si="46"/>
        <v>26-35</v>
      </c>
      <c r="Z967" t="str">
        <f t="shared" si="47"/>
        <v>4-5 Years</v>
      </c>
    </row>
    <row r="968" spans="1:26" x14ac:dyDescent="0.35">
      <c r="A968" t="s">
        <v>1024</v>
      </c>
      <c r="B968">
        <v>49</v>
      </c>
      <c r="C968" t="s">
        <v>27</v>
      </c>
      <c r="D968" t="s">
        <v>35</v>
      </c>
      <c r="E968" t="s">
        <v>36</v>
      </c>
      <c r="F968" t="s">
        <v>78</v>
      </c>
      <c r="G968">
        <v>101606</v>
      </c>
      <c r="H968">
        <v>7</v>
      </c>
      <c r="I968">
        <v>28</v>
      </c>
      <c r="J968">
        <v>4</v>
      </c>
      <c r="K968">
        <v>1</v>
      </c>
      <c r="L968">
        <v>4</v>
      </c>
      <c r="M968">
        <v>2</v>
      </c>
      <c r="N968" t="s">
        <v>31</v>
      </c>
      <c r="O968" t="s">
        <v>32</v>
      </c>
      <c r="P968">
        <v>18</v>
      </c>
      <c r="Q968">
        <v>41</v>
      </c>
      <c r="R968">
        <v>4</v>
      </c>
      <c r="S968" t="s">
        <v>31</v>
      </c>
      <c r="T968">
        <v>3</v>
      </c>
      <c r="U968" t="s">
        <v>31</v>
      </c>
      <c r="V968" s="1">
        <v>41628</v>
      </c>
      <c r="X968" s="1" t="str">
        <f t="shared" si="45"/>
        <v>Active</v>
      </c>
      <c r="Y968" t="str">
        <f t="shared" si="46"/>
        <v>46-55</v>
      </c>
      <c r="Z968" t="str">
        <f t="shared" si="47"/>
        <v>6-10 Years</v>
      </c>
    </row>
    <row r="969" spans="1:26" x14ac:dyDescent="0.35">
      <c r="A969" t="s">
        <v>1025</v>
      </c>
      <c r="B969">
        <v>39</v>
      </c>
      <c r="C969" t="s">
        <v>44</v>
      </c>
      <c r="D969" t="s">
        <v>35</v>
      </c>
      <c r="E969" t="s">
        <v>85</v>
      </c>
      <c r="F969" t="s">
        <v>41</v>
      </c>
      <c r="G969">
        <v>57172</v>
      </c>
      <c r="H969">
        <v>1</v>
      </c>
      <c r="I969">
        <v>18</v>
      </c>
      <c r="J969">
        <v>2</v>
      </c>
      <c r="K969">
        <v>2</v>
      </c>
      <c r="L969">
        <v>3</v>
      </c>
      <c r="M969">
        <v>2</v>
      </c>
      <c r="N969" t="s">
        <v>31</v>
      </c>
      <c r="O969" t="s">
        <v>47</v>
      </c>
      <c r="P969">
        <v>11</v>
      </c>
      <c r="Q969">
        <v>41</v>
      </c>
      <c r="R969">
        <v>3</v>
      </c>
      <c r="S969" t="s">
        <v>31</v>
      </c>
      <c r="T969">
        <v>7</v>
      </c>
      <c r="U969" t="s">
        <v>31</v>
      </c>
      <c r="V969" s="1">
        <v>41602</v>
      </c>
      <c r="X969" s="1" t="str">
        <f t="shared" si="45"/>
        <v>Active</v>
      </c>
      <c r="Y969" t="str">
        <f t="shared" si="46"/>
        <v>36-45</v>
      </c>
      <c r="Z969" t="str">
        <f t="shared" si="47"/>
        <v>0-1 Year</v>
      </c>
    </row>
    <row r="970" spans="1:26" x14ac:dyDescent="0.35">
      <c r="A970" t="s">
        <v>1026</v>
      </c>
      <c r="B970">
        <v>52</v>
      </c>
      <c r="C970" t="s">
        <v>27</v>
      </c>
      <c r="D970" t="s">
        <v>45</v>
      </c>
      <c r="E970" t="s">
        <v>46</v>
      </c>
      <c r="F970" t="s">
        <v>30</v>
      </c>
      <c r="G970">
        <v>147453</v>
      </c>
      <c r="H970">
        <v>24</v>
      </c>
      <c r="I970">
        <v>29</v>
      </c>
      <c r="J970">
        <v>5</v>
      </c>
      <c r="K970">
        <v>4</v>
      </c>
      <c r="L970">
        <v>1</v>
      </c>
      <c r="M970">
        <v>3</v>
      </c>
      <c r="N970" t="s">
        <v>31</v>
      </c>
      <c r="O970" t="s">
        <v>32</v>
      </c>
      <c r="P970">
        <v>9</v>
      </c>
      <c r="Q970">
        <v>31</v>
      </c>
      <c r="R970">
        <v>3</v>
      </c>
      <c r="S970" t="s">
        <v>31</v>
      </c>
      <c r="T970">
        <v>3</v>
      </c>
      <c r="U970" t="s">
        <v>31</v>
      </c>
      <c r="V970" s="1">
        <v>43905</v>
      </c>
      <c r="X970" s="1" t="str">
        <f t="shared" si="45"/>
        <v>Active</v>
      </c>
      <c r="Y970" t="str">
        <f t="shared" si="46"/>
        <v>46-55</v>
      </c>
      <c r="Z970" t="str">
        <f t="shared" si="47"/>
        <v>10+ Years</v>
      </c>
    </row>
    <row r="971" spans="1:26" x14ac:dyDescent="0.35">
      <c r="A971" t="s">
        <v>1027</v>
      </c>
      <c r="B971">
        <v>48</v>
      </c>
      <c r="C971" t="s">
        <v>44</v>
      </c>
      <c r="D971" t="s">
        <v>52</v>
      </c>
      <c r="E971" t="s">
        <v>55</v>
      </c>
      <c r="F971" t="s">
        <v>30</v>
      </c>
      <c r="G971">
        <v>130005</v>
      </c>
      <c r="H971">
        <v>15</v>
      </c>
      <c r="I971">
        <v>27</v>
      </c>
      <c r="J971">
        <v>5</v>
      </c>
      <c r="K971">
        <v>3</v>
      </c>
      <c r="L971">
        <v>1</v>
      </c>
      <c r="M971">
        <v>2</v>
      </c>
      <c r="N971" t="s">
        <v>31</v>
      </c>
      <c r="O971" t="s">
        <v>32</v>
      </c>
      <c r="P971">
        <v>12</v>
      </c>
      <c r="Q971">
        <v>17</v>
      </c>
      <c r="R971">
        <v>3</v>
      </c>
      <c r="S971" t="s">
        <v>31</v>
      </c>
      <c r="T971">
        <v>0</v>
      </c>
      <c r="U971" t="s">
        <v>31</v>
      </c>
      <c r="V971" s="1">
        <v>43686</v>
      </c>
      <c r="X971" s="1" t="str">
        <f t="shared" si="45"/>
        <v>Active</v>
      </c>
      <c r="Y971" t="str">
        <f t="shared" si="46"/>
        <v>46-55</v>
      </c>
      <c r="Z971" t="str">
        <f t="shared" si="47"/>
        <v>10+ Years</v>
      </c>
    </row>
    <row r="972" spans="1:26" x14ac:dyDescent="0.35">
      <c r="A972" t="s">
        <v>1028</v>
      </c>
      <c r="B972">
        <v>44</v>
      </c>
      <c r="C972" t="s">
        <v>27</v>
      </c>
      <c r="D972" t="s">
        <v>39</v>
      </c>
      <c r="E972" t="s">
        <v>40</v>
      </c>
      <c r="F972" t="s">
        <v>30</v>
      </c>
      <c r="G972">
        <v>102621</v>
      </c>
      <c r="H972">
        <v>9</v>
      </c>
      <c r="I972">
        <v>21</v>
      </c>
      <c r="J972">
        <v>4</v>
      </c>
      <c r="K972">
        <v>3</v>
      </c>
      <c r="L972">
        <v>1</v>
      </c>
      <c r="M972">
        <v>4</v>
      </c>
      <c r="N972" t="s">
        <v>31</v>
      </c>
      <c r="O972" t="s">
        <v>32</v>
      </c>
      <c r="P972">
        <v>3</v>
      </c>
      <c r="Q972">
        <v>47</v>
      </c>
      <c r="R972">
        <v>3</v>
      </c>
      <c r="S972" t="s">
        <v>31</v>
      </c>
      <c r="T972">
        <v>4</v>
      </c>
      <c r="U972" t="s">
        <v>31</v>
      </c>
      <c r="V972" s="1">
        <v>41902</v>
      </c>
      <c r="X972" s="1" t="str">
        <f t="shared" si="45"/>
        <v>Active</v>
      </c>
      <c r="Y972" t="str">
        <f t="shared" si="46"/>
        <v>36-45</v>
      </c>
      <c r="Z972" t="str">
        <f t="shared" si="47"/>
        <v>6-10 Years</v>
      </c>
    </row>
    <row r="973" spans="1:26" x14ac:dyDescent="0.35">
      <c r="A973" t="s">
        <v>1029</v>
      </c>
      <c r="B973">
        <v>25</v>
      </c>
      <c r="C973" t="s">
        <v>27</v>
      </c>
      <c r="D973" t="s">
        <v>39</v>
      </c>
      <c r="E973" t="s">
        <v>59</v>
      </c>
      <c r="F973" t="s">
        <v>78</v>
      </c>
      <c r="G973">
        <v>39259</v>
      </c>
      <c r="H973">
        <v>1</v>
      </c>
      <c r="I973">
        <v>4</v>
      </c>
      <c r="J973">
        <v>1</v>
      </c>
      <c r="K973">
        <v>1</v>
      </c>
      <c r="L973">
        <v>2</v>
      </c>
      <c r="M973">
        <v>4</v>
      </c>
      <c r="N973" t="s">
        <v>31</v>
      </c>
      <c r="O973" t="s">
        <v>32</v>
      </c>
      <c r="P973">
        <v>10</v>
      </c>
      <c r="Q973">
        <v>27</v>
      </c>
      <c r="R973">
        <v>3</v>
      </c>
      <c r="S973" t="s">
        <v>31</v>
      </c>
      <c r="T973">
        <v>6</v>
      </c>
      <c r="U973" t="s">
        <v>31</v>
      </c>
      <c r="V973" s="1">
        <v>41764</v>
      </c>
      <c r="X973" s="1" t="str">
        <f t="shared" si="45"/>
        <v>Active</v>
      </c>
      <c r="Y973" t="str">
        <f t="shared" si="46"/>
        <v>18-25</v>
      </c>
      <c r="Z973" t="str">
        <f t="shared" si="47"/>
        <v>0-1 Year</v>
      </c>
    </row>
    <row r="974" spans="1:26" x14ac:dyDescent="0.35">
      <c r="A974" t="s">
        <v>1030</v>
      </c>
      <c r="B974">
        <v>37</v>
      </c>
      <c r="C974" t="s">
        <v>44</v>
      </c>
      <c r="D974" t="s">
        <v>45</v>
      </c>
      <c r="E974" t="s">
        <v>46</v>
      </c>
      <c r="F974" t="s">
        <v>41</v>
      </c>
      <c r="G974">
        <v>88661</v>
      </c>
      <c r="H974">
        <v>7</v>
      </c>
      <c r="I974">
        <v>15</v>
      </c>
      <c r="J974">
        <v>3</v>
      </c>
      <c r="K974">
        <v>1</v>
      </c>
      <c r="L974">
        <v>4</v>
      </c>
      <c r="M974">
        <v>3</v>
      </c>
      <c r="N974" t="s">
        <v>31</v>
      </c>
      <c r="O974" t="s">
        <v>47</v>
      </c>
      <c r="P974">
        <v>14</v>
      </c>
      <c r="Q974">
        <v>46</v>
      </c>
      <c r="R974">
        <v>3</v>
      </c>
      <c r="S974" t="s">
        <v>33</v>
      </c>
      <c r="T974">
        <v>3</v>
      </c>
      <c r="U974" t="s">
        <v>31</v>
      </c>
      <c r="V974" s="1">
        <v>44476</v>
      </c>
      <c r="X974" s="1" t="str">
        <f t="shared" si="45"/>
        <v>Active</v>
      </c>
      <c r="Y974" t="str">
        <f t="shared" si="46"/>
        <v>36-45</v>
      </c>
      <c r="Z974" t="str">
        <f t="shared" si="47"/>
        <v>6-10 Years</v>
      </c>
    </row>
    <row r="975" spans="1:26" x14ac:dyDescent="0.35">
      <c r="A975" t="s">
        <v>1031</v>
      </c>
      <c r="B975">
        <v>42</v>
      </c>
      <c r="C975" t="s">
        <v>27</v>
      </c>
      <c r="D975" t="s">
        <v>28</v>
      </c>
      <c r="E975" t="s">
        <v>29</v>
      </c>
      <c r="F975" t="s">
        <v>78</v>
      </c>
      <c r="G975">
        <v>64842</v>
      </c>
      <c r="H975">
        <v>3</v>
      </c>
      <c r="I975">
        <v>18</v>
      </c>
      <c r="J975">
        <v>2</v>
      </c>
      <c r="K975">
        <v>3</v>
      </c>
      <c r="L975">
        <v>4</v>
      </c>
      <c r="M975">
        <v>3</v>
      </c>
      <c r="N975" t="s">
        <v>33</v>
      </c>
      <c r="O975" t="s">
        <v>32</v>
      </c>
      <c r="P975">
        <v>24</v>
      </c>
      <c r="Q975">
        <v>49</v>
      </c>
      <c r="R975">
        <v>2</v>
      </c>
      <c r="S975" t="s">
        <v>31</v>
      </c>
      <c r="T975">
        <v>7</v>
      </c>
      <c r="U975" t="s">
        <v>31</v>
      </c>
      <c r="V975" s="1">
        <v>43307</v>
      </c>
      <c r="X975" s="1" t="str">
        <f t="shared" si="45"/>
        <v>Active</v>
      </c>
      <c r="Y975" t="str">
        <f t="shared" si="46"/>
        <v>36-45</v>
      </c>
      <c r="Z975" t="str">
        <f t="shared" si="47"/>
        <v>2-3 Years</v>
      </c>
    </row>
    <row r="976" spans="1:26" x14ac:dyDescent="0.35">
      <c r="A976" t="s">
        <v>1032</v>
      </c>
      <c r="B976">
        <v>49</v>
      </c>
      <c r="C976" t="s">
        <v>27</v>
      </c>
      <c r="D976" t="s">
        <v>28</v>
      </c>
      <c r="E976" t="s">
        <v>66</v>
      </c>
      <c r="F976" t="s">
        <v>30</v>
      </c>
      <c r="G976">
        <v>140355</v>
      </c>
      <c r="H976">
        <v>20</v>
      </c>
      <c r="I976">
        <v>25</v>
      </c>
      <c r="J976">
        <v>5</v>
      </c>
      <c r="K976">
        <v>3</v>
      </c>
      <c r="L976">
        <v>2</v>
      </c>
      <c r="M976">
        <v>1</v>
      </c>
      <c r="N976" t="s">
        <v>31</v>
      </c>
      <c r="O976" t="s">
        <v>32</v>
      </c>
      <c r="P976">
        <v>25</v>
      </c>
      <c r="Q976">
        <v>52</v>
      </c>
      <c r="R976">
        <v>4</v>
      </c>
      <c r="S976" t="s">
        <v>31</v>
      </c>
      <c r="T976">
        <v>5</v>
      </c>
      <c r="U976" t="s">
        <v>33</v>
      </c>
      <c r="V976" s="1">
        <v>44835</v>
      </c>
      <c r="W976" s="1">
        <v>44953</v>
      </c>
      <c r="X976" s="1" t="str">
        <f t="shared" si="45"/>
        <v>2023-01-27</v>
      </c>
      <c r="Y976" t="str">
        <f t="shared" si="46"/>
        <v>46-55</v>
      </c>
      <c r="Z976" t="str">
        <f t="shared" si="47"/>
        <v>10+ Years</v>
      </c>
    </row>
    <row r="977" spans="1:26" x14ac:dyDescent="0.35">
      <c r="A977" t="s">
        <v>1033</v>
      </c>
      <c r="B977">
        <v>51</v>
      </c>
      <c r="C977" t="s">
        <v>44</v>
      </c>
      <c r="D977" t="s">
        <v>52</v>
      </c>
      <c r="E977" t="s">
        <v>55</v>
      </c>
      <c r="F977" t="s">
        <v>41</v>
      </c>
      <c r="G977">
        <v>46562</v>
      </c>
      <c r="H977">
        <v>1</v>
      </c>
      <c r="I977">
        <v>27</v>
      </c>
      <c r="J977">
        <v>1</v>
      </c>
      <c r="K977">
        <v>2</v>
      </c>
      <c r="L977">
        <v>4</v>
      </c>
      <c r="M977">
        <v>3</v>
      </c>
      <c r="N977" t="s">
        <v>31</v>
      </c>
      <c r="O977" t="s">
        <v>32</v>
      </c>
      <c r="P977">
        <v>22</v>
      </c>
      <c r="Q977">
        <v>31</v>
      </c>
      <c r="R977">
        <v>3</v>
      </c>
      <c r="S977" t="s">
        <v>31</v>
      </c>
      <c r="T977">
        <v>3</v>
      </c>
      <c r="U977" t="s">
        <v>31</v>
      </c>
      <c r="V977" s="1">
        <v>43850</v>
      </c>
      <c r="X977" s="1" t="str">
        <f t="shared" si="45"/>
        <v>Active</v>
      </c>
      <c r="Y977" t="str">
        <f t="shared" si="46"/>
        <v>46-55</v>
      </c>
      <c r="Z977" t="str">
        <f t="shared" si="47"/>
        <v>0-1 Year</v>
      </c>
    </row>
    <row r="978" spans="1:26" x14ac:dyDescent="0.35">
      <c r="A978" t="s">
        <v>1034</v>
      </c>
      <c r="B978">
        <v>50</v>
      </c>
      <c r="C978" t="s">
        <v>27</v>
      </c>
      <c r="D978" t="s">
        <v>28</v>
      </c>
      <c r="E978" t="s">
        <v>66</v>
      </c>
      <c r="F978" t="s">
        <v>41</v>
      </c>
      <c r="G978">
        <v>151407</v>
      </c>
      <c r="H978">
        <v>24</v>
      </c>
      <c r="I978">
        <v>28</v>
      </c>
      <c r="J978">
        <v>5</v>
      </c>
      <c r="K978">
        <v>1</v>
      </c>
      <c r="L978">
        <v>4</v>
      </c>
      <c r="M978">
        <v>2</v>
      </c>
      <c r="N978" t="s">
        <v>31</v>
      </c>
      <c r="O978" t="s">
        <v>42</v>
      </c>
      <c r="P978">
        <v>18</v>
      </c>
      <c r="Q978">
        <v>45</v>
      </c>
      <c r="R978">
        <v>3</v>
      </c>
      <c r="S978" t="s">
        <v>33</v>
      </c>
      <c r="T978">
        <v>5</v>
      </c>
      <c r="U978" t="s">
        <v>33</v>
      </c>
      <c r="V978" s="1">
        <v>41788</v>
      </c>
      <c r="W978" s="1">
        <v>41888</v>
      </c>
      <c r="X978" s="1" t="str">
        <f t="shared" si="45"/>
        <v>2014-09-06</v>
      </c>
      <c r="Y978" t="str">
        <f t="shared" si="46"/>
        <v>46-55</v>
      </c>
      <c r="Z978" t="str">
        <f t="shared" si="47"/>
        <v>10+ Years</v>
      </c>
    </row>
    <row r="979" spans="1:26" x14ac:dyDescent="0.35">
      <c r="A979" t="s">
        <v>1035</v>
      </c>
      <c r="B979">
        <v>37</v>
      </c>
      <c r="C979" t="s">
        <v>44</v>
      </c>
      <c r="D979" t="s">
        <v>45</v>
      </c>
      <c r="E979" t="s">
        <v>63</v>
      </c>
      <c r="F979" t="s">
        <v>56</v>
      </c>
      <c r="G979">
        <v>105634</v>
      </c>
      <c r="H979">
        <v>11</v>
      </c>
      <c r="I979">
        <v>15</v>
      </c>
      <c r="J979">
        <v>4</v>
      </c>
      <c r="K979">
        <v>3</v>
      </c>
      <c r="L979">
        <v>4</v>
      </c>
      <c r="M979">
        <v>3</v>
      </c>
      <c r="N979" t="s">
        <v>31</v>
      </c>
      <c r="O979" t="s">
        <v>32</v>
      </c>
      <c r="P979">
        <v>5</v>
      </c>
      <c r="Q979">
        <v>34</v>
      </c>
      <c r="R979">
        <v>4</v>
      </c>
      <c r="S979" t="s">
        <v>33</v>
      </c>
      <c r="T979">
        <v>4</v>
      </c>
      <c r="U979" t="s">
        <v>31</v>
      </c>
      <c r="V979" s="1">
        <v>44774</v>
      </c>
      <c r="X979" s="1" t="str">
        <f t="shared" si="45"/>
        <v>Active</v>
      </c>
      <c r="Y979" t="str">
        <f t="shared" si="46"/>
        <v>36-45</v>
      </c>
      <c r="Z979" t="str">
        <f t="shared" si="47"/>
        <v>10+ Years</v>
      </c>
    </row>
    <row r="980" spans="1:26" x14ac:dyDescent="0.35">
      <c r="A980" t="s">
        <v>1036</v>
      </c>
      <c r="B980">
        <v>28</v>
      </c>
      <c r="C980" t="s">
        <v>44</v>
      </c>
      <c r="D980" t="s">
        <v>28</v>
      </c>
      <c r="E980" t="s">
        <v>66</v>
      </c>
      <c r="F980" t="s">
        <v>30</v>
      </c>
      <c r="G980">
        <v>81630</v>
      </c>
      <c r="H980">
        <v>5</v>
      </c>
      <c r="I980">
        <v>7</v>
      </c>
      <c r="J980">
        <v>3</v>
      </c>
      <c r="K980">
        <v>3</v>
      </c>
      <c r="L980">
        <v>4</v>
      </c>
      <c r="M980">
        <v>2</v>
      </c>
      <c r="N980" t="s">
        <v>31</v>
      </c>
      <c r="O980" t="s">
        <v>32</v>
      </c>
      <c r="P980">
        <v>18</v>
      </c>
      <c r="Q980">
        <v>45</v>
      </c>
      <c r="R980">
        <v>3</v>
      </c>
      <c r="S980" t="s">
        <v>31</v>
      </c>
      <c r="T980">
        <v>2</v>
      </c>
      <c r="U980" t="s">
        <v>31</v>
      </c>
      <c r="V980" s="1">
        <v>42979</v>
      </c>
      <c r="X980" s="1" t="str">
        <f t="shared" si="45"/>
        <v>Active</v>
      </c>
      <c r="Y980" t="str">
        <f t="shared" si="46"/>
        <v>26-35</v>
      </c>
      <c r="Z980" t="str">
        <f t="shared" si="47"/>
        <v>4-5 Years</v>
      </c>
    </row>
    <row r="981" spans="1:26" x14ac:dyDescent="0.35">
      <c r="A981" t="s">
        <v>1037</v>
      </c>
      <c r="B981">
        <v>55</v>
      </c>
      <c r="C981" t="s">
        <v>27</v>
      </c>
      <c r="D981" t="s">
        <v>39</v>
      </c>
      <c r="E981" t="s">
        <v>74</v>
      </c>
      <c r="F981" t="s">
        <v>41</v>
      </c>
      <c r="G981">
        <v>132621</v>
      </c>
      <c r="H981">
        <v>15</v>
      </c>
      <c r="I981">
        <v>33</v>
      </c>
      <c r="J981">
        <v>5</v>
      </c>
      <c r="K981">
        <v>3</v>
      </c>
      <c r="L981">
        <v>1</v>
      </c>
      <c r="M981">
        <v>4</v>
      </c>
      <c r="N981" t="s">
        <v>33</v>
      </c>
      <c r="O981" t="s">
        <v>32</v>
      </c>
      <c r="P981">
        <v>24</v>
      </c>
      <c r="Q981">
        <v>53</v>
      </c>
      <c r="R981">
        <v>4</v>
      </c>
      <c r="S981" t="s">
        <v>33</v>
      </c>
      <c r="T981">
        <v>4</v>
      </c>
      <c r="U981" t="s">
        <v>31</v>
      </c>
      <c r="V981" s="1">
        <v>44893</v>
      </c>
      <c r="X981" s="1" t="str">
        <f t="shared" si="45"/>
        <v>Active</v>
      </c>
      <c r="Y981" t="str">
        <f t="shared" si="46"/>
        <v>46-55</v>
      </c>
      <c r="Z981" t="str">
        <f t="shared" si="47"/>
        <v>10+ Years</v>
      </c>
    </row>
    <row r="982" spans="1:26" x14ac:dyDescent="0.35">
      <c r="A982" t="s">
        <v>1038</v>
      </c>
      <c r="B982">
        <v>49</v>
      </c>
      <c r="C982" t="s">
        <v>44</v>
      </c>
      <c r="D982" t="s">
        <v>35</v>
      </c>
      <c r="E982" t="s">
        <v>36</v>
      </c>
      <c r="F982" t="s">
        <v>61</v>
      </c>
      <c r="G982">
        <v>124007</v>
      </c>
      <c r="H982">
        <v>12</v>
      </c>
      <c r="I982">
        <v>28</v>
      </c>
      <c r="J982">
        <v>5</v>
      </c>
      <c r="K982">
        <v>4</v>
      </c>
      <c r="L982">
        <v>4</v>
      </c>
      <c r="M982">
        <v>1</v>
      </c>
      <c r="N982" t="s">
        <v>33</v>
      </c>
      <c r="O982" t="s">
        <v>32</v>
      </c>
      <c r="P982">
        <v>10</v>
      </c>
      <c r="Q982">
        <v>46</v>
      </c>
      <c r="R982">
        <v>3</v>
      </c>
      <c r="S982" t="s">
        <v>33</v>
      </c>
      <c r="T982">
        <v>4</v>
      </c>
      <c r="U982" t="s">
        <v>31</v>
      </c>
      <c r="V982" s="1">
        <v>41029</v>
      </c>
      <c r="X982" s="1" t="str">
        <f t="shared" si="45"/>
        <v>Active</v>
      </c>
      <c r="Y982" t="str">
        <f t="shared" si="46"/>
        <v>46-55</v>
      </c>
      <c r="Z982" t="str">
        <f t="shared" si="47"/>
        <v>10+ Years</v>
      </c>
    </row>
    <row r="983" spans="1:26" x14ac:dyDescent="0.35">
      <c r="A983" t="s">
        <v>1039</v>
      </c>
      <c r="B983">
        <v>38</v>
      </c>
      <c r="C983" t="s">
        <v>27</v>
      </c>
      <c r="D983" t="s">
        <v>52</v>
      </c>
      <c r="E983" t="s">
        <v>55</v>
      </c>
      <c r="F983" t="s">
        <v>37</v>
      </c>
      <c r="G983">
        <v>44112</v>
      </c>
      <c r="H983">
        <v>1</v>
      </c>
      <c r="I983">
        <v>16</v>
      </c>
      <c r="J983">
        <v>1</v>
      </c>
      <c r="K983">
        <v>1</v>
      </c>
      <c r="L983">
        <v>3</v>
      </c>
      <c r="M983">
        <v>3</v>
      </c>
      <c r="N983" t="s">
        <v>31</v>
      </c>
      <c r="O983" t="s">
        <v>32</v>
      </c>
      <c r="P983">
        <v>23</v>
      </c>
      <c r="Q983">
        <v>35</v>
      </c>
      <c r="R983">
        <v>3</v>
      </c>
      <c r="S983" t="s">
        <v>31</v>
      </c>
      <c r="T983">
        <v>4</v>
      </c>
      <c r="U983" t="s">
        <v>33</v>
      </c>
      <c r="V983" s="1">
        <v>44164</v>
      </c>
      <c r="W983" s="1">
        <v>44934</v>
      </c>
      <c r="X983" s="1" t="str">
        <f t="shared" si="45"/>
        <v>2023-01-08</v>
      </c>
      <c r="Y983" t="str">
        <f t="shared" si="46"/>
        <v>36-45</v>
      </c>
      <c r="Z983" t="str">
        <f t="shared" si="47"/>
        <v>0-1 Year</v>
      </c>
    </row>
    <row r="984" spans="1:26" x14ac:dyDescent="0.35">
      <c r="A984" t="s">
        <v>1040</v>
      </c>
      <c r="B984">
        <v>23</v>
      </c>
      <c r="C984" t="s">
        <v>27</v>
      </c>
      <c r="D984" t="s">
        <v>39</v>
      </c>
      <c r="E984" t="s">
        <v>40</v>
      </c>
      <c r="F984" t="s">
        <v>37</v>
      </c>
      <c r="G984">
        <v>58530</v>
      </c>
      <c r="H984">
        <v>2</v>
      </c>
      <c r="I984">
        <v>2</v>
      </c>
      <c r="J984">
        <v>2</v>
      </c>
      <c r="K984">
        <v>1</v>
      </c>
      <c r="L984">
        <v>1</v>
      </c>
      <c r="M984">
        <v>4</v>
      </c>
      <c r="N984" t="s">
        <v>33</v>
      </c>
      <c r="O984" t="s">
        <v>32</v>
      </c>
      <c r="P984">
        <v>22</v>
      </c>
      <c r="Q984">
        <v>39</v>
      </c>
      <c r="R984">
        <v>3</v>
      </c>
      <c r="S984" t="s">
        <v>31</v>
      </c>
      <c r="T984">
        <v>4</v>
      </c>
      <c r="U984" t="s">
        <v>31</v>
      </c>
      <c r="V984" s="1">
        <v>44773</v>
      </c>
      <c r="X984" s="1" t="str">
        <f t="shared" si="45"/>
        <v>Active</v>
      </c>
      <c r="Y984" t="str">
        <f t="shared" si="46"/>
        <v>18-25</v>
      </c>
      <c r="Z984" t="str">
        <f t="shared" si="47"/>
        <v>2-3 Years</v>
      </c>
    </row>
    <row r="985" spans="1:26" x14ac:dyDescent="0.35">
      <c r="A985" t="s">
        <v>1041</v>
      </c>
      <c r="B985">
        <v>59</v>
      </c>
      <c r="C985" t="s">
        <v>27</v>
      </c>
      <c r="D985" t="s">
        <v>49</v>
      </c>
      <c r="E985" t="s">
        <v>50</v>
      </c>
      <c r="F985" t="s">
        <v>37</v>
      </c>
      <c r="G985">
        <v>168490</v>
      </c>
      <c r="H985">
        <v>34</v>
      </c>
      <c r="I985">
        <v>38</v>
      </c>
      <c r="J985">
        <v>5</v>
      </c>
      <c r="K985">
        <v>3</v>
      </c>
      <c r="L985">
        <v>3</v>
      </c>
      <c r="M985">
        <v>1</v>
      </c>
      <c r="N985" t="s">
        <v>31</v>
      </c>
      <c r="O985" t="s">
        <v>32</v>
      </c>
      <c r="P985">
        <v>17</v>
      </c>
      <c r="Q985">
        <v>52</v>
      </c>
      <c r="R985">
        <v>3</v>
      </c>
      <c r="S985" t="s">
        <v>31</v>
      </c>
      <c r="T985">
        <v>4</v>
      </c>
      <c r="U985" t="s">
        <v>33</v>
      </c>
      <c r="V985" s="1">
        <v>45225</v>
      </c>
      <c r="W985" s="1">
        <v>45547</v>
      </c>
      <c r="X985" s="1" t="str">
        <f t="shared" si="45"/>
        <v>2024-09-12</v>
      </c>
      <c r="Y985" t="str">
        <f t="shared" si="46"/>
        <v>56+</v>
      </c>
      <c r="Z985" t="str">
        <f t="shared" si="47"/>
        <v>10+ Years</v>
      </c>
    </row>
    <row r="986" spans="1:26" x14ac:dyDescent="0.35">
      <c r="A986" t="s">
        <v>1042</v>
      </c>
      <c r="B986">
        <v>58</v>
      </c>
      <c r="C986" t="s">
        <v>27</v>
      </c>
      <c r="D986" t="s">
        <v>49</v>
      </c>
      <c r="E986" t="s">
        <v>50</v>
      </c>
      <c r="F986" t="s">
        <v>37</v>
      </c>
      <c r="G986">
        <v>78271</v>
      </c>
      <c r="H986">
        <v>5</v>
      </c>
      <c r="I986">
        <v>35</v>
      </c>
      <c r="J986">
        <v>3</v>
      </c>
      <c r="K986">
        <v>1</v>
      </c>
      <c r="L986">
        <v>2</v>
      </c>
      <c r="M986">
        <v>1</v>
      </c>
      <c r="N986" t="s">
        <v>31</v>
      </c>
      <c r="O986" t="s">
        <v>32</v>
      </c>
      <c r="P986">
        <v>28</v>
      </c>
      <c r="Q986">
        <v>47</v>
      </c>
      <c r="R986">
        <v>3</v>
      </c>
      <c r="S986" t="s">
        <v>33</v>
      </c>
      <c r="T986">
        <v>6</v>
      </c>
      <c r="U986" t="s">
        <v>33</v>
      </c>
      <c r="V986" s="1">
        <v>44231</v>
      </c>
      <c r="W986" s="1">
        <v>44977</v>
      </c>
      <c r="X986" s="1" t="str">
        <f t="shared" si="45"/>
        <v>2023-02-20</v>
      </c>
      <c r="Y986" t="str">
        <f t="shared" si="46"/>
        <v>56+</v>
      </c>
      <c r="Z986" t="str">
        <f t="shared" si="47"/>
        <v>4-5 Years</v>
      </c>
    </row>
    <row r="987" spans="1:26" x14ac:dyDescent="0.35">
      <c r="A987" t="s">
        <v>1043</v>
      </c>
      <c r="B987">
        <v>28</v>
      </c>
      <c r="C987" t="s">
        <v>44</v>
      </c>
      <c r="D987" t="s">
        <v>49</v>
      </c>
      <c r="E987" t="s">
        <v>50</v>
      </c>
      <c r="F987" t="s">
        <v>30</v>
      </c>
      <c r="G987">
        <v>41187</v>
      </c>
      <c r="H987">
        <v>0</v>
      </c>
      <c r="I987">
        <v>7</v>
      </c>
      <c r="J987">
        <v>1</v>
      </c>
      <c r="K987">
        <v>4</v>
      </c>
      <c r="L987">
        <v>4</v>
      </c>
      <c r="M987">
        <v>3</v>
      </c>
      <c r="N987" t="s">
        <v>33</v>
      </c>
      <c r="O987" t="s">
        <v>32</v>
      </c>
      <c r="P987">
        <v>19</v>
      </c>
      <c r="Q987">
        <v>38</v>
      </c>
      <c r="R987">
        <v>2</v>
      </c>
      <c r="S987" t="s">
        <v>31</v>
      </c>
      <c r="T987">
        <v>3</v>
      </c>
      <c r="U987" t="s">
        <v>31</v>
      </c>
      <c r="V987" s="1">
        <v>41247</v>
      </c>
      <c r="X987" s="1" t="str">
        <f t="shared" si="45"/>
        <v>Active</v>
      </c>
      <c r="Y987" t="str">
        <f t="shared" si="46"/>
        <v>26-35</v>
      </c>
      <c r="Z987" t="str">
        <f t="shared" si="47"/>
        <v>0-1 Year</v>
      </c>
    </row>
    <row r="988" spans="1:26" x14ac:dyDescent="0.35">
      <c r="A988" t="s">
        <v>1044</v>
      </c>
      <c r="B988">
        <v>38</v>
      </c>
      <c r="C988" t="s">
        <v>27</v>
      </c>
      <c r="D988" t="s">
        <v>28</v>
      </c>
      <c r="E988" t="s">
        <v>66</v>
      </c>
      <c r="F988" t="s">
        <v>41</v>
      </c>
      <c r="G988">
        <v>119233</v>
      </c>
      <c r="H988">
        <v>9</v>
      </c>
      <c r="I988">
        <v>16</v>
      </c>
      <c r="J988">
        <v>5</v>
      </c>
      <c r="K988">
        <v>4</v>
      </c>
      <c r="L988">
        <v>3</v>
      </c>
      <c r="M988">
        <v>2</v>
      </c>
      <c r="N988" t="s">
        <v>31</v>
      </c>
      <c r="O988" t="s">
        <v>42</v>
      </c>
      <c r="P988">
        <v>18</v>
      </c>
      <c r="Q988">
        <v>10</v>
      </c>
      <c r="R988">
        <v>4</v>
      </c>
      <c r="S988" t="s">
        <v>31</v>
      </c>
      <c r="T988">
        <v>5</v>
      </c>
      <c r="U988" t="s">
        <v>31</v>
      </c>
      <c r="V988" s="1">
        <v>44252</v>
      </c>
      <c r="X988" s="1" t="str">
        <f t="shared" si="45"/>
        <v>Active</v>
      </c>
      <c r="Y988" t="str">
        <f t="shared" si="46"/>
        <v>36-45</v>
      </c>
      <c r="Z988" t="str">
        <f t="shared" si="47"/>
        <v>6-10 Years</v>
      </c>
    </row>
    <row r="989" spans="1:26" x14ac:dyDescent="0.35">
      <c r="A989" t="s">
        <v>1045</v>
      </c>
      <c r="B989">
        <v>23</v>
      </c>
      <c r="C989" t="s">
        <v>44</v>
      </c>
      <c r="D989" t="s">
        <v>45</v>
      </c>
      <c r="E989" t="s">
        <v>63</v>
      </c>
      <c r="F989" t="s">
        <v>78</v>
      </c>
      <c r="G989">
        <v>44758</v>
      </c>
      <c r="H989">
        <v>1</v>
      </c>
      <c r="I989">
        <v>1</v>
      </c>
      <c r="J989">
        <v>1</v>
      </c>
      <c r="K989">
        <v>3</v>
      </c>
      <c r="L989">
        <v>2</v>
      </c>
      <c r="M989">
        <v>2</v>
      </c>
      <c r="N989" t="s">
        <v>31</v>
      </c>
      <c r="O989" t="s">
        <v>32</v>
      </c>
      <c r="P989">
        <v>17</v>
      </c>
      <c r="Q989">
        <v>27</v>
      </c>
      <c r="R989">
        <v>3</v>
      </c>
      <c r="S989" t="s">
        <v>31</v>
      </c>
      <c r="T989">
        <v>4</v>
      </c>
      <c r="U989" t="s">
        <v>31</v>
      </c>
      <c r="V989" s="1">
        <v>45137</v>
      </c>
      <c r="X989" s="1" t="str">
        <f t="shared" si="45"/>
        <v>Active</v>
      </c>
      <c r="Y989" t="str">
        <f t="shared" si="46"/>
        <v>18-25</v>
      </c>
      <c r="Z989" t="str">
        <f t="shared" si="47"/>
        <v>0-1 Year</v>
      </c>
    </row>
    <row r="990" spans="1:26" x14ac:dyDescent="0.35">
      <c r="A990" t="s">
        <v>1046</v>
      </c>
      <c r="B990">
        <v>35</v>
      </c>
      <c r="C990" t="s">
        <v>27</v>
      </c>
      <c r="D990" t="s">
        <v>35</v>
      </c>
      <c r="E990" t="s">
        <v>36</v>
      </c>
      <c r="F990" t="s">
        <v>41</v>
      </c>
      <c r="G990">
        <v>66555</v>
      </c>
      <c r="H990">
        <v>4</v>
      </c>
      <c r="I990">
        <v>11</v>
      </c>
      <c r="J990">
        <v>2</v>
      </c>
      <c r="K990">
        <v>3</v>
      </c>
      <c r="L990">
        <v>2</v>
      </c>
      <c r="M990">
        <v>1</v>
      </c>
      <c r="N990" t="s">
        <v>33</v>
      </c>
      <c r="O990" t="s">
        <v>32</v>
      </c>
      <c r="P990">
        <v>23</v>
      </c>
      <c r="Q990">
        <v>33</v>
      </c>
      <c r="R990">
        <v>2</v>
      </c>
      <c r="S990" t="s">
        <v>31</v>
      </c>
      <c r="T990">
        <v>6</v>
      </c>
      <c r="U990" t="s">
        <v>31</v>
      </c>
      <c r="V990" s="1">
        <v>44543</v>
      </c>
      <c r="X990" s="1" t="str">
        <f t="shared" si="45"/>
        <v>Active</v>
      </c>
      <c r="Y990" t="str">
        <f t="shared" si="46"/>
        <v>26-35</v>
      </c>
      <c r="Z990" t="str">
        <f t="shared" si="47"/>
        <v>4-5 Years</v>
      </c>
    </row>
    <row r="991" spans="1:26" x14ac:dyDescent="0.35">
      <c r="A991" t="s">
        <v>1047</v>
      </c>
      <c r="B991">
        <v>34</v>
      </c>
      <c r="C991" t="s">
        <v>27</v>
      </c>
      <c r="D991" t="s">
        <v>28</v>
      </c>
      <c r="E991" t="s">
        <v>66</v>
      </c>
      <c r="F991" t="s">
        <v>37</v>
      </c>
      <c r="G991">
        <v>75803</v>
      </c>
      <c r="H991">
        <v>3</v>
      </c>
      <c r="I991">
        <v>12</v>
      </c>
      <c r="J991">
        <v>3</v>
      </c>
      <c r="K991">
        <v>4</v>
      </c>
      <c r="L991">
        <v>1</v>
      </c>
      <c r="M991">
        <v>1</v>
      </c>
      <c r="N991" t="s">
        <v>31</v>
      </c>
      <c r="O991" t="s">
        <v>32</v>
      </c>
      <c r="P991">
        <v>8</v>
      </c>
      <c r="Q991">
        <v>13</v>
      </c>
      <c r="R991">
        <v>3</v>
      </c>
      <c r="S991" t="s">
        <v>31</v>
      </c>
      <c r="T991">
        <v>7</v>
      </c>
      <c r="U991" t="s">
        <v>31</v>
      </c>
      <c r="V991" s="1">
        <v>42492</v>
      </c>
      <c r="X991" s="1" t="str">
        <f t="shared" si="45"/>
        <v>Active</v>
      </c>
      <c r="Y991" t="str">
        <f t="shared" si="46"/>
        <v>26-35</v>
      </c>
      <c r="Z991" t="str">
        <f t="shared" si="47"/>
        <v>2-3 Years</v>
      </c>
    </row>
    <row r="992" spans="1:26" x14ac:dyDescent="0.35">
      <c r="A992" t="s">
        <v>1048</v>
      </c>
      <c r="B992">
        <v>48</v>
      </c>
      <c r="C992" t="s">
        <v>44</v>
      </c>
      <c r="D992" t="s">
        <v>49</v>
      </c>
      <c r="E992" t="s">
        <v>50</v>
      </c>
      <c r="F992" t="s">
        <v>41</v>
      </c>
      <c r="G992">
        <v>63363</v>
      </c>
      <c r="H992">
        <v>2</v>
      </c>
      <c r="I992">
        <v>24</v>
      </c>
      <c r="J992">
        <v>2</v>
      </c>
      <c r="K992">
        <v>1</v>
      </c>
      <c r="L992">
        <v>4</v>
      </c>
      <c r="M992">
        <v>1</v>
      </c>
      <c r="N992" t="s">
        <v>31</v>
      </c>
      <c r="O992" t="s">
        <v>32</v>
      </c>
      <c r="P992">
        <v>16</v>
      </c>
      <c r="Q992">
        <v>16</v>
      </c>
      <c r="R992">
        <v>3</v>
      </c>
      <c r="S992" t="s">
        <v>31</v>
      </c>
      <c r="T992">
        <v>8</v>
      </c>
      <c r="U992" t="s">
        <v>31</v>
      </c>
      <c r="V992" s="1">
        <v>44518</v>
      </c>
      <c r="X992" s="1" t="str">
        <f t="shared" si="45"/>
        <v>Active</v>
      </c>
      <c r="Y992" t="str">
        <f t="shared" si="46"/>
        <v>46-55</v>
      </c>
      <c r="Z992" t="str">
        <f t="shared" si="47"/>
        <v>2-3 Years</v>
      </c>
    </row>
    <row r="993" spans="1:26" x14ac:dyDescent="0.35">
      <c r="A993" t="s">
        <v>1049</v>
      </c>
      <c r="B993">
        <v>52</v>
      </c>
      <c r="C993" t="s">
        <v>27</v>
      </c>
      <c r="D993" t="s">
        <v>52</v>
      </c>
      <c r="E993" t="s">
        <v>53</v>
      </c>
      <c r="F993" t="s">
        <v>30</v>
      </c>
      <c r="G993">
        <v>59654</v>
      </c>
      <c r="H993">
        <v>2</v>
      </c>
      <c r="I993">
        <v>29</v>
      </c>
      <c r="J993">
        <v>2</v>
      </c>
      <c r="K993">
        <v>1</v>
      </c>
      <c r="L993">
        <v>4</v>
      </c>
      <c r="M993">
        <v>1</v>
      </c>
      <c r="N993" t="s">
        <v>31</v>
      </c>
      <c r="O993" t="s">
        <v>32</v>
      </c>
      <c r="P993">
        <v>3</v>
      </c>
      <c r="Q993">
        <v>48</v>
      </c>
      <c r="R993">
        <v>4</v>
      </c>
      <c r="S993" t="s">
        <v>31</v>
      </c>
      <c r="T993">
        <v>5</v>
      </c>
      <c r="U993" t="s">
        <v>31</v>
      </c>
      <c r="V993" s="1">
        <v>42141</v>
      </c>
      <c r="X993" s="1" t="str">
        <f t="shared" si="45"/>
        <v>Active</v>
      </c>
      <c r="Y993" t="str">
        <f t="shared" si="46"/>
        <v>46-55</v>
      </c>
      <c r="Z993" t="str">
        <f t="shared" si="47"/>
        <v>2-3 Years</v>
      </c>
    </row>
    <row r="994" spans="1:26" x14ac:dyDescent="0.35">
      <c r="A994" t="s">
        <v>1050</v>
      </c>
      <c r="B994">
        <v>47</v>
      </c>
      <c r="C994" t="s">
        <v>44</v>
      </c>
      <c r="D994" t="s">
        <v>52</v>
      </c>
      <c r="E994" t="s">
        <v>55</v>
      </c>
      <c r="F994" t="s">
        <v>78</v>
      </c>
      <c r="G994">
        <v>129531</v>
      </c>
      <c r="H994">
        <v>13</v>
      </c>
      <c r="I994">
        <v>26</v>
      </c>
      <c r="J994">
        <v>5</v>
      </c>
      <c r="K994">
        <v>3</v>
      </c>
      <c r="L994">
        <v>2</v>
      </c>
      <c r="M994">
        <v>4</v>
      </c>
      <c r="N994" t="s">
        <v>31</v>
      </c>
      <c r="O994" t="s">
        <v>42</v>
      </c>
      <c r="P994">
        <v>17</v>
      </c>
      <c r="Q994">
        <v>36</v>
      </c>
      <c r="R994">
        <v>3</v>
      </c>
      <c r="S994" t="s">
        <v>31</v>
      </c>
      <c r="T994">
        <v>4</v>
      </c>
      <c r="U994" t="s">
        <v>31</v>
      </c>
      <c r="V994" s="1">
        <v>43810</v>
      </c>
      <c r="X994" s="1" t="str">
        <f t="shared" si="45"/>
        <v>Active</v>
      </c>
      <c r="Y994" t="str">
        <f t="shared" si="46"/>
        <v>46-55</v>
      </c>
      <c r="Z994" t="str">
        <f t="shared" si="47"/>
        <v>10+ Years</v>
      </c>
    </row>
    <row r="995" spans="1:26" x14ac:dyDescent="0.35">
      <c r="A995" t="s">
        <v>1051</v>
      </c>
      <c r="B995">
        <v>23</v>
      </c>
      <c r="C995" t="s">
        <v>27</v>
      </c>
      <c r="D995" t="s">
        <v>28</v>
      </c>
      <c r="E995" t="s">
        <v>29</v>
      </c>
      <c r="F995" t="s">
        <v>37</v>
      </c>
      <c r="G995">
        <v>40638</v>
      </c>
      <c r="H995">
        <v>0</v>
      </c>
      <c r="I995">
        <v>1</v>
      </c>
      <c r="J995">
        <v>1</v>
      </c>
      <c r="K995">
        <v>1</v>
      </c>
      <c r="L995">
        <v>2</v>
      </c>
      <c r="M995">
        <v>3</v>
      </c>
      <c r="N995" t="s">
        <v>31</v>
      </c>
      <c r="O995" t="s">
        <v>32</v>
      </c>
      <c r="P995">
        <v>2</v>
      </c>
      <c r="Q995">
        <v>28</v>
      </c>
      <c r="R995">
        <v>3</v>
      </c>
      <c r="S995" t="s">
        <v>31</v>
      </c>
      <c r="T995">
        <v>2</v>
      </c>
      <c r="U995" t="s">
        <v>31</v>
      </c>
      <c r="V995" s="1">
        <v>41559</v>
      </c>
      <c r="X995" s="1" t="str">
        <f t="shared" si="45"/>
        <v>Active</v>
      </c>
      <c r="Y995" t="str">
        <f t="shared" si="46"/>
        <v>18-25</v>
      </c>
      <c r="Z995" t="str">
        <f t="shared" si="47"/>
        <v>0-1 Year</v>
      </c>
    </row>
    <row r="996" spans="1:26" x14ac:dyDescent="0.35">
      <c r="A996" t="s">
        <v>1052</v>
      </c>
      <c r="B996">
        <v>27</v>
      </c>
      <c r="C996" t="s">
        <v>44</v>
      </c>
      <c r="D996" t="s">
        <v>49</v>
      </c>
      <c r="E996" t="s">
        <v>50</v>
      </c>
      <c r="F996" t="s">
        <v>78</v>
      </c>
      <c r="G996">
        <v>60224</v>
      </c>
      <c r="H996">
        <v>1</v>
      </c>
      <c r="I996">
        <v>4</v>
      </c>
      <c r="J996">
        <v>2</v>
      </c>
      <c r="K996">
        <v>2</v>
      </c>
      <c r="L996">
        <v>3</v>
      </c>
      <c r="M996">
        <v>3</v>
      </c>
      <c r="N996" t="s">
        <v>31</v>
      </c>
      <c r="O996" t="s">
        <v>32</v>
      </c>
      <c r="P996">
        <v>10</v>
      </c>
      <c r="Q996">
        <v>50</v>
      </c>
      <c r="R996">
        <v>2</v>
      </c>
      <c r="S996" t="s">
        <v>31</v>
      </c>
      <c r="T996">
        <v>5</v>
      </c>
      <c r="U996" t="s">
        <v>31</v>
      </c>
      <c r="V996" s="1">
        <v>44840</v>
      </c>
      <c r="X996" s="1" t="str">
        <f t="shared" si="45"/>
        <v>Active</v>
      </c>
      <c r="Y996" t="str">
        <f t="shared" si="46"/>
        <v>26-35</v>
      </c>
      <c r="Z996" t="str">
        <f t="shared" si="47"/>
        <v>0-1 Year</v>
      </c>
    </row>
    <row r="997" spans="1:26" x14ac:dyDescent="0.35">
      <c r="A997" t="s">
        <v>1053</v>
      </c>
      <c r="B997">
        <v>53</v>
      </c>
      <c r="C997" t="s">
        <v>27</v>
      </c>
      <c r="D997" t="s">
        <v>45</v>
      </c>
      <c r="E997" t="s">
        <v>63</v>
      </c>
      <c r="F997" t="s">
        <v>56</v>
      </c>
      <c r="G997">
        <v>144452</v>
      </c>
      <c r="H997">
        <v>23</v>
      </c>
      <c r="I997">
        <v>29</v>
      </c>
      <c r="J997">
        <v>5</v>
      </c>
      <c r="K997">
        <v>2</v>
      </c>
      <c r="L997">
        <v>2</v>
      </c>
      <c r="M997">
        <v>2</v>
      </c>
      <c r="N997" t="s">
        <v>33</v>
      </c>
      <c r="O997" t="s">
        <v>42</v>
      </c>
      <c r="P997">
        <v>22</v>
      </c>
      <c r="Q997">
        <v>49</v>
      </c>
      <c r="R997">
        <v>3</v>
      </c>
      <c r="S997" t="s">
        <v>31</v>
      </c>
      <c r="T997">
        <v>5</v>
      </c>
      <c r="U997" t="s">
        <v>31</v>
      </c>
      <c r="V997" s="1">
        <v>42185</v>
      </c>
      <c r="X997" s="1" t="str">
        <f t="shared" si="45"/>
        <v>Active</v>
      </c>
      <c r="Y997" t="str">
        <f t="shared" si="46"/>
        <v>46-55</v>
      </c>
      <c r="Z997" t="str">
        <f t="shared" si="47"/>
        <v>10+ Years</v>
      </c>
    </row>
    <row r="998" spans="1:26" x14ac:dyDescent="0.35">
      <c r="A998" t="s">
        <v>1054</v>
      </c>
      <c r="B998">
        <v>47</v>
      </c>
      <c r="C998" t="s">
        <v>27</v>
      </c>
      <c r="D998" t="s">
        <v>35</v>
      </c>
      <c r="E998" t="s">
        <v>36</v>
      </c>
      <c r="F998" t="s">
        <v>41</v>
      </c>
      <c r="G998">
        <v>87676</v>
      </c>
      <c r="H998">
        <v>7</v>
      </c>
      <c r="I998">
        <v>23</v>
      </c>
      <c r="J998">
        <v>3</v>
      </c>
      <c r="K998">
        <v>4</v>
      </c>
      <c r="L998">
        <v>3</v>
      </c>
      <c r="M998">
        <v>4</v>
      </c>
      <c r="N998" t="s">
        <v>31</v>
      </c>
      <c r="O998" t="s">
        <v>47</v>
      </c>
      <c r="P998">
        <v>24</v>
      </c>
      <c r="Q998">
        <v>57</v>
      </c>
      <c r="R998">
        <v>3</v>
      </c>
      <c r="S998" t="s">
        <v>31</v>
      </c>
      <c r="T998">
        <v>5</v>
      </c>
      <c r="U998" t="s">
        <v>31</v>
      </c>
      <c r="V998" s="1">
        <v>41295</v>
      </c>
      <c r="X998" s="1" t="str">
        <f t="shared" si="45"/>
        <v>Active</v>
      </c>
      <c r="Y998" t="str">
        <f t="shared" si="46"/>
        <v>46-55</v>
      </c>
      <c r="Z998" t="str">
        <f t="shared" si="47"/>
        <v>6-10 Years</v>
      </c>
    </row>
    <row r="999" spans="1:26" x14ac:dyDescent="0.35">
      <c r="A999" t="s">
        <v>1055</v>
      </c>
      <c r="B999">
        <v>49</v>
      </c>
      <c r="C999" t="s">
        <v>27</v>
      </c>
      <c r="D999" t="s">
        <v>45</v>
      </c>
      <c r="E999" t="s">
        <v>63</v>
      </c>
      <c r="F999" t="s">
        <v>41</v>
      </c>
      <c r="G999">
        <v>127168</v>
      </c>
      <c r="H999">
        <v>12</v>
      </c>
      <c r="I999">
        <v>28</v>
      </c>
      <c r="J999">
        <v>5</v>
      </c>
      <c r="K999">
        <v>2</v>
      </c>
      <c r="L999">
        <v>2</v>
      </c>
      <c r="M999">
        <v>1</v>
      </c>
      <c r="N999" t="s">
        <v>31</v>
      </c>
      <c r="O999" t="s">
        <v>32</v>
      </c>
      <c r="P999">
        <v>15</v>
      </c>
      <c r="Q999">
        <v>49</v>
      </c>
      <c r="R999">
        <v>4</v>
      </c>
      <c r="S999" t="s">
        <v>31</v>
      </c>
      <c r="T999">
        <v>1</v>
      </c>
      <c r="U999" t="s">
        <v>31</v>
      </c>
      <c r="V999" s="1">
        <v>44718</v>
      </c>
      <c r="X999" s="1" t="str">
        <f t="shared" si="45"/>
        <v>Active</v>
      </c>
      <c r="Y999" t="str">
        <f t="shared" si="46"/>
        <v>46-55</v>
      </c>
      <c r="Z999" t="str">
        <f t="shared" si="47"/>
        <v>10+ Years</v>
      </c>
    </row>
    <row r="1000" spans="1:26" x14ac:dyDescent="0.35">
      <c r="A1000" t="s">
        <v>1056</v>
      </c>
      <c r="B1000">
        <v>25</v>
      </c>
      <c r="C1000" t="s">
        <v>27</v>
      </c>
      <c r="D1000" t="s">
        <v>52</v>
      </c>
      <c r="E1000" t="s">
        <v>55</v>
      </c>
      <c r="F1000" t="s">
        <v>56</v>
      </c>
      <c r="G1000">
        <v>43489</v>
      </c>
      <c r="H1000">
        <v>2</v>
      </c>
      <c r="I1000">
        <v>2</v>
      </c>
      <c r="J1000">
        <v>1</v>
      </c>
      <c r="K1000">
        <v>1</v>
      </c>
      <c r="L1000">
        <v>3</v>
      </c>
      <c r="M1000">
        <v>1</v>
      </c>
      <c r="N1000" t="s">
        <v>33</v>
      </c>
      <c r="O1000" t="s">
        <v>42</v>
      </c>
      <c r="P1000">
        <v>23</v>
      </c>
      <c r="Q1000">
        <v>59</v>
      </c>
      <c r="R1000">
        <v>4</v>
      </c>
      <c r="S1000" t="s">
        <v>31</v>
      </c>
      <c r="T1000">
        <v>9</v>
      </c>
      <c r="U1000" t="s">
        <v>31</v>
      </c>
      <c r="V1000" s="1">
        <v>43498</v>
      </c>
      <c r="X1000" s="1" t="str">
        <f t="shared" si="45"/>
        <v>Active</v>
      </c>
      <c r="Y1000" t="str">
        <f t="shared" si="46"/>
        <v>18-25</v>
      </c>
      <c r="Z1000" t="str">
        <f t="shared" si="47"/>
        <v>2-3 Years</v>
      </c>
    </row>
    <row r="1001" spans="1:26" x14ac:dyDescent="0.35">
      <c r="A1001" t="s">
        <v>1057</v>
      </c>
      <c r="B1001">
        <v>51</v>
      </c>
      <c r="C1001" t="s">
        <v>27</v>
      </c>
      <c r="D1001" t="s">
        <v>52</v>
      </c>
      <c r="E1001" t="s">
        <v>53</v>
      </c>
      <c r="F1001" t="s">
        <v>37</v>
      </c>
      <c r="G1001">
        <v>148162</v>
      </c>
      <c r="H1001">
        <v>23</v>
      </c>
      <c r="I1001">
        <v>28</v>
      </c>
      <c r="J1001">
        <v>5</v>
      </c>
      <c r="K1001">
        <v>2</v>
      </c>
      <c r="L1001">
        <v>4</v>
      </c>
      <c r="M1001">
        <v>1</v>
      </c>
      <c r="N1001" t="s">
        <v>31</v>
      </c>
      <c r="O1001" t="s">
        <v>32</v>
      </c>
      <c r="P1001">
        <v>15</v>
      </c>
      <c r="Q1001">
        <v>45</v>
      </c>
      <c r="R1001">
        <v>4</v>
      </c>
      <c r="S1001" t="s">
        <v>31</v>
      </c>
      <c r="T1001">
        <v>4</v>
      </c>
      <c r="U1001" t="s">
        <v>31</v>
      </c>
      <c r="V1001" s="1">
        <v>43350</v>
      </c>
      <c r="X1001" s="1" t="str">
        <f t="shared" si="45"/>
        <v>Active</v>
      </c>
      <c r="Y1001" t="str">
        <f t="shared" si="46"/>
        <v>46-55</v>
      </c>
      <c r="Z1001" t="str">
        <f t="shared" si="47"/>
        <v>10+ Years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92DB-E091-49E0-8218-BEBBDD2E4F74}">
  <dimension ref="B4:E21"/>
  <sheetViews>
    <sheetView workbookViewId="0">
      <selection activeCell="K23" sqref="K23"/>
    </sheetView>
  </sheetViews>
  <sheetFormatPr defaultRowHeight="14.5" x14ac:dyDescent="0.35"/>
  <cols>
    <col min="2" max="2" width="19.7265625" bestFit="1" customWidth="1"/>
    <col min="3" max="3" width="15.26953125" bestFit="1" customWidth="1"/>
    <col min="4" max="4" width="6.81640625" bestFit="1" customWidth="1"/>
    <col min="5" max="5" width="10.7265625" bestFit="1" customWidth="1"/>
  </cols>
  <sheetData>
    <row r="4" spans="2:5" x14ac:dyDescent="0.35">
      <c r="B4" t="s">
        <v>1058</v>
      </c>
      <c r="C4" t="s">
        <v>1064</v>
      </c>
    </row>
    <row r="5" spans="2:5" x14ac:dyDescent="0.35">
      <c r="B5" t="s">
        <v>1059</v>
      </c>
      <c r="C5">
        <f>COUNTIF(Table1[Attrition],"Yes")</f>
        <v>165</v>
      </c>
    </row>
    <row r="6" spans="2:5" x14ac:dyDescent="0.35">
      <c r="B6" t="s">
        <v>1060</v>
      </c>
      <c r="C6">
        <f>C5/C4*100</f>
        <v>16.5</v>
      </c>
    </row>
    <row r="7" spans="2:5" x14ac:dyDescent="0.35">
      <c r="B7" t="s">
        <v>1061</v>
      </c>
      <c r="C7">
        <f>COUNTIFS(Table1[Department],"Finance",Table1[Attrition],"Yes")</f>
        <v>36</v>
      </c>
    </row>
    <row r="8" spans="2:5" x14ac:dyDescent="0.35">
      <c r="B8" t="s">
        <v>1062</v>
      </c>
      <c r="C8">
        <f>AVERAGEIFS(Table1[Monthly_Income],Table1[Department],"IT")</f>
        <v>88629.383720930229</v>
      </c>
    </row>
    <row r="9" spans="2:5" x14ac:dyDescent="0.35">
      <c r="B9" t="s">
        <v>1063</v>
      </c>
      <c r="C9" t="str">
        <f>VLOOKUP("EMP0005",Table1[],4,FALSE)</f>
        <v>HR</v>
      </c>
    </row>
    <row r="13" spans="2:5" x14ac:dyDescent="0.35">
      <c r="B13" s="2" t="s">
        <v>1068</v>
      </c>
      <c r="C13" s="2" t="s">
        <v>1067</v>
      </c>
    </row>
    <row r="14" spans="2:5" x14ac:dyDescent="0.35">
      <c r="B14" s="2" t="s">
        <v>1065</v>
      </c>
      <c r="C14" t="s">
        <v>31</v>
      </c>
      <c r="D14" t="s">
        <v>33</v>
      </c>
      <c r="E14" t="s">
        <v>1066</v>
      </c>
    </row>
    <row r="15" spans="2:5" x14ac:dyDescent="0.35">
      <c r="B15" s="3" t="s">
        <v>28</v>
      </c>
      <c r="C15" s="4">
        <v>0.797752808988764</v>
      </c>
      <c r="D15" s="4">
        <v>0.20224719101123595</v>
      </c>
      <c r="E15" s="4">
        <v>1</v>
      </c>
    </row>
    <row r="16" spans="2:5" x14ac:dyDescent="0.35">
      <c r="B16" s="3" t="s">
        <v>49</v>
      </c>
      <c r="C16" s="4">
        <v>0.82634730538922152</v>
      </c>
      <c r="D16" s="4">
        <v>0.17365269461077845</v>
      </c>
      <c r="E16" s="4">
        <v>1</v>
      </c>
    </row>
    <row r="17" spans="2:5" x14ac:dyDescent="0.35">
      <c r="B17" s="3" t="s">
        <v>39</v>
      </c>
      <c r="C17" s="4">
        <v>0.84302325581395354</v>
      </c>
      <c r="D17" s="4">
        <v>0.15697674418604651</v>
      </c>
      <c r="E17" s="4">
        <v>1</v>
      </c>
    </row>
    <row r="18" spans="2:5" x14ac:dyDescent="0.35">
      <c r="B18" s="3" t="s">
        <v>52</v>
      </c>
      <c r="C18" s="4">
        <v>0.84810126582278478</v>
      </c>
      <c r="D18" s="4">
        <v>0.15189873417721519</v>
      </c>
      <c r="E18" s="4">
        <v>1</v>
      </c>
    </row>
    <row r="19" spans="2:5" x14ac:dyDescent="0.35">
      <c r="B19" s="3" t="s">
        <v>45</v>
      </c>
      <c r="C19" s="4">
        <v>0.83870967741935487</v>
      </c>
      <c r="D19" s="4">
        <v>0.16129032258064516</v>
      </c>
      <c r="E19" s="4">
        <v>1</v>
      </c>
    </row>
    <row r="20" spans="2:5" x14ac:dyDescent="0.35">
      <c r="B20" s="3" t="s">
        <v>35</v>
      </c>
      <c r="C20" s="4">
        <v>0.85882352941176465</v>
      </c>
      <c r="D20" s="4">
        <v>0.14117647058823529</v>
      </c>
      <c r="E20" s="4">
        <v>1</v>
      </c>
    </row>
    <row r="21" spans="2:5" x14ac:dyDescent="0.35">
      <c r="B21" s="3" t="s">
        <v>1066</v>
      </c>
      <c r="C21" s="4">
        <v>0.83499999999999996</v>
      </c>
      <c r="D21" s="4">
        <v>0.16500000000000001</v>
      </c>
      <c r="E21" s="4">
        <v>1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Yadav</dc:creator>
  <cp:lastModifiedBy>Adarsh Yadav</cp:lastModifiedBy>
  <dcterms:created xsi:type="dcterms:W3CDTF">2026-09-22T06:58:55Z</dcterms:created>
  <dcterms:modified xsi:type="dcterms:W3CDTF">2026-09-22T07:08:35Z</dcterms:modified>
</cp:coreProperties>
</file>